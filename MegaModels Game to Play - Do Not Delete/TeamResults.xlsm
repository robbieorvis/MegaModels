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rvis\Dropbox (Energy Innovation)\My Documents\America's Power Plan\NARUC Utility Game\Testing\"/>
    </mc:Choice>
  </mc:AlternateContent>
  <bookViews>
    <workbookView xWindow="0" yWindow="0" windowWidth="28800" windowHeight="13500"/>
  </bookViews>
  <sheets>
    <sheet name="Sheet1" sheetId="1" r:id="rId1"/>
    <sheet name="Customer Bills" sheetId="2" r:id="rId2"/>
    <sheet name="Earnings per Share" sheetId="3" r:id="rId3"/>
    <sheet name="CO2 Emissions Rate" sheetId="4" r:id="rId4"/>
    <sheet name="Reliability" sheetId="5" r:id="rId5"/>
  </sheets>
  <definedNames>
    <definedName name="Team1">Sheet1!$A$6:$I$10</definedName>
    <definedName name="Team10">Sheet1!$A$60:$I$64</definedName>
    <definedName name="Team11">Sheet1!$A$66:$I$70</definedName>
    <definedName name="Team12">Sheet1!$A$72:$I$76</definedName>
    <definedName name="Team13">Sheet1!$A$78:$I$82</definedName>
    <definedName name="Team14">Sheet1!$A$84:$I$88</definedName>
    <definedName name="Team15">Sheet1!$A$90:$I$94</definedName>
    <definedName name="Team16">Sheet1!$A$96:$I$100</definedName>
    <definedName name="Team17">Sheet1!$A$102:$I$106</definedName>
    <definedName name="Team18">Sheet1!$A$108:$I$112</definedName>
    <definedName name="Team19">Sheet1!$A$114:$I$118</definedName>
    <definedName name="Team2">Sheet1!$A$12:$I$16</definedName>
    <definedName name="Team20">Sheet1!$A$120:$I$124</definedName>
    <definedName name="Team3">Sheet1!$A$18:$I$22</definedName>
    <definedName name="Team4">Sheet1!$A$24:$I$28</definedName>
    <definedName name="Team5">Sheet1!$A$30:$I$34</definedName>
    <definedName name="Team6">Sheet1!$A$36:$I$40</definedName>
    <definedName name="Team7">Sheet1!$A$42:$I$46</definedName>
    <definedName name="Team8">Sheet1!$A$48:$I$52</definedName>
    <definedName name="Team9">Sheet1!$A$54:$I$58</definedName>
    <definedName name="TeamName1">Sheet1!#REF!</definedName>
    <definedName name="TeamName10">Sheet1!#REF!</definedName>
    <definedName name="TeamName2">Sheet1!#REF!</definedName>
    <definedName name="TeamName3">Sheet1!#REF!</definedName>
    <definedName name="TeamName4">Sheet1!#REF!</definedName>
    <definedName name="TeamName5">Sheet1!#REF!</definedName>
    <definedName name="TeamName6">Sheet1!#REF!</definedName>
    <definedName name="TeamName7">Sheet1!#REF!</definedName>
    <definedName name="TeamName8">Sheet1!#REF!</definedName>
    <definedName name="TeamName9">Sheet1!#REF!</definedName>
    <definedName name="TeamNum">Sheet1!$A$2</definedName>
    <definedName name="Teams">Sheet1!#REF!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9" i="1" l="1"/>
  <c r="A113" i="1"/>
  <c r="A107" i="1"/>
  <c r="A101" i="1"/>
  <c r="A95" i="1"/>
  <c r="A89" i="1"/>
  <c r="A83" i="1"/>
  <c r="A77" i="1"/>
  <c r="A71" i="1"/>
  <c r="A65" i="1"/>
  <c r="B200" i="1"/>
  <c r="H200" i="1"/>
  <c r="G201" i="1"/>
  <c r="F202" i="1"/>
  <c r="E203" i="1"/>
  <c r="D204" i="1"/>
  <c r="C205" i="1"/>
  <c r="J206" i="1"/>
  <c r="I207" i="1"/>
  <c r="B208" i="1"/>
  <c r="H208" i="1"/>
  <c r="G209" i="1"/>
  <c r="F179" i="1"/>
  <c r="E180" i="1"/>
  <c r="D181" i="1"/>
  <c r="C182" i="1"/>
  <c r="J183" i="1"/>
  <c r="I184" i="1"/>
  <c r="B185" i="1"/>
  <c r="H185" i="1"/>
  <c r="G186" i="1"/>
  <c r="F187" i="1"/>
  <c r="E188" i="1"/>
  <c r="D158" i="1"/>
  <c r="C159" i="1"/>
  <c r="J160" i="1"/>
  <c r="I161" i="1"/>
  <c r="B162" i="1"/>
  <c r="H162" i="1"/>
  <c r="G163" i="1"/>
  <c r="F164" i="1"/>
  <c r="E165" i="1"/>
  <c r="D166" i="1"/>
  <c r="C167" i="1"/>
  <c r="J137" i="1"/>
  <c r="I138" i="1"/>
  <c r="B139" i="1"/>
  <c r="H139" i="1"/>
  <c r="G140" i="1"/>
  <c r="F141" i="1"/>
  <c r="E142" i="1"/>
  <c r="D143" i="1"/>
  <c r="C144" i="1"/>
  <c r="I146" i="1"/>
  <c r="J145" i="1"/>
  <c r="E143" i="1"/>
  <c r="C145" i="1"/>
  <c r="J139" i="1"/>
  <c r="H141" i="1"/>
  <c r="F143" i="1"/>
  <c r="C146" i="1"/>
  <c r="E138" i="1"/>
  <c r="I142" i="1"/>
  <c r="H143" i="1"/>
  <c r="D179" i="1"/>
  <c r="G184" i="1"/>
  <c r="I159" i="1"/>
  <c r="E163" i="1"/>
  <c r="B137" i="1"/>
  <c r="D141" i="1"/>
  <c r="G146" i="1"/>
  <c r="C204" i="1"/>
  <c r="H207" i="1"/>
  <c r="C181" i="1"/>
  <c r="F186" i="1"/>
  <c r="B161" i="1"/>
  <c r="D165" i="1"/>
  <c r="B138" i="1"/>
  <c r="C143" i="1"/>
  <c r="I200" i="1"/>
  <c r="B201" i="1"/>
  <c r="H201" i="1"/>
  <c r="G202" i="1"/>
  <c r="F203" i="1"/>
  <c r="E204" i="1"/>
  <c r="D205" i="1"/>
  <c r="C206" i="1"/>
  <c r="J207" i="1"/>
  <c r="I208" i="1"/>
  <c r="B209" i="1"/>
  <c r="H209" i="1"/>
  <c r="G179" i="1"/>
  <c r="F180" i="1"/>
  <c r="E181" i="1"/>
  <c r="D182" i="1"/>
  <c r="C183" i="1"/>
  <c r="J184" i="1"/>
  <c r="I185" i="1"/>
  <c r="B186" i="1"/>
  <c r="H186" i="1"/>
  <c r="G187" i="1"/>
  <c r="F188" i="1"/>
  <c r="E158" i="1"/>
  <c r="D159" i="1"/>
  <c r="C160" i="1"/>
  <c r="J161" i="1"/>
  <c r="I162" i="1"/>
  <c r="B163" i="1"/>
  <c r="H163" i="1"/>
  <c r="G164" i="1"/>
  <c r="F165" i="1"/>
  <c r="E166" i="1"/>
  <c r="D167" i="1"/>
  <c r="C137" i="1"/>
  <c r="I139" i="1"/>
  <c r="J138" i="1"/>
  <c r="B140" i="1"/>
  <c r="H140" i="1"/>
  <c r="G141" i="1"/>
  <c r="F142" i="1"/>
  <c r="D144" i="1"/>
  <c r="J146" i="1"/>
  <c r="B141" i="1"/>
  <c r="E144" i="1"/>
  <c r="H166" i="1"/>
  <c r="C140" i="1"/>
  <c r="F145" i="1"/>
  <c r="J181" i="1"/>
  <c r="D187" i="1"/>
  <c r="F162" i="1"/>
  <c r="H137" i="1"/>
  <c r="I144" i="1"/>
  <c r="E202" i="1"/>
  <c r="G208" i="1"/>
  <c r="I183" i="1"/>
  <c r="D188" i="1"/>
  <c r="F163" i="1"/>
  <c r="G139" i="1"/>
  <c r="B146" i="1"/>
  <c r="J200" i="1"/>
  <c r="I201" i="1"/>
  <c r="B202" i="1"/>
  <c r="H202" i="1"/>
  <c r="G203" i="1"/>
  <c r="F204" i="1"/>
  <c r="E205" i="1"/>
  <c r="D206" i="1"/>
  <c r="C207" i="1"/>
  <c r="J208" i="1"/>
  <c r="I209" i="1"/>
  <c r="B179" i="1"/>
  <c r="H179" i="1"/>
  <c r="G180" i="1"/>
  <c r="F181" i="1"/>
  <c r="E182" i="1"/>
  <c r="D183" i="1"/>
  <c r="C184" i="1"/>
  <c r="J185" i="1"/>
  <c r="I186" i="1"/>
  <c r="B187" i="1"/>
  <c r="H187" i="1"/>
  <c r="G188" i="1"/>
  <c r="F158" i="1"/>
  <c r="E159" i="1"/>
  <c r="D160" i="1"/>
  <c r="C161" i="1"/>
  <c r="J162" i="1"/>
  <c r="I163" i="1"/>
  <c r="B164" i="1"/>
  <c r="H164" i="1"/>
  <c r="G165" i="1"/>
  <c r="F166" i="1"/>
  <c r="E167" i="1"/>
  <c r="D137" i="1"/>
  <c r="C138" i="1"/>
  <c r="I140" i="1"/>
  <c r="G142" i="1"/>
  <c r="D145" i="1"/>
  <c r="F137" i="1"/>
  <c r="B143" i="1"/>
  <c r="E146" i="1"/>
  <c r="C180" i="1"/>
  <c r="F185" i="1"/>
  <c r="B160" i="1"/>
  <c r="D164" i="1"/>
  <c r="G138" i="1"/>
  <c r="C142" i="1"/>
  <c r="G200" i="1"/>
  <c r="B207" i="1"/>
  <c r="D180" i="1"/>
  <c r="G185" i="1"/>
  <c r="J159" i="1"/>
  <c r="G162" i="1"/>
  <c r="I137" i="1"/>
  <c r="D142" i="1"/>
  <c r="C200" i="1"/>
  <c r="J201" i="1"/>
  <c r="I202" i="1"/>
  <c r="B203" i="1"/>
  <c r="H203" i="1"/>
  <c r="G204" i="1"/>
  <c r="F205" i="1"/>
  <c r="E206" i="1"/>
  <c r="D207" i="1"/>
  <c r="C208" i="1"/>
  <c r="J209" i="1"/>
  <c r="I179" i="1"/>
  <c r="B180" i="1"/>
  <c r="H180" i="1"/>
  <c r="G181" i="1"/>
  <c r="F182" i="1"/>
  <c r="E183" i="1"/>
  <c r="D184" i="1"/>
  <c r="C185" i="1"/>
  <c r="J186" i="1"/>
  <c r="I187" i="1"/>
  <c r="B188" i="1"/>
  <c r="H188" i="1"/>
  <c r="G158" i="1"/>
  <c r="F159" i="1"/>
  <c r="E160" i="1"/>
  <c r="D161" i="1"/>
  <c r="C162" i="1"/>
  <c r="J163" i="1"/>
  <c r="I164" i="1"/>
  <c r="B165" i="1"/>
  <c r="H165" i="1"/>
  <c r="G166" i="1"/>
  <c r="F167" i="1"/>
  <c r="E137" i="1"/>
  <c r="D138" i="1"/>
  <c r="C139" i="1"/>
  <c r="J140" i="1"/>
  <c r="I141" i="1"/>
  <c r="B142" i="1"/>
  <c r="H142" i="1"/>
  <c r="G143" i="1"/>
  <c r="F144" i="1"/>
  <c r="E145" i="1"/>
  <c r="D146" i="1"/>
  <c r="I165" i="1"/>
  <c r="G167" i="1"/>
  <c r="J141" i="1"/>
  <c r="F208" i="1"/>
  <c r="H183" i="1"/>
  <c r="J158" i="1"/>
  <c r="C165" i="1"/>
  <c r="E140" i="1"/>
  <c r="H145" i="1"/>
  <c r="D203" i="1"/>
  <c r="F209" i="1"/>
  <c r="B184" i="1"/>
  <c r="C158" i="1"/>
  <c r="E164" i="1"/>
  <c r="H138" i="1"/>
  <c r="I145" i="1"/>
  <c r="D200" i="1"/>
  <c r="C201" i="1"/>
  <c r="J202" i="1"/>
  <c r="I203" i="1"/>
  <c r="B204" i="1"/>
  <c r="H204" i="1"/>
  <c r="G205" i="1"/>
  <c r="F206" i="1"/>
  <c r="E207" i="1"/>
  <c r="D208" i="1"/>
  <c r="C209" i="1"/>
  <c r="J179" i="1"/>
  <c r="I180" i="1"/>
  <c r="B181" i="1"/>
  <c r="H181" i="1"/>
  <c r="G182" i="1"/>
  <c r="F183" i="1"/>
  <c r="E184" i="1"/>
  <c r="D185" i="1"/>
  <c r="C186" i="1"/>
  <c r="J187" i="1"/>
  <c r="I188" i="1"/>
  <c r="B158" i="1"/>
  <c r="H158" i="1"/>
  <c r="G159" i="1"/>
  <c r="F160" i="1"/>
  <c r="E161" i="1"/>
  <c r="D162" i="1"/>
  <c r="C163" i="1"/>
  <c r="J164" i="1"/>
  <c r="B166" i="1"/>
  <c r="D139" i="1"/>
  <c r="G144" i="1"/>
  <c r="I182" i="1"/>
  <c r="C188" i="1"/>
  <c r="G161" i="1"/>
  <c r="I167" i="1"/>
  <c r="B145" i="1"/>
  <c r="J205" i="1"/>
  <c r="J182" i="1"/>
  <c r="I160" i="1"/>
  <c r="C166" i="1"/>
  <c r="E141" i="1"/>
  <c r="H146" i="1"/>
  <c r="E200" i="1"/>
  <c r="D201" i="1"/>
  <c r="C202" i="1"/>
  <c r="J203" i="1"/>
  <c r="I204" i="1"/>
  <c r="B205" i="1"/>
  <c r="H205" i="1"/>
  <c r="G206" i="1"/>
  <c r="F207" i="1"/>
  <c r="E208" i="1"/>
  <c r="D209" i="1"/>
  <c r="C179" i="1"/>
  <c r="J180" i="1"/>
  <c r="I181" i="1"/>
  <c r="B182" i="1"/>
  <c r="H182" i="1"/>
  <c r="G183" i="1"/>
  <c r="F184" i="1"/>
  <c r="E185" i="1"/>
  <c r="D186" i="1"/>
  <c r="C187" i="1"/>
  <c r="J188" i="1"/>
  <c r="I158" i="1"/>
  <c r="B159" i="1"/>
  <c r="H159" i="1"/>
  <c r="G160" i="1"/>
  <c r="F161" i="1"/>
  <c r="E162" i="1"/>
  <c r="D163" i="1"/>
  <c r="C164" i="1"/>
  <c r="J165" i="1"/>
  <c r="I166" i="1"/>
  <c r="B167" i="1"/>
  <c r="H167" i="1"/>
  <c r="G137" i="1"/>
  <c r="F138" i="1"/>
  <c r="E139" i="1"/>
  <c r="D140" i="1"/>
  <c r="C141" i="1"/>
  <c r="J142" i="1"/>
  <c r="I143" i="1"/>
  <c r="B144" i="1"/>
  <c r="H144" i="1"/>
  <c r="G145" i="1"/>
  <c r="F146" i="1"/>
  <c r="F200" i="1"/>
  <c r="E201" i="1"/>
  <c r="D202" i="1"/>
  <c r="C203" i="1"/>
  <c r="J204" i="1"/>
  <c r="I205" i="1"/>
  <c r="B206" i="1"/>
  <c r="H206" i="1"/>
  <c r="G207" i="1"/>
  <c r="E209" i="1"/>
  <c r="B183" i="1"/>
  <c r="E186" i="1"/>
  <c r="H160" i="1"/>
  <c r="J166" i="1"/>
  <c r="F139" i="1"/>
  <c r="J143" i="1"/>
  <c r="F201" i="1"/>
  <c r="I206" i="1"/>
  <c r="E179" i="1"/>
  <c r="H184" i="1"/>
  <c r="E187" i="1"/>
  <c r="H161" i="1"/>
  <c r="J167" i="1"/>
  <c r="F140" i="1"/>
  <c r="J128" i="1"/>
  <c r="I128" i="1"/>
  <c r="J129" i="1"/>
  <c r="I129" i="1"/>
  <c r="J144" i="1"/>
  <c r="C129" i="1"/>
  <c r="F128" i="1"/>
  <c r="G128" i="1"/>
  <c r="B129" i="1"/>
  <c r="C128" i="1"/>
  <c r="E129" i="1"/>
  <c r="B128" i="1"/>
  <c r="D128" i="1"/>
  <c r="D129" i="1"/>
  <c r="E128" i="1"/>
  <c r="F129" i="1"/>
  <c r="G129" i="1"/>
  <c r="F127" i="1"/>
  <c r="G127" i="1"/>
  <c r="B127" i="1"/>
  <c r="J127" i="1"/>
  <c r="I127" i="1"/>
  <c r="C127" i="1"/>
  <c r="D127" i="1"/>
  <c r="E127" i="1"/>
  <c r="D189" i="1" l="1"/>
  <c r="E189" i="1" s="1"/>
  <c r="F189" i="1" s="1"/>
  <c r="G189" i="1" s="1"/>
  <c r="D210" i="1"/>
  <c r="E210" i="1" s="1"/>
  <c r="F210" i="1" s="1"/>
  <c r="G210" i="1" s="1"/>
  <c r="C147" i="1"/>
  <c r="D147" i="1" s="1"/>
  <c r="E147" i="1" s="1"/>
  <c r="F147" i="1" s="1"/>
  <c r="G147" i="1" s="1"/>
  <c r="H199" i="1"/>
  <c r="B199" i="1"/>
  <c r="I198" i="1"/>
  <c r="J197" i="1"/>
  <c r="C196" i="1"/>
  <c r="D195" i="1"/>
  <c r="E194" i="1"/>
  <c r="F193" i="1"/>
  <c r="G192" i="1"/>
  <c r="H178" i="1"/>
  <c r="B178" i="1"/>
  <c r="I177" i="1"/>
  <c r="J176" i="1"/>
  <c r="C175" i="1"/>
  <c r="D174" i="1"/>
  <c r="E173" i="1"/>
  <c r="F172" i="1"/>
  <c r="G171" i="1"/>
  <c r="H157" i="1"/>
  <c r="B157" i="1"/>
  <c r="I156" i="1"/>
  <c r="J155" i="1"/>
  <c r="C154" i="1"/>
  <c r="D153" i="1"/>
  <c r="E152" i="1"/>
  <c r="F151" i="1"/>
  <c r="G150" i="1"/>
  <c r="B130" i="1"/>
  <c r="I135" i="1"/>
  <c r="J132" i="1"/>
  <c r="F130" i="1"/>
  <c r="H131" i="1"/>
  <c r="D133" i="1"/>
  <c r="F134" i="1"/>
  <c r="H135" i="1"/>
  <c r="D191" i="1"/>
  <c r="I149" i="1"/>
  <c r="C170" i="1"/>
  <c r="J149" i="1"/>
  <c r="C191" i="1"/>
  <c r="H128" i="1"/>
  <c r="C133" i="1"/>
  <c r="G199" i="1"/>
  <c r="H198" i="1"/>
  <c r="B198" i="1"/>
  <c r="I197" i="1"/>
  <c r="J196" i="1"/>
  <c r="C195" i="1"/>
  <c r="D194" i="1"/>
  <c r="E193" i="1"/>
  <c r="F192" i="1"/>
  <c r="G178" i="1"/>
  <c r="H177" i="1"/>
  <c r="B177" i="1"/>
  <c r="I176" i="1"/>
  <c r="J175" i="1"/>
  <c r="C174" i="1"/>
  <c r="D173" i="1"/>
  <c r="E172" i="1"/>
  <c r="F171" i="1"/>
  <c r="G157" i="1"/>
  <c r="H156" i="1"/>
  <c r="B156" i="1"/>
  <c r="I155" i="1"/>
  <c r="J154" i="1"/>
  <c r="C153" i="1"/>
  <c r="D152" i="1"/>
  <c r="E151" i="1"/>
  <c r="F150" i="1"/>
  <c r="I130" i="1"/>
  <c r="B133" i="1"/>
  <c r="J135" i="1"/>
  <c r="G130" i="1"/>
  <c r="C132" i="1"/>
  <c r="E133" i="1"/>
  <c r="G134" i="1"/>
  <c r="C136" i="1"/>
  <c r="B191" i="1"/>
  <c r="G191" i="1"/>
  <c r="E149" i="1"/>
  <c r="G170" i="1"/>
  <c r="F170" i="1"/>
  <c r="B150" i="1"/>
  <c r="G135" i="1"/>
  <c r="F199" i="1"/>
  <c r="G198" i="1"/>
  <c r="H197" i="1"/>
  <c r="B197" i="1"/>
  <c r="I196" i="1"/>
  <c r="J195" i="1"/>
  <c r="C194" i="1"/>
  <c r="D193" i="1"/>
  <c r="E192" i="1"/>
  <c r="F178" i="1"/>
  <c r="G177" i="1"/>
  <c r="H176" i="1"/>
  <c r="B176" i="1"/>
  <c r="I175" i="1"/>
  <c r="J174" i="1"/>
  <c r="C173" i="1"/>
  <c r="D172" i="1"/>
  <c r="E171" i="1"/>
  <c r="F157" i="1"/>
  <c r="G156" i="1"/>
  <c r="H155" i="1"/>
  <c r="B155" i="1"/>
  <c r="I154" i="1"/>
  <c r="J153" i="1"/>
  <c r="C152" i="1"/>
  <c r="D151" i="1"/>
  <c r="E150" i="1"/>
  <c r="J130" i="1"/>
  <c r="I133" i="1"/>
  <c r="B136" i="1"/>
  <c r="H130" i="1"/>
  <c r="D132" i="1"/>
  <c r="F133" i="1"/>
  <c r="H134" i="1"/>
  <c r="D136" i="1"/>
  <c r="F191" i="1"/>
  <c r="E134" i="1"/>
  <c r="E199" i="1"/>
  <c r="F198" i="1"/>
  <c r="G197" i="1"/>
  <c r="H196" i="1"/>
  <c r="B196" i="1"/>
  <c r="I195" i="1"/>
  <c r="J194" i="1"/>
  <c r="C193" i="1"/>
  <c r="D192" i="1"/>
  <c r="E178" i="1"/>
  <c r="F177" i="1"/>
  <c r="G176" i="1"/>
  <c r="H175" i="1"/>
  <c r="B175" i="1"/>
  <c r="I174" i="1"/>
  <c r="J173" i="1"/>
  <c r="C172" i="1"/>
  <c r="D171" i="1"/>
  <c r="E157" i="1"/>
  <c r="F156" i="1"/>
  <c r="G155" i="1"/>
  <c r="H154" i="1"/>
  <c r="B154" i="1"/>
  <c r="I153" i="1"/>
  <c r="J152" i="1"/>
  <c r="C151" i="1"/>
  <c r="D150" i="1"/>
  <c r="B131" i="1"/>
  <c r="J133" i="1"/>
  <c r="I136" i="1"/>
  <c r="C131" i="1"/>
  <c r="E132" i="1"/>
  <c r="G133" i="1"/>
  <c r="C135" i="1"/>
  <c r="E136" i="1"/>
  <c r="J170" i="1"/>
  <c r="E170" i="1"/>
  <c r="J191" i="1"/>
  <c r="H129" i="1"/>
  <c r="J198" i="1"/>
  <c r="F194" i="1"/>
  <c r="H192" i="1"/>
  <c r="C176" i="1"/>
  <c r="G172" i="1"/>
  <c r="I157" i="1"/>
  <c r="F152" i="1"/>
  <c r="B135" i="1"/>
  <c r="H191" i="1"/>
  <c r="D199" i="1"/>
  <c r="E198" i="1"/>
  <c r="F197" i="1"/>
  <c r="G196" i="1"/>
  <c r="H195" i="1"/>
  <c r="B195" i="1"/>
  <c r="I194" i="1"/>
  <c r="J193" i="1"/>
  <c r="C192" i="1"/>
  <c r="D178" i="1"/>
  <c r="E177" i="1"/>
  <c r="F176" i="1"/>
  <c r="G175" i="1"/>
  <c r="H174" i="1"/>
  <c r="B174" i="1"/>
  <c r="I173" i="1"/>
  <c r="J172" i="1"/>
  <c r="C171" i="1"/>
  <c r="D157" i="1"/>
  <c r="E156" i="1"/>
  <c r="F155" i="1"/>
  <c r="G154" i="1"/>
  <c r="H153" i="1"/>
  <c r="B153" i="1"/>
  <c r="I152" i="1"/>
  <c r="J151" i="1"/>
  <c r="C150" i="1"/>
  <c r="I131" i="1"/>
  <c r="B134" i="1"/>
  <c r="J136" i="1"/>
  <c r="D131" i="1"/>
  <c r="F132" i="1"/>
  <c r="H133" i="1"/>
  <c r="D135" i="1"/>
  <c r="F136" i="1"/>
  <c r="H149" i="1"/>
  <c r="I170" i="1"/>
  <c r="H170" i="1"/>
  <c r="D196" i="1"/>
  <c r="B192" i="1"/>
  <c r="D175" i="1"/>
  <c r="H171" i="1"/>
  <c r="C155" i="1"/>
  <c r="H150" i="1"/>
  <c r="G131" i="1"/>
  <c r="I191" i="1"/>
  <c r="C199" i="1"/>
  <c r="D198" i="1"/>
  <c r="E197" i="1"/>
  <c r="F196" i="1"/>
  <c r="G195" i="1"/>
  <c r="H194" i="1"/>
  <c r="B194" i="1"/>
  <c r="I193" i="1"/>
  <c r="J192" i="1"/>
  <c r="C178" i="1"/>
  <c r="D177" i="1"/>
  <c r="E176" i="1"/>
  <c r="F175" i="1"/>
  <c r="G174" i="1"/>
  <c r="H173" i="1"/>
  <c r="B173" i="1"/>
  <c r="I172" i="1"/>
  <c r="J171" i="1"/>
  <c r="C157" i="1"/>
  <c r="D156" i="1"/>
  <c r="E155" i="1"/>
  <c r="F154" i="1"/>
  <c r="G153" i="1"/>
  <c r="H152" i="1"/>
  <c r="B152" i="1"/>
  <c r="I151" i="1"/>
  <c r="J150" i="1"/>
  <c r="J131" i="1"/>
  <c r="I134" i="1"/>
  <c r="C130" i="1"/>
  <c r="E131" i="1"/>
  <c r="G132" i="1"/>
  <c r="C134" i="1"/>
  <c r="E135" i="1"/>
  <c r="G136" i="1"/>
  <c r="D149" i="1"/>
  <c r="G149" i="1"/>
  <c r="D170" i="1"/>
  <c r="C197" i="1"/>
  <c r="I178" i="1"/>
  <c r="E174" i="1"/>
  <c r="B171" i="1"/>
  <c r="D154" i="1"/>
  <c r="G151" i="1"/>
  <c r="E130" i="1"/>
  <c r="F149" i="1"/>
  <c r="J199" i="1"/>
  <c r="C198" i="1"/>
  <c r="D197" i="1"/>
  <c r="E196" i="1"/>
  <c r="F195" i="1"/>
  <c r="G194" i="1"/>
  <c r="H193" i="1"/>
  <c r="B193" i="1"/>
  <c r="I192" i="1"/>
  <c r="J178" i="1"/>
  <c r="C177" i="1"/>
  <c r="D176" i="1"/>
  <c r="E175" i="1"/>
  <c r="F174" i="1"/>
  <c r="G173" i="1"/>
  <c r="H172" i="1"/>
  <c r="B172" i="1"/>
  <c r="I171" i="1"/>
  <c r="J157" i="1"/>
  <c r="C156" i="1"/>
  <c r="D155" i="1"/>
  <c r="E154" i="1"/>
  <c r="F153" i="1"/>
  <c r="G152" i="1"/>
  <c r="H151" i="1"/>
  <c r="B151" i="1"/>
  <c r="I150" i="1"/>
  <c r="B132" i="1"/>
  <c r="J134" i="1"/>
  <c r="D130" i="1"/>
  <c r="F131" i="1"/>
  <c r="H132" i="1"/>
  <c r="D134" i="1"/>
  <c r="F135" i="1"/>
  <c r="H136" i="1"/>
  <c r="B149" i="1"/>
  <c r="C149" i="1"/>
  <c r="B170" i="1"/>
  <c r="I199" i="1"/>
  <c r="E195" i="1"/>
  <c r="G193" i="1"/>
  <c r="J177" i="1"/>
  <c r="F173" i="1"/>
  <c r="J156" i="1"/>
  <c r="E153" i="1"/>
  <c r="I132" i="1"/>
  <c r="E191" i="1"/>
  <c r="J190" i="1"/>
  <c r="H127" i="1"/>
  <c r="E148" i="1"/>
  <c r="F148" i="1"/>
  <c r="B148" i="1"/>
  <c r="E190" i="1"/>
  <c r="B190" i="1"/>
  <c r="F190" i="1"/>
  <c r="J148" i="1"/>
  <c r="D190" i="1"/>
  <c r="H148" i="1"/>
  <c r="H190" i="1"/>
  <c r="G148" i="1"/>
  <c r="C190" i="1"/>
  <c r="G190" i="1"/>
  <c r="I190" i="1"/>
  <c r="D169" i="1"/>
  <c r="C148" i="1"/>
  <c r="I169" i="1"/>
  <c r="C169" i="1"/>
  <c r="J169" i="1"/>
  <c r="F169" i="1"/>
  <c r="H169" i="1"/>
  <c r="E169" i="1"/>
  <c r="I148" i="1"/>
  <c r="G169" i="1"/>
  <c r="D148" i="1"/>
  <c r="A59" i="1" l="1"/>
  <c r="A53" i="1"/>
  <c r="A47" i="1"/>
  <c r="A41" i="1"/>
  <c r="A35" i="1"/>
  <c r="A29" i="1"/>
  <c r="A23" i="1"/>
  <c r="A17" i="1"/>
  <c r="A11" i="1"/>
  <c r="A5" i="1"/>
  <c r="B169" i="1"/>
</calcChain>
</file>

<file path=xl/sharedStrings.xml><?xml version="1.0" encoding="utf-8"?>
<sst xmlns="http://schemas.openxmlformats.org/spreadsheetml/2006/main" count="13" uniqueCount="11">
  <si>
    <t>Number of Teams</t>
  </si>
  <si>
    <t>For Graphing</t>
  </si>
  <si>
    <t>Round 0</t>
  </si>
  <si>
    <t>Round 1</t>
  </si>
  <si>
    <t>Round 2</t>
  </si>
  <si>
    <t>Round 3</t>
  </si>
  <si>
    <t>Round 4</t>
  </si>
  <si>
    <t>Round 5</t>
  </si>
  <si>
    <t>Team Number</t>
  </si>
  <si>
    <t>&lt;set this prior to starting</t>
  </si>
  <si>
    <t>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</si>
</sst>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2" fillId="3" borderId="0" xfId="0" applyFont="1" applyFill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 applyBorder="1"/>
    <xf numFmtId="1" fontId="0" fillId="0" borderId="5" xfId="0" applyNumberFormat="1" applyBorder="1"/>
    <xf numFmtId="1" fontId="0" fillId="0" borderId="7" xfId="0" applyNumberFormat="1" applyBorder="1"/>
    <xf numFmtId="1" fontId="0" fillId="0" borderId="8" xfId="0" applyNumberFormat="1" applyBorder="1"/>
    <xf numFmtId="44" fontId="0" fillId="0" borderId="0" xfId="1" applyFont="1" applyBorder="1"/>
    <xf numFmtId="44" fontId="0" fillId="0" borderId="5" xfId="1" applyFont="1" applyBorder="1"/>
    <xf numFmtId="0" fontId="3" fillId="2" borderId="0" xfId="0" applyFont="1" applyFill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0" xfId="0" applyFill="1"/>
  </cellXfs>
  <cellStyles count="2">
    <cellStyle name="Currency" xfId="1" builtinId="4"/>
    <cellStyle name="Normal" xfId="0" builtinId="0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4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Bills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Sheet1!$C$127:$H$127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0D-4256-B4AC-178B63D761CC}"/>
            </c:ext>
          </c:extLst>
        </c:ser>
        <c:ser>
          <c:idx val="1"/>
          <c:order val="1"/>
          <c:tx>
            <c:strRef>
              <c:f>Sheet1!$B$128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Sheet1!$C$128:$H$128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3FF-42A4-8FDB-56E9E27352B7}"/>
            </c:ext>
          </c:extLst>
        </c:ser>
        <c:ser>
          <c:idx val="2"/>
          <c:order val="2"/>
          <c:tx>
            <c:strRef>
              <c:f>Sheet1!$B$129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Sheet1!$C$129:$H$129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3FF-42A4-8FDB-56E9E27352B7}"/>
            </c:ext>
          </c:extLst>
        </c:ser>
        <c:ser>
          <c:idx val="3"/>
          <c:order val="3"/>
          <c:tx>
            <c:strRef>
              <c:f>Sheet1!$B$130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Sheet1!$C$130:$H$130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3FF-42A4-8FDB-56E9E27352B7}"/>
            </c:ext>
          </c:extLst>
        </c:ser>
        <c:ser>
          <c:idx val="4"/>
          <c:order val="4"/>
          <c:tx>
            <c:strRef>
              <c:f>Sheet1!$B$131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Sheet1!$C$131:$H$131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3FF-42A4-8FDB-56E9E27352B7}"/>
            </c:ext>
          </c:extLst>
        </c:ser>
        <c:ser>
          <c:idx val="5"/>
          <c:order val="5"/>
          <c:tx>
            <c:strRef>
              <c:f>Sheet1!$B$132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Sheet1!$C$132:$H$132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3FF-42A4-8FDB-56E9E27352B7}"/>
            </c:ext>
          </c:extLst>
        </c:ser>
        <c:ser>
          <c:idx val="6"/>
          <c:order val="6"/>
          <c:tx>
            <c:strRef>
              <c:f>Sheet1!$B$133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Sheet1!$C$133:$H$133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3FF-42A4-8FDB-56E9E27352B7}"/>
            </c:ext>
          </c:extLst>
        </c:ser>
        <c:ser>
          <c:idx val="7"/>
          <c:order val="7"/>
          <c:tx>
            <c:strRef>
              <c:f>Sheet1!$B$134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Sheet1!$C$134:$H$134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3FF-42A4-8FDB-56E9E27352B7}"/>
            </c:ext>
          </c:extLst>
        </c:ser>
        <c:ser>
          <c:idx val="8"/>
          <c:order val="8"/>
          <c:tx>
            <c:strRef>
              <c:f>Sheet1!$B$135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Sheet1!$C$135:$H$135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3FF-42A4-8FDB-56E9E27352B7}"/>
            </c:ext>
          </c:extLst>
        </c:ser>
        <c:ser>
          <c:idx val="9"/>
          <c:order val="9"/>
          <c:tx>
            <c:strRef>
              <c:f>Sheet1!$B$136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Sheet1!$C$136:$H$136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3FF-42A4-8FDB-56E9E27352B7}"/>
            </c:ext>
          </c:extLst>
        </c:ser>
        <c:ser>
          <c:idx val="10"/>
          <c:order val="10"/>
          <c:tx>
            <c:strRef>
              <c:f>Sheet1!$B$137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Sheet1!$C$137:$H$137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E-45DD-A472-1734509ABF19}"/>
            </c:ext>
          </c:extLst>
        </c:ser>
        <c:ser>
          <c:idx val="11"/>
          <c:order val="11"/>
          <c:tx>
            <c:strRef>
              <c:f>Sheet1!$B$138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Sheet1!$C$138:$H$138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6-4D44-BA2E-29CEE3717BC1}"/>
            </c:ext>
          </c:extLst>
        </c:ser>
        <c:ser>
          <c:idx val="12"/>
          <c:order val="12"/>
          <c:tx>
            <c:strRef>
              <c:f>Sheet1!$B$139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Sheet1!$C$139:$H$139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6-4D44-BA2E-29CEE3717BC1}"/>
            </c:ext>
          </c:extLst>
        </c:ser>
        <c:ser>
          <c:idx val="13"/>
          <c:order val="13"/>
          <c:tx>
            <c:strRef>
              <c:f>Sheet1!$B$140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Sheet1!$C$140:$H$140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6-4D44-BA2E-29CEE3717BC1}"/>
            </c:ext>
          </c:extLst>
        </c:ser>
        <c:ser>
          <c:idx val="14"/>
          <c:order val="14"/>
          <c:tx>
            <c:strRef>
              <c:f>Sheet1!$B$141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Sheet1!$C$141:$H$141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6-4D44-BA2E-29CEE3717BC1}"/>
            </c:ext>
          </c:extLst>
        </c:ser>
        <c:ser>
          <c:idx val="15"/>
          <c:order val="15"/>
          <c:tx>
            <c:strRef>
              <c:f>Sheet1!$B$142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Sheet1!$C$142:$H$142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06-4D44-BA2E-29CEE3717BC1}"/>
            </c:ext>
          </c:extLst>
        </c:ser>
        <c:ser>
          <c:idx val="16"/>
          <c:order val="16"/>
          <c:tx>
            <c:strRef>
              <c:f>Sheet1!$B$143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Sheet1!$C$143:$H$143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06-4D44-BA2E-29CEE3717BC1}"/>
            </c:ext>
          </c:extLst>
        </c:ser>
        <c:ser>
          <c:idx val="17"/>
          <c:order val="17"/>
          <c:tx>
            <c:strRef>
              <c:f>Sheet1!$B$144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Sheet1!$C$144:$H$144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06-4D44-BA2E-29CEE3717BC1}"/>
            </c:ext>
          </c:extLst>
        </c:ser>
        <c:ser>
          <c:idx val="18"/>
          <c:order val="18"/>
          <c:tx>
            <c:strRef>
              <c:f>Sheet1!$B$145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Sheet1!$C$145:$H$145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06-4D44-BA2E-29CEE3717BC1}"/>
            </c:ext>
          </c:extLst>
        </c:ser>
        <c:ser>
          <c:idx val="19"/>
          <c:order val="19"/>
          <c:tx>
            <c:strRef>
              <c:f>Sheet1!$B$146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Sheet1!$C$146:$H$146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906-4D44-BA2E-29CEE3717BC1}"/>
            </c:ext>
          </c:extLst>
        </c:ser>
        <c:ser>
          <c:idx val="20"/>
          <c:order val="20"/>
          <c:tx>
            <c:strRef>
              <c:f>Sheet1!$B$147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Sheet1!$C$147:$H$147</c:f>
              <c:numCache>
                <c:formatCode>General</c:formatCode>
                <c:ptCount val="6"/>
                <c:pt idx="0">
                  <c:v>95.7</c:v>
                </c:pt>
                <c:pt idx="1">
                  <c:v>95.7</c:v>
                </c:pt>
                <c:pt idx="2">
                  <c:v>95.7</c:v>
                </c:pt>
                <c:pt idx="3">
                  <c:v>95.7</c:v>
                </c:pt>
                <c:pt idx="4">
                  <c:v>95.7</c:v>
                </c:pt>
                <c:pt idx="5">
                  <c:v>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906-4D44-BA2E-29CEE371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339832"/>
        <c:axId val="554340488"/>
      </c:lineChart>
      <c:catAx>
        <c:axId val="5543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0488"/>
        <c:crosses val="autoZero"/>
        <c:auto val="1"/>
        <c:lblAlgn val="ctr"/>
        <c:lblOffset val="100"/>
        <c:noMultiLvlLbl val="1"/>
      </c:catAx>
      <c:valAx>
        <c:axId val="554340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Earnings per Share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Sheet1!$C$148:$H$148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A7-45B2-8D62-5802CD0AEEBF}"/>
            </c:ext>
          </c:extLst>
        </c:ser>
        <c:ser>
          <c:idx val="1"/>
          <c:order val="1"/>
          <c:tx>
            <c:strRef>
              <c:f>Sheet1!$B$149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Sheet1!$C$149:$H$149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A7-45B2-8D62-5802CD0AEEBF}"/>
            </c:ext>
          </c:extLst>
        </c:ser>
        <c:ser>
          <c:idx val="2"/>
          <c:order val="2"/>
          <c:tx>
            <c:strRef>
              <c:f>Sheet1!$B$150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Sheet1!$C$150:$H$150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A7-45B2-8D62-5802CD0AEEBF}"/>
            </c:ext>
          </c:extLst>
        </c:ser>
        <c:ser>
          <c:idx val="3"/>
          <c:order val="3"/>
          <c:tx>
            <c:strRef>
              <c:f>Sheet1!$B$151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Sheet1!$C$151:$H$151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A7-45B2-8D62-5802CD0AEEBF}"/>
            </c:ext>
          </c:extLst>
        </c:ser>
        <c:ser>
          <c:idx val="4"/>
          <c:order val="4"/>
          <c:tx>
            <c:strRef>
              <c:f>Sheet1!$B$152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Sheet1!$C$152:$H$152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A7-45B2-8D62-5802CD0AEEBF}"/>
            </c:ext>
          </c:extLst>
        </c:ser>
        <c:ser>
          <c:idx val="5"/>
          <c:order val="5"/>
          <c:tx>
            <c:strRef>
              <c:f>Sheet1!$B$153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Sheet1!$C$153:$H$153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A7-45B2-8D62-5802CD0AEEBF}"/>
            </c:ext>
          </c:extLst>
        </c:ser>
        <c:ser>
          <c:idx val="6"/>
          <c:order val="6"/>
          <c:tx>
            <c:strRef>
              <c:f>Sheet1!$B$154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Sheet1!$C$154:$H$154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A7-45B2-8D62-5802CD0AEEBF}"/>
            </c:ext>
          </c:extLst>
        </c:ser>
        <c:ser>
          <c:idx val="7"/>
          <c:order val="7"/>
          <c:tx>
            <c:strRef>
              <c:f>Sheet1!$B$155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Sheet1!$C$155:$H$155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AA7-45B2-8D62-5802CD0AEEBF}"/>
            </c:ext>
          </c:extLst>
        </c:ser>
        <c:ser>
          <c:idx val="8"/>
          <c:order val="8"/>
          <c:tx>
            <c:strRef>
              <c:f>Sheet1!$B$156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Sheet1!$C$156:$H$156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A7-45B2-8D62-5802CD0AEEBF}"/>
            </c:ext>
          </c:extLst>
        </c:ser>
        <c:ser>
          <c:idx val="9"/>
          <c:order val="9"/>
          <c:tx>
            <c:strRef>
              <c:f>Sheet1!$B$157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Sheet1!$C$157:$H$157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AA7-45B2-8D62-5802CD0AEEBF}"/>
            </c:ext>
          </c:extLst>
        </c:ser>
        <c:ser>
          <c:idx val="10"/>
          <c:order val="10"/>
          <c:tx>
            <c:strRef>
              <c:f>Sheet1!$B$158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Sheet1!$C$158:$H$158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7F-4665-B0B2-47A47608DC9B}"/>
            </c:ext>
          </c:extLst>
        </c:ser>
        <c:ser>
          <c:idx val="11"/>
          <c:order val="11"/>
          <c:tx>
            <c:strRef>
              <c:f>Sheet1!$B$159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Sheet1!$C$159:$H$159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F-4665-B0B2-47A47608DC9B}"/>
            </c:ext>
          </c:extLst>
        </c:ser>
        <c:ser>
          <c:idx val="12"/>
          <c:order val="12"/>
          <c:tx>
            <c:strRef>
              <c:f>Sheet1!$B$160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Sheet1!$C$160:$H$160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7F-4665-B0B2-47A47608DC9B}"/>
            </c:ext>
          </c:extLst>
        </c:ser>
        <c:ser>
          <c:idx val="13"/>
          <c:order val="13"/>
          <c:tx>
            <c:strRef>
              <c:f>Sheet1!$B$161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Sheet1!$C$161:$H$161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7F-4665-B0B2-47A47608DC9B}"/>
            </c:ext>
          </c:extLst>
        </c:ser>
        <c:ser>
          <c:idx val="14"/>
          <c:order val="14"/>
          <c:tx>
            <c:strRef>
              <c:f>Sheet1!$B$162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Sheet1!$C$162:$H$162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7F-4665-B0B2-47A47608DC9B}"/>
            </c:ext>
          </c:extLst>
        </c:ser>
        <c:ser>
          <c:idx val="15"/>
          <c:order val="15"/>
          <c:tx>
            <c:strRef>
              <c:f>Sheet1!$B$163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Sheet1!$C$163:$H$163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7F-4665-B0B2-47A47608DC9B}"/>
            </c:ext>
          </c:extLst>
        </c:ser>
        <c:ser>
          <c:idx val="16"/>
          <c:order val="16"/>
          <c:tx>
            <c:strRef>
              <c:f>Sheet1!$B$164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Sheet1!$C$164:$H$164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47F-4665-B0B2-47A47608DC9B}"/>
            </c:ext>
          </c:extLst>
        </c:ser>
        <c:ser>
          <c:idx val="17"/>
          <c:order val="17"/>
          <c:tx>
            <c:strRef>
              <c:f>Sheet1!$B$165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Sheet1!$C$165:$H$165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47F-4665-B0B2-47A47608DC9B}"/>
            </c:ext>
          </c:extLst>
        </c:ser>
        <c:ser>
          <c:idx val="18"/>
          <c:order val="18"/>
          <c:tx>
            <c:strRef>
              <c:f>Sheet1!$B$166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Sheet1!$C$166:$H$166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47F-4665-B0B2-47A47608DC9B}"/>
            </c:ext>
          </c:extLst>
        </c:ser>
        <c:ser>
          <c:idx val="19"/>
          <c:order val="19"/>
          <c:tx>
            <c:strRef>
              <c:f>Sheet1!$B$167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Sheet1!$C$167:$H$167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47F-4665-B0B2-47A47608D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339832"/>
        <c:axId val="554340488"/>
      </c:lineChart>
      <c:catAx>
        <c:axId val="5543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0488"/>
        <c:crosses val="autoZero"/>
        <c:auto val="1"/>
        <c:lblAlgn val="ctr"/>
        <c:lblOffset val="100"/>
        <c:noMultiLvlLbl val="1"/>
      </c:catAx>
      <c:valAx>
        <c:axId val="55434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  <a:r>
              <a:rPr lang="en-US" baseline="0"/>
              <a:t> Emissions Rate (lbs/MWh)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Sheet1!$C$169:$H$169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31-4B66-8EFE-CF883906B0E6}"/>
            </c:ext>
          </c:extLst>
        </c:ser>
        <c:ser>
          <c:idx val="1"/>
          <c:order val="1"/>
          <c:tx>
            <c:strRef>
              <c:f>Sheet1!$B$170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Sheet1!$C$170:$H$170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31-4B66-8EFE-CF883906B0E6}"/>
            </c:ext>
          </c:extLst>
        </c:ser>
        <c:ser>
          <c:idx val="2"/>
          <c:order val="2"/>
          <c:tx>
            <c:strRef>
              <c:f>Sheet1!$B$171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Sheet1!$C$171:$H$171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31-4B66-8EFE-CF883906B0E6}"/>
            </c:ext>
          </c:extLst>
        </c:ser>
        <c:ser>
          <c:idx val="3"/>
          <c:order val="3"/>
          <c:tx>
            <c:strRef>
              <c:f>Sheet1!$B$172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Sheet1!$C$172:$H$172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31-4B66-8EFE-CF883906B0E6}"/>
            </c:ext>
          </c:extLst>
        </c:ser>
        <c:ser>
          <c:idx val="4"/>
          <c:order val="4"/>
          <c:tx>
            <c:strRef>
              <c:f>Sheet1!$B$173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Sheet1!$C$173:$H$173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31-4B66-8EFE-CF883906B0E6}"/>
            </c:ext>
          </c:extLst>
        </c:ser>
        <c:ser>
          <c:idx val="5"/>
          <c:order val="5"/>
          <c:tx>
            <c:strRef>
              <c:f>Sheet1!$B$174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Sheet1!$C$174:$H$174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31-4B66-8EFE-CF883906B0E6}"/>
            </c:ext>
          </c:extLst>
        </c:ser>
        <c:ser>
          <c:idx val="6"/>
          <c:order val="6"/>
          <c:tx>
            <c:strRef>
              <c:f>Sheet1!$B$175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Sheet1!$C$175:$H$175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C31-4B66-8EFE-CF883906B0E6}"/>
            </c:ext>
          </c:extLst>
        </c:ser>
        <c:ser>
          <c:idx val="7"/>
          <c:order val="7"/>
          <c:tx>
            <c:strRef>
              <c:f>Sheet1!$B$176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Sheet1!$C$176:$H$176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C31-4B66-8EFE-CF883906B0E6}"/>
            </c:ext>
          </c:extLst>
        </c:ser>
        <c:ser>
          <c:idx val="8"/>
          <c:order val="8"/>
          <c:tx>
            <c:strRef>
              <c:f>Sheet1!$B$177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Sheet1!$C$177:$H$177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C31-4B66-8EFE-CF883906B0E6}"/>
            </c:ext>
          </c:extLst>
        </c:ser>
        <c:ser>
          <c:idx val="9"/>
          <c:order val="9"/>
          <c:tx>
            <c:strRef>
              <c:f>Sheet1!$B$178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Sheet1!$C$178:$H$178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31-4B66-8EFE-CF883906B0E6}"/>
            </c:ext>
          </c:extLst>
        </c:ser>
        <c:ser>
          <c:idx val="10"/>
          <c:order val="10"/>
          <c:tx>
            <c:strRef>
              <c:f>Sheet1!$B$179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Sheet1!$C$179:$H$179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6F-44C5-8762-C9F6AFE7B29C}"/>
            </c:ext>
          </c:extLst>
        </c:ser>
        <c:ser>
          <c:idx val="11"/>
          <c:order val="11"/>
          <c:tx>
            <c:strRef>
              <c:f>Sheet1!$B$180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Sheet1!$C$180:$H$180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A6-499E-A293-794FC19D723B}"/>
            </c:ext>
          </c:extLst>
        </c:ser>
        <c:ser>
          <c:idx val="12"/>
          <c:order val="12"/>
          <c:tx>
            <c:strRef>
              <c:f>Sheet1!$B$181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Sheet1!$C$181:$H$181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6-499E-A293-794FC19D723B}"/>
            </c:ext>
          </c:extLst>
        </c:ser>
        <c:ser>
          <c:idx val="13"/>
          <c:order val="13"/>
          <c:tx>
            <c:strRef>
              <c:f>Sheet1!$B$182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Sheet1!$C$182:$H$182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6-499E-A293-794FC19D723B}"/>
            </c:ext>
          </c:extLst>
        </c:ser>
        <c:ser>
          <c:idx val="14"/>
          <c:order val="14"/>
          <c:tx>
            <c:strRef>
              <c:f>Sheet1!$B$183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Sheet1!$C$183:$H$183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A6-499E-A293-794FC19D723B}"/>
            </c:ext>
          </c:extLst>
        </c:ser>
        <c:ser>
          <c:idx val="15"/>
          <c:order val="15"/>
          <c:tx>
            <c:strRef>
              <c:f>Sheet1!$B$184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Sheet1!$C$184:$H$184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A6-499E-A293-794FC19D723B}"/>
            </c:ext>
          </c:extLst>
        </c:ser>
        <c:ser>
          <c:idx val="16"/>
          <c:order val="16"/>
          <c:tx>
            <c:strRef>
              <c:f>Sheet1!$B$185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Sheet1!$C$185:$H$185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A6-499E-A293-794FC19D723B}"/>
            </c:ext>
          </c:extLst>
        </c:ser>
        <c:ser>
          <c:idx val="17"/>
          <c:order val="17"/>
          <c:tx>
            <c:strRef>
              <c:f>Sheet1!$B$186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Sheet1!$C$186:$H$186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A6-499E-A293-794FC19D723B}"/>
            </c:ext>
          </c:extLst>
        </c:ser>
        <c:ser>
          <c:idx val="18"/>
          <c:order val="18"/>
          <c:tx>
            <c:strRef>
              <c:f>Sheet1!$B$187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Sheet1!$C$187:$H$187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A6-499E-A293-794FC19D723B}"/>
            </c:ext>
          </c:extLst>
        </c:ser>
        <c:ser>
          <c:idx val="19"/>
          <c:order val="19"/>
          <c:tx>
            <c:strRef>
              <c:f>Sheet1!$B$188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Sheet1!$C$188:$H$188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A6-499E-A293-794FC19D723B}"/>
            </c:ext>
          </c:extLst>
        </c:ser>
        <c:ser>
          <c:idx val="20"/>
          <c:order val="20"/>
          <c:tx>
            <c:strRef>
              <c:f>Sheet1!$B$189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Sheet1!$C$189:$H$189</c:f>
              <c:numCache>
                <c:formatCode>General</c:formatCode>
                <c:ptCount val="6"/>
                <c:pt idx="0">
                  <c:v>1078</c:v>
                </c:pt>
                <c:pt idx="1">
                  <c:v>970.2</c:v>
                </c:pt>
                <c:pt idx="2">
                  <c:v>862.40000000000009</c:v>
                </c:pt>
                <c:pt idx="3">
                  <c:v>754.60000000000014</c:v>
                </c:pt>
                <c:pt idx="4">
                  <c:v>646.80000000000018</c:v>
                </c:pt>
                <c:pt idx="5">
                  <c:v>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FA6-499E-A293-794FC19D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339832"/>
        <c:axId val="554340488"/>
      </c:lineChart>
      <c:catAx>
        <c:axId val="5543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0488"/>
        <c:crosses val="autoZero"/>
        <c:auto val="1"/>
        <c:lblAlgn val="ctr"/>
        <c:lblOffset val="100"/>
        <c:noMultiLvlLbl val="1"/>
      </c:catAx>
      <c:valAx>
        <c:axId val="55434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Reliability</a:t>
            </a:r>
            <a:r>
              <a:rPr lang="en-US" baseline="0"/>
              <a:t> (Minutes of Outages per Year)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Sheet1!$C$190:$H$190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A-41ED-BCA5-2C948C7F7D86}"/>
            </c:ext>
          </c:extLst>
        </c:ser>
        <c:ser>
          <c:idx val="1"/>
          <c:order val="1"/>
          <c:tx>
            <c:strRef>
              <c:f>Sheet1!$B$191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Sheet1!$C$191:$H$191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CA-41ED-BCA5-2C948C7F7D86}"/>
            </c:ext>
          </c:extLst>
        </c:ser>
        <c:ser>
          <c:idx val="2"/>
          <c:order val="2"/>
          <c:tx>
            <c:strRef>
              <c:f>Sheet1!$B$192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Sheet1!$C$192:$H$192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CA-41ED-BCA5-2C948C7F7D86}"/>
            </c:ext>
          </c:extLst>
        </c:ser>
        <c:ser>
          <c:idx val="3"/>
          <c:order val="3"/>
          <c:tx>
            <c:strRef>
              <c:f>Sheet1!$B$193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Sheet1!$C$193:$H$193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CA-41ED-BCA5-2C948C7F7D86}"/>
            </c:ext>
          </c:extLst>
        </c:ser>
        <c:ser>
          <c:idx val="4"/>
          <c:order val="4"/>
          <c:tx>
            <c:strRef>
              <c:f>Sheet1!$B$194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Sheet1!$C$194:$H$194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CA-41ED-BCA5-2C948C7F7D86}"/>
            </c:ext>
          </c:extLst>
        </c:ser>
        <c:ser>
          <c:idx val="5"/>
          <c:order val="5"/>
          <c:tx>
            <c:strRef>
              <c:f>Sheet1!$B$195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Sheet1!$C$195:$H$195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CA-41ED-BCA5-2C948C7F7D86}"/>
            </c:ext>
          </c:extLst>
        </c:ser>
        <c:ser>
          <c:idx val="6"/>
          <c:order val="6"/>
          <c:tx>
            <c:strRef>
              <c:f>Sheet1!$B$196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Sheet1!$C$196:$H$196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9CA-41ED-BCA5-2C948C7F7D86}"/>
            </c:ext>
          </c:extLst>
        </c:ser>
        <c:ser>
          <c:idx val="7"/>
          <c:order val="7"/>
          <c:tx>
            <c:strRef>
              <c:f>Sheet1!$B$197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Sheet1!$C$197:$H$197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CA-41ED-BCA5-2C948C7F7D86}"/>
            </c:ext>
          </c:extLst>
        </c:ser>
        <c:ser>
          <c:idx val="8"/>
          <c:order val="8"/>
          <c:tx>
            <c:strRef>
              <c:f>Sheet1!$B$198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Sheet1!$C$198:$H$198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9CA-41ED-BCA5-2C948C7F7D86}"/>
            </c:ext>
          </c:extLst>
        </c:ser>
        <c:ser>
          <c:idx val="9"/>
          <c:order val="9"/>
          <c:tx>
            <c:strRef>
              <c:f>Sheet1!$B$199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Sheet1!$C$199:$H$199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9CA-41ED-BCA5-2C948C7F7D86}"/>
            </c:ext>
          </c:extLst>
        </c:ser>
        <c:ser>
          <c:idx val="10"/>
          <c:order val="10"/>
          <c:tx>
            <c:strRef>
              <c:f>Sheet1!$B$200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Sheet1!$C$200:$H$200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2C-44AA-92E9-76A4B0139E9A}"/>
            </c:ext>
          </c:extLst>
        </c:ser>
        <c:ser>
          <c:idx val="11"/>
          <c:order val="11"/>
          <c:tx>
            <c:strRef>
              <c:f>Sheet1!$B$201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Sheet1!$C$201:$H$201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8-4E0D-AB03-63B9F6009EDB}"/>
            </c:ext>
          </c:extLst>
        </c:ser>
        <c:ser>
          <c:idx val="12"/>
          <c:order val="12"/>
          <c:tx>
            <c:strRef>
              <c:f>Sheet1!$B$202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Sheet1!$C$202:$H$202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38-4E0D-AB03-63B9F6009EDB}"/>
            </c:ext>
          </c:extLst>
        </c:ser>
        <c:ser>
          <c:idx val="13"/>
          <c:order val="13"/>
          <c:tx>
            <c:strRef>
              <c:f>Sheet1!$B$203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Sheet1!$C$203:$H$203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38-4E0D-AB03-63B9F6009EDB}"/>
            </c:ext>
          </c:extLst>
        </c:ser>
        <c:ser>
          <c:idx val="14"/>
          <c:order val="14"/>
          <c:tx>
            <c:strRef>
              <c:f>Sheet1!$B$204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Sheet1!$C$204:$H$204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38-4E0D-AB03-63B9F6009EDB}"/>
            </c:ext>
          </c:extLst>
        </c:ser>
        <c:ser>
          <c:idx val="15"/>
          <c:order val="15"/>
          <c:tx>
            <c:strRef>
              <c:f>Sheet1!$B$205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Sheet1!$C$205:$H$205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38-4E0D-AB03-63B9F6009EDB}"/>
            </c:ext>
          </c:extLst>
        </c:ser>
        <c:ser>
          <c:idx val="16"/>
          <c:order val="16"/>
          <c:tx>
            <c:strRef>
              <c:f>Sheet1!$B$206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Sheet1!$C$206:$H$206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38-4E0D-AB03-63B9F6009EDB}"/>
            </c:ext>
          </c:extLst>
        </c:ser>
        <c:ser>
          <c:idx val="17"/>
          <c:order val="17"/>
          <c:tx>
            <c:strRef>
              <c:f>Sheet1!$B$207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Sheet1!$C$207:$H$207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038-4E0D-AB03-63B9F6009EDB}"/>
            </c:ext>
          </c:extLst>
        </c:ser>
        <c:ser>
          <c:idx val="18"/>
          <c:order val="18"/>
          <c:tx>
            <c:strRef>
              <c:f>Sheet1!$B$208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Sheet1!$C$208:$H$208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038-4E0D-AB03-63B9F6009EDB}"/>
            </c:ext>
          </c:extLst>
        </c:ser>
        <c:ser>
          <c:idx val="19"/>
          <c:order val="19"/>
          <c:tx>
            <c:strRef>
              <c:f>Sheet1!$B$209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Sheet1!$C$209:$H$209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038-4E0D-AB03-63B9F6009EDB}"/>
            </c:ext>
          </c:extLst>
        </c:ser>
        <c:ser>
          <c:idx val="20"/>
          <c:order val="20"/>
          <c:tx>
            <c:strRef>
              <c:f>Sheet1!$B$210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Sheet1!$C$210:$H$210</c:f>
              <c:numCache>
                <c:formatCode>General</c:formatCode>
                <c:ptCount val="6"/>
                <c:pt idx="0">
                  <c:v>287</c:v>
                </c:pt>
                <c:pt idx="1">
                  <c:v>275.60000000000002</c:v>
                </c:pt>
                <c:pt idx="2">
                  <c:v>264.20000000000005</c:v>
                </c:pt>
                <c:pt idx="3">
                  <c:v>252.80000000000004</c:v>
                </c:pt>
                <c:pt idx="4">
                  <c:v>241.40000000000003</c:v>
                </c:pt>
                <c:pt idx="5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038-4E0D-AB03-63B9F6009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339832"/>
        <c:axId val="554340488"/>
      </c:lineChart>
      <c:catAx>
        <c:axId val="5543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0488"/>
        <c:crosses val="autoZero"/>
        <c:auto val="1"/>
        <c:lblAlgn val="ctr"/>
        <c:lblOffset val="100"/>
        <c:noMultiLvlLbl val="1"/>
      </c:catAx>
      <c:valAx>
        <c:axId val="554340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Bills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Sheet1!$C$127:$H$127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5-4773-AEBA-C6900F1837A1}"/>
            </c:ext>
          </c:extLst>
        </c:ser>
        <c:ser>
          <c:idx val="1"/>
          <c:order val="1"/>
          <c:tx>
            <c:strRef>
              <c:f>Sheet1!$B$128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Sheet1!$C$128:$H$128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65-4773-AEBA-C6900F1837A1}"/>
            </c:ext>
          </c:extLst>
        </c:ser>
        <c:ser>
          <c:idx val="2"/>
          <c:order val="2"/>
          <c:tx>
            <c:strRef>
              <c:f>Sheet1!$B$129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Sheet1!$C$129:$H$129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65-4773-AEBA-C6900F1837A1}"/>
            </c:ext>
          </c:extLst>
        </c:ser>
        <c:ser>
          <c:idx val="3"/>
          <c:order val="3"/>
          <c:tx>
            <c:strRef>
              <c:f>Sheet1!$B$130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Sheet1!$C$130:$H$130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65-4773-AEBA-C6900F1837A1}"/>
            </c:ext>
          </c:extLst>
        </c:ser>
        <c:ser>
          <c:idx val="4"/>
          <c:order val="4"/>
          <c:tx>
            <c:strRef>
              <c:f>Sheet1!$B$131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Sheet1!$C$131:$H$131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65-4773-AEBA-C6900F1837A1}"/>
            </c:ext>
          </c:extLst>
        </c:ser>
        <c:ser>
          <c:idx val="5"/>
          <c:order val="5"/>
          <c:tx>
            <c:strRef>
              <c:f>Sheet1!$B$132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Sheet1!$C$132:$H$132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65-4773-AEBA-C6900F1837A1}"/>
            </c:ext>
          </c:extLst>
        </c:ser>
        <c:ser>
          <c:idx val="6"/>
          <c:order val="6"/>
          <c:tx>
            <c:strRef>
              <c:f>Sheet1!$B$133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Sheet1!$C$133:$H$133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65-4773-AEBA-C6900F1837A1}"/>
            </c:ext>
          </c:extLst>
        </c:ser>
        <c:ser>
          <c:idx val="7"/>
          <c:order val="7"/>
          <c:tx>
            <c:strRef>
              <c:f>Sheet1!$B$134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Sheet1!$C$134:$H$134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665-4773-AEBA-C6900F1837A1}"/>
            </c:ext>
          </c:extLst>
        </c:ser>
        <c:ser>
          <c:idx val="8"/>
          <c:order val="8"/>
          <c:tx>
            <c:strRef>
              <c:f>Sheet1!$B$135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Sheet1!$C$135:$H$135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665-4773-AEBA-C6900F1837A1}"/>
            </c:ext>
          </c:extLst>
        </c:ser>
        <c:ser>
          <c:idx val="9"/>
          <c:order val="9"/>
          <c:tx>
            <c:strRef>
              <c:f>Sheet1!$B$136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Sheet1!$C$136:$H$136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665-4773-AEBA-C6900F1837A1}"/>
            </c:ext>
          </c:extLst>
        </c:ser>
        <c:ser>
          <c:idx val="10"/>
          <c:order val="10"/>
          <c:tx>
            <c:strRef>
              <c:f>Sheet1!$B$137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Sheet1!$C$137:$H$137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BD-4FC6-9351-3884CE1EF6AA}"/>
            </c:ext>
          </c:extLst>
        </c:ser>
        <c:ser>
          <c:idx val="11"/>
          <c:order val="11"/>
          <c:tx>
            <c:strRef>
              <c:f>Sheet1!$B$138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Sheet1!$C$138:$H$138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4-46EE-84DF-ADD957AB3D29}"/>
            </c:ext>
          </c:extLst>
        </c:ser>
        <c:ser>
          <c:idx val="12"/>
          <c:order val="12"/>
          <c:tx>
            <c:strRef>
              <c:f>Sheet1!$B$139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Sheet1!$C$139:$H$139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44-46EE-84DF-ADD957AB3D29}"/>
            </c:ext>
          </c:extLst>
        </c:ser>
        <c:ser>
          <c:idx val="13"/>
          <c:order val="13"/>
          <c:tx>
            <c:strRef>
              <c:f>Sheet1!$B$140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Sheet1!$C$140:$H$140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44-46EE-84DF-ADD957AB3D29}"/>
            </c:ext>
          </c:extLst>
        </c:ser>
        <c:ser>
          <c:idx val="14"/>
          <c:order val="14"/>
          <c:tx>
            <c:strRef>
              <c:f>Sheet1!$B$141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Sheet1!$C$141:$H$141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44-46EE-84DF-ADD957AB3D29}"/>
            </c:ext>
          </c:extLst>
        </c:ser>
        <c:ser>
          <c:idx val="15"/>
          <c:order val="15"/>
          <c:tx>
            <c:strRef>
              <c:f>Sheet1!$B$142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Sheet1!$C$142:$H$142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44-46EE-84DF-ADD957AB3D29}"/>
            </c:ext>
          </c:extLst>
        </c:ser>
        <c:ser>
          <c:idx val="16"/>
          <c:order val="16"/>
          <c:tx>
            <c:strRef>
              <c:f>Sheet1!$B$143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Sheet1!$C$143:$H$143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44-46EE-84DF-ADD957AB3D29}"/>
            </c:ext>
          </c:extLst>
        </c:ser>
        <c:ser>
          <c:idx val="17"/>
          <c:order val="17"/>
          <c:tx>
            <c:strRef>
              <c:f>Sheet1!$B$144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Sheet1!$C$144:$H$144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44-46EE-84DF-ADD957AB3D29}"/>
            </c:ext>
          </c:extLst>
        </c:ser>
        <c:ser>
          <c:idx val="18"/>
          <c:order val="18"/>
          <c:tx>
            <c:strRef>
              <c:f>Sheet1!$B$145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Sheet1!$C$145:$H$145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944-46EE-84DF-ADD957AB3D29}"/>
            </c:ext>
          </c:extLst>
        </c:ser>
        <c:ser>
          <c:idx val="19"/>
          <c:order val="19"/>
          <c:tx>
            <c:strRef>
              <c:f>Sheet1!$B$146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Sheet1!$C$146:$H$146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44-46EE-84DF-ADD957AB3D29}"/>
            </c:ext>
          </c:extLst>
        </c:ser>
        <c:ser>
          <c:idx val="20"/>
          <c:order val="20"/>
          <c:tx>
            <c:strRef>
              <c:f>Sheet1!$B$147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Sheet1!$C$147:$H$147</c:f>
              <c:numCache>
                <c:formatCode>General</c:formatCode>
                <c:ptCount val="6"/>
                <c:pt idx="0">
                  <c:v>95.7</c:v>
                </c:pt>
                <c:pt idx="1">
                  <c:v>95.7</c:v>
                </c:pt>
                <c:pt idx="2">
                  <c:v>95.7</c:v>
                </c:pt>
                <c:pt idx="3">
                  <c:v>95.7</c:v>
                </c:pt>
                <c:pt idx="4">
                  <c:v>95.7</c:v>
                </c:pt>
                <c:pt idx="5">
                  <c:v>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944-46EE-84DF-ADD957AB3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339832"/>
        <c:axId val="554340488"/>
      </c:lineChart>
      <c:catAx>
        <c:axId val="5543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0488"/>
        <c:crosses val="autoZero"/>
        <c:auto val="1"/>
        <c:lblAlgn val="ctr"/>
        <c:lblOffset val="100"/>
        <c:noMultiLvlLbl val="1"/>
      </c:catAx>
      <c:valAx>
        <c:axId val="554340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Earnings per Share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Sheet1!$C$148:$H$148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F-4EF2-9B62-D90BC66B2093}"/>
            </c:ext>
          </c:extLst>
        </c:ser>
        <c:ser>
          <c:idx val="1"/>
          <c:order val="1"/>
          <c:tx>
            <c:strRef>
              <c:f>Sheet1!$B$149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Sheet1!$C$149:$H$149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F-4EF2-9B62-D90BC66B2093}"/>
            </c:ext>
          </c:extLst>
        </c:ser>
        <c:ser>
          <c:idx val="2"/>
          <c:order val="2"/>
          <c:tx>
            <c:strRef>
              <c:f>Sheet1!$B$150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Sheet1!$C$150:$H$150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8F-4EF2-9B62-D90BC66B2093}"/>
            </c:ext>
          </c:extLst>
        </c:ser>
        <c:ser>
          <c:idx val="3"/>
          <c:order val="3"/>
          <c:tx>
            <c:strRef>
              <c:f>Sheet1!$B$151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Sheet1!$C$151:$H$151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8F-4EF2-9B62-D90BC66B2093}"/>
            </c:ext>
          </c:extLst>
        </c:ser>
        <c:ser>
          <c:idx val="4"/>
          <c:order val="4"/>
          <c:tx>
            <c:strRef>
              <c:f>Sheet1!$B$152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Sheet1!$C$152:$H$152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8F-4EF2-9B62-D90BC66B2093}"/>
            </c:ext>
          </c:extLst>
        </c:ser>
        <c:ser>
          <c:idx val="5"/>
          <c:order val="5"/>
          <c:tx>
            <c:strRef>
              <c:f>Sheet1!$B$153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Sheet1!$C$153:$H$153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F8F-4EF2-9B62-D90BC66B2093}"/>
            </c:ext>
          </c:extLst>
        </c:ser>
        <c:ser>
          <c:idx val="6"/>
          <c:order val="6"/>
          <c:tx>
            <c:strRef>
              <c:f>Sheet1!$B$154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Sheet1!$C$154:$H$154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F8F-4EF2-9B62-D90BC66B2093}"/>
            </c:ext>
          </c:extLst>
        </c:ser>
        <c:ser>
          <c:idx val="7"/>
          <c:order val="7"/>
          <c:tx>
            <c:strRef>
              <c:f>Sheet1!$B$155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Sheet1!$C$155:$H$155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F8F-4EF2-9B62-D90BC66B2093}"/>
            </c:ext>
          </c:extLst>
        </c:ser>
        <c:ser>
          <c:idx val="8"/>
          <c:order val="8"/>
          <c:tx>
            <c:strRef>
              <c:f>Sheet1!$B$156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Sheet1!$C$156:$H$156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F8F-4EF2-9B62-D90BC66B2093}"/>
            </c:ext>
          </c:extLst>
        </c:ser>
        <c:ser>
          <c:idx val="9"/>
          <c:order val="9"/>
          <c:tx>
            <c:strRef>
              <c:f>Sheet1!$B$157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Sheet1!$C$157:$H$157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F8F-4EF2-9B62-D90BC66B2093}"/>
            </c:ext>
          </c:extLst>
        </c:ser>
        <c:ser>
          <c:idx val="10"/>
          <c:order val="10"/>
          <c:tx>
            <c:strRef>
              <c:f>Sheet1!$B$158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Sheet1!$C$158:$H$158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D-42E8-A4BF-1A6B2984F3D6}"/>
            </c:ext>
          </c:extLst>
        </c:ser>
        <c:ser>
          <c:idx val="11"/>
          <c:order val="11"/>
          <c:tx>
            <c:strRef>
              <c:f>Sheet1!$B$159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Sheet1!$C$159:$H$159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BD-42E8-A4BF-1A6B2984F3D6}"/>
            </c:ext>
          </c:extLst>
        </c:ser>
        <c:ser>
          <c:idx val="12"/>
          <c:order val="12"/>
          <c:tx>
            <c:strRef>
              <c:f>Sheet1!$B$160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Sheet1!$C$160:$H$160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BD-42E8-A4BF-1A6B2984F3D6}"/>
            </c:ext>
          </c:extLst>
        </c:ser>
        <c:ser>
          <c:idx val="13"/>
          <c:order val="13"/>
          <c:tx>
            <c:strRef>
              <c:f>Sheet1!$B$161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Sheet1!$C$161:$H$161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BD-42E8-A4BF-1A6B2984F3D6}"/>
            </c:ext>
          </c:extLst>
        </c:ser>
        <c:ser>
          <c:idx val="14"/>
          <c:order val="14"/>
          <c:tx>
            <c:strRef>
              <c:f>Sheet1!$B$162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Sheet1!$C$162:$H$162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BD-42E8-A4BF-1A6B2984F3D6}"/>
            </c:ext>
          </c:extLst>
        </c:ser>
        <c:ser>
          <c:idx val="15"/>
          <c:order val="15"/>
          <c:tx>
            <c:strRef>
              <c:f>Sheet1!$B$163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Sheet1!$C$163:$H$163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BD-42E8-A4BF-1A6B2984F3D6}"/>
            </c:ext>
          </c:extLst>
        </c:ser>
        <c:ser>
          <c:idx val="16"/>
          <c:order val="16"/>
          <c:tx>
            <c:strRef>
              <c:f>Sheet1!$B$164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Sheet1!$C$164:$H$164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BD-42E8-A4BF-1A6B2984F3D6}"/>
            </c:ext>
          </c:extLst>
        </c:ser>
        <c:ser>
          <c:idx val="17"/>
          <c:order val="17"/>
          <c:tx>
            <c:strRef>
              <c:f>Sheet1!$B$165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Sheet1!$C$165:$H$165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BD-42E8-A4BF-1A6B2984F3D6}"/>
            </c:ext>
          </c:extLst>
        </c:ser>
        <c:ser>
          <c:idx val="18"/>
          <c:order val="18"/>
          <c:tx>
            <c:strRef>
              <c:f>Sheet1!$B$166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Sheet1!$C$166:$H$166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BD-42E8-A4BF-1A6B2984F3D6}"/>
            </c:ext>
          </c:extLst>
        </c:ser>
        <c:ser>
          <c:idx val="19"/>
          <c:order val="19"/>
          <c:tx>
            <c:strRef>
              <c:f>Sheet1!$B$167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Sheet1!$C$167:$H$167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BD-42E8-A4BF-1A6B2984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339832"/>
        <c:axId val="554340488"/>
      </c:lineChart>
      <c:catAx>
        <c:axId val="5543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0488"/>
        <c:crosses val="autoZero"/>
        <c:auto val="1"/>
        <c:lblAlgn val="ctr"/>
        <c:lblOffset val="100"/>
        <c:noMultiLvlLbl val="1"/>
      </c:catAx>
      <c:valAx>
        <c:axId val="55434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</a:t>
            </a:r>
            <a:r>
              <a:rPr lang="en-US" baseline="0"/>
              <a:t> Emissions Rate (lbs/MWh)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Sheet1!$C$169:$H$169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D8-4794-AA41-E9FD9939BDCD}"/>
            </c:ext>
          </c:extLst>
        </c:ser>
        <c:ser>
          <c:idx val="1"/>
          <c:order val="1"/>
          <c:tx>
            <c:strRef>
              <c:f>Sheet1!$B$170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Sheet1!$C$170:$H$170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D8-4794-AA41-E9FD9939BDCD}"/>
            </c:ext>
          </c:extLst>
        </c:ser>
        <c:ser>
          <c:idx val="2"/>
          <c:order val="2"/>
          <c:tx>
            <c:strRef>
              <c:f>Sheet1!$B$171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Sheet1!$C$171:$H$171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D8-4794-AA41-E9FD9939BDCD}"/>
            </c:ext>
          </c:extLst>
        </c:ser>
        <c:ser>
          <c:idx val="3"/>
          <c:order val="3"/>
          <c:tx>
            <c:strRef>
              <c:f>Sheet1!$B$172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Sheet1!$C$172:$H$172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D8-4794-AA41-E9FD9939BDCD}"/>
            </c:ext>
          </c:extLst>
        </c:ser>
        <c:ser>
          <c:idx val="4"/>
          <c:order val="4"/>
          <c:tx>
            <c:strRef>
              <c:f>Sheet1!$B$173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Sheet1!$C$173:$H$173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D8-4794-AA41-E9FD9939BDCD}"/>
            </c:ext>
          </c:extLst>
        </c:ser>
        <c:ser>
          <c:idx val="5"/>
          <c:order val="5"/>
          <c:tx>
            <c:strRef>
              <c:f>Sheet1!$B$174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Sheet1!$C$174:$H$174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D8-4794-AA41-E9FD9939BDCD}"/>
            </c:ext>
          </c:extLst>
        </c:ser>
        <c:ser>
          <c:idx val="6"/>
          <c:order val="6"/>
          <c:tx>
            <c:strRef>
              <c:f>Sheet1!$B$175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Sheet1!$C$175:$H$175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D8-4794-AA41-E9FD9939BDCD}"/>
            </c:ext>
          </c:extLst>
        </c:ser>
        <c:ser>
          <c:idx val="7"/>
          <c:order val="7"/>
          <c:tx>
            <c:strRef>
              <c:f>Sheet1!$B$176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Sheet1!$C$176:$H$176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D8-4794-AA41-E9FD9939BDCD}"/>
            </c:ext>
          </c:extLst>
        </c:ser>
        <c:ser>
          <c:idx val="8"/>
          <c:order val="8"/>
          <c:tx>
            <c:strRef>
              <c:f>Sheet1!$B$177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Sheet1!$C$177:$H$177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D8-4794-AA41-E9FD9939BDCD}"/>
            </c:ext>
          </c:extLst>
        </c:ser>
        <c:ser>
          <c:idx val="9"/>
          <c:order val="9"/>
          <c:tx>
            <c:strRef>
              <c:f>Sheet1!$B$178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Sheet1!$C$178:$H$178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D8-4794-AA41-E9FD9939BDCD}"/>
            </c:ext>
          </c:extLst>
        </c:ser>
        <c:ser>
          <c:idx val="10"/>
          <c:order val="10"/>
          <c:tx>
            <c:strRef>
              <c:f>Sheet1!$B$179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Sheet1!$C$179:$H$179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68-4C39-BF00-B8E98FED0016}"/>
            </c:ext>
          </c:extLst>
        </c:ser>
        <c:ser>
          <c:idx val="11"/>
          <c:order val="11"/>
          <c:tx>
            <c:strRef>
              <c:f>Sheet1!$B$180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Sheet1!$C$180:$H$180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F-47BB-8DE6-5BAD8BAEA96A}"/>
            </c:ext>
          </c:extLst>
        </c:ser>
        <c:ser>
          <c:idx val="12"/>
          <c:order val="12"/>
          <c:tx>
            <c:strRef>
              <c:f>Sheet1!$B$181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Sheet1!$C$181:$H$181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7F-47BB-8DE6-5BAD8BAEA96A}"/>
            </c:ext>
          </c:extLst>
        </c:ser>
        <c:ser>
          <c:idx val="13"/>
          <c:order val="13"/>
          <c:tx>
            <c:strRef>
              <c:f>Sheet1!$B$182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Sheet1!$C$182:$H$182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7F-47BB-8DE6-5BAD8BAEA96A}"/>
            </c:ext>
          </c:extLst>
        </c:ser>
        <c:ser>
          <c:idx val="14"/>
          <c:order val="14"/>
          <c:tx>
            <c:strRef>
              <c:f>Sheet1!$B$183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Sheet1!$C$183:$H$183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7F-47BB-8DE6-5BAD8BAEA96A}"/>
            </c:ext>
          </c:extLst>
        </c:ser>
        <c:ser>
          <c:idx val="15"/>
          <c:order val="15"/>
          <c:tx>
            <c:strRef>
              <c:f>Sheet1!$B$184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Sheet1!$C$184:$H$184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7F-47BB-8DE6-5BAD8BAEA96A}"/>
            </c:ext>
          </c:extLst>
        </c:ser>
        <c:ser>
          <c:idx val="16"/>
          <c:order val="16"/>
          <c:tx>
            <c:strRef>
              <c:f>Sheet1!$B$185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Sheet1!$C$185:$H$185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7F-47BB-8DE6-5BAD8BAEA96A}"/>
            </c:ext>
          </c:extLst>
        </c:ser>
        <c:ser>
          <c:idx val="17"/>
          <c:order val="17"/>
          <c:tx>
            <c:strRef>
              <c:f>Sheet1!$B$186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Sheet1!$C$186:$H$186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7F-47BB-8DE6-5BAD8BAEA96A}"/>
            </c:ext>
          </c:extLst>
        </c:ser>
        <c:ser>
          <c:idx val="18"/>
          <c:order val="18"/>
          <c:tx>
            <c:strRef>
              <c:f>Sheet1!$B$187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Sheet1!$C$187:$H$187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87F-47BB-8DE6-5BAD8BAEA96A}"/>
            </c:ext>
          </c:extLst>
        </c:ser>
        <c:ser>
          <c:idx val="19"/>
          <c:order val="19"/>
          <c:tx>
            <c:strRef>
              <c:f>Sheet1!$B$188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Sheet1!$C$188:$H$188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87F-47BB-8DE6-5BAD8BAEA96A}"/>
            </c:ext>
          </c:extLst>
        </c:ser>
        <c:ser>
          <c:idx val="20"/>
          <c:order val="20"/>
          <c:tx>
            <c:strRef>
              <c:f>Sheet1!$B$189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Sheet1!$C$189:$H$189</c:f>
              <c:numCache>
                <c:formatCode>General</c:formatCode>
                <c:ptCount val="6"/>
                <c:pt idx="0">
                  <c:v>1078</c:v>
                </c:pt>
                <c:pt idx="1">
                  <c:v>970.2</c:v>
                </c:pt>
                <c:pt idx="2">
                  <c:v>862.40000000000009</c:v>
                </c:pt>
                <c:pt idx="3">
                  <c:v>754.60000000000014</c:v>
                </c:pt>
                <c:pt idx="4">
                  <c:v>646.80000000000018</c:v>
                </c:pt>
                <c:pt idx="5">
                  <c:v>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87F-47BB-8DE6-5BAD8BAEA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339832"/>
        <c:axId val="554340488"/>
      </c:lineChart>
      <c:catAx>
        <c:axId val="5543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0488"/>
        <c:crosses val="autoZero"/>
        <c:auto val="1"/>
        <c:lblAlgn val="ctr"/>
        <c:lblOffset val="100"/>
        <c:noMultiLvlLbl val="1"/>
      </c:catAx>
      <c:valAx>
        <c:axId val="554340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Reliability</a:t>
            </a:r>
            <a:r>
              <a:rPr lang="en-US" baseline="0"/>
              <a:t> (Minutes of Outages per Year)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Sheet1!$C$190:$H$190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FD-4692-AD83-632B438D387F}"/>
            </c:ext>
          </c:extLst>
        </c:ser>
        <c:ser>
          <c:idx val="1"/>
          <c:order val="1"/>
          <c:tx>
            <c:strRef>
              <c:f>Sheet1!$B$191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Sheet1!$C$191:$H$191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D-4692-AD83-632B438D387F}"/>
            </c:ext>
          </c:extLst>
        </c:ser>
        <c:ser>
          <c:idx val="2"/>
          <c:order val="2"/>
          <c:tx>
            <c:strRef>
              <c:f>Sheet1!$B$192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Sheet1!$C$192:$H$192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FD-4692-AD83-632B438D387F}"/>
            </c:ext>
          </c:extLst>
        </c:ser>
        <c:ser>
          <c:idx val="3"/>
          <c:order val="3"/>
          <c:tx>
            <c:strRef>
              <c:f>Sheet1!$B$193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Sheet1!$C$193:$H$193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FD-4692-AD83-632B438D387F}"/>
            </c:ext>
          </c:extLst>
        </c:ser>
        <c:ser>
          <c:idx val="4"/>
          <c:order val="4"/>
          <c:tx>
            <c:strRef>
              <c:f>Sheet1!$B$194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Sheet1!$C$194:$H$194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D-4692-AD83-632B438D387F}"/>
            </c:ext>
          </c:extLst>
        </c:ser>
        <c:ser>
          <c:idx val="5"/>
          <c:order val="5"/>
          <c:tx>
            <c:strRef>
              <c:f>Sheet1!$B$195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Sheet1!$C$195:$H$195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FD-4692-AD83-632B438D387F}"/>
            </c:ext>
          </c:extLst>
        </c:ser>
        <c:ser>
          <c:idx val="6"/>
          <c:order val="6"/>
          <c:tx>
            <c:strRef>
              <c:f>Sheet1!$B$196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Sheet1!$C$196:$H$196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FD-4692-AD83-632B438D387F}"/>
            </c:ext>
          </c:extLst>
        </c:ser>
        <c:ser>
          <c:idx val="7"/>
          <c:order val="7"/>
          <c:tx>
            <c:strRef>
              <c:f>Sheet1!$B$197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Sheet1!$C$197:$H$197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FD-4692-AD83-632B438D387F}"/>
            </c:ext>
          </c:extLst>
        </c:ser>
        <c:ser>
          <c:idx val="8"/>
          <c:order val="8"/>
          <c:tx>
            <c:strRef>
              <c:f>Sheet1!$B$198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Sheet1!$C$198:$H$198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EFD-4692-AD83-632B438D387F}"/>
            </c:ext>
          </c:extLst>
        </c:ser>
        <c:ser>
          <c:idx val="9"/>
          <c:order val="9"/>
          <c:tx>
            <c:strRef>
              <c:f>Sheet1!$B$199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Sheet1!$C$199:$H$199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EFD-4692-AD83-632B438D387F}"/>
            </c:ext>
          </c:extLst>
        </c:ser>
        <c:ser>
          <c:idx val="10"/>
          <c:order val="10"/>
          <c:tx>
            <c:strRef>
              <c:f>Sheet1!$B$200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Sheet1!$C$200:$H$200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C-4C56-B104-B875E670A0AA}"/>
            </c:ext>
          </c:extLst>
        </c:ser>
        <c:ser>
          <c:idx val="11"/>
          <c:order val="11"/>
          <c:tx>
            <c:strRef>
              <c:f>Sheet1!$B$201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Sheet1!$C$201:$H$201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3B-44A1-A4EF-55326E468F95}"/>
            </c:ext>
          </c:extLst>
        </c:ser>
        <c:ser>
          <c:idx val="12"/>
          <c:order val="12"/>
          <c:tx>
            <c:strRef>
              <c:f>Sheet1!$B$202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Sheet1!$C$202:$H$202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3B-44A1-A4EF-55326E468F95}"/>
            </c:ext>
          </c:extLst>
        </c:ser>
        <c:ser>
          <c:idx val="13"/>
          <c:order val="13"/>
          <c:tx>
            <c:strRef>
              <c:f>Sheet1!$B$203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Sheet1!$C$203:$H$203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3B-44A1-A4EF-55326E468F95}"/>
            </c:ext>
          </c:extLst>
        </c:ser>
        <c:ser>
          <c:idx val="14"/>
          <c:order val="14"/>
          <c:tx>
            <c:strRef>
              <c:f>Sheet1!$B$204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Sheet1!$C$204:$H$204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3B-44A1-A4EF-55326E468F95}"/>
            </c:ext>
          </c:extLst>
        </c:ser>
        <c:ser>
          <c:idx val="15"/>
          <c:order val="15"/>
          <c:tx>
            <c:strRef>
              <c:f>Sheet1!$B$205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Sheet1!$C$205:$H$205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3B-44A1-A4EF-55326E468F95}"/>
            </c:ext>
          </c:extLst>
        </c:ser>
        <c:ser>
          <c:idx val="16"/>
          <c:order val="16"/>
          <c:tx>
            <c:strRef>
              <c:f>Sheet1!$B$206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Sheet1!$C$206:$H$206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3B-44A1-A4EF-55326E468F95}"/>
            </c:ext>
          </c:extLst>
        </c:ser>
        <c:ser>
          <c:idx val="17"/>
          <c:order val="17"/>
          <c:tx>
            <c:strRef>
              <c:f>Sheet1!$B$207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Sheet1!$C$207:$H$207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3B-44A1-A4EF-55326E468F95}"/>
            </c:ext>
          </c:extLst>
        </c:ser>
        <c:ser>
          <c:idx val="18"/>
          <c:order val="18"/>
          <c:tx>
            <c:strRef>
              <c:f>Sheet1!$B$208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Sheet1!$C$208:$H$208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3B-44A1-A4EF-55326E468F95}"/>
            </c:ext>
          </c:extLst>
        </c:ser>
        <c:ser>
          <c:idx val="19"/>
          <c:order val="19"/>
          <c:tx>
            <c:strRef>
              <c:f>Sheet1!$B$209</c:f>
              <c:strCache>
                <c:ptCount val="1"/>
                <c:pt idx="0">
                  <c:v>#N/A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Sheet1!$C$209:$H$209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93B-44A1-A4EF-55326E468F95}"/>
            </c:ext>
          </c:extLst>
        </c:ser>
        <c:ser>
          <c:idx val="20"/>
          <c:order val="20"/>
          <c:tx>
            <c:strRef>
              <c:f>Sheet1!$B$210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Sheet1!$C$126:$H$126</c:f>
              <c:strCache>
                <c:ptCount val="6"/>
                <c:pt idx="0">
                  <c:v>Round 0</c:v>
                </c:pt>
                <c:pt idx="1">
                  <c:v>Round 1</c:v>
                </c:pt>
                <c:pt idx="2">
                  <c:v>Round 2</c:v>
                </c:pt>
                <c:pt idx="3">
                  <c:v>Round 3</c:v>
                </c:pt>
                <c:pt idx="4">
                  <c:v>Round 4</c:v>
                </c:pt>
                <c:pt idx="5">
                  <c:v>Round 5</c:v>
                </c:pt>
              </c:strCache>
            </c:strRef>
          </c:cat>
          <c:val>
            <c:numRef>
              <c:f>Sheet1!$C$210:$H$210</c:f>
              <c:numCache>
                <c:formatCode>General</c:formatCode>
                <c:ptCount val="6"/>
                <c:pt idx="0">
                  <c:v>287</c:v>
                </c:pt>
                <c:pt idx="1">
                  <c:v>275.60000000000002</c:v>
                </c:pt>
                <c:pt idx="2">
                  <c:v>264.20000000000005</c:v>
                </c:pt>
                <c:pt idx="3">
                  <c:v>252.80000000000004</c:v>
                </c:pt>
                <c:pt idx="4">
                  <c:v>241.40000000000003</c:v>
                </c:pt>
                <c:pt idx="5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93B-44A1-A4EF-55326E468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339832"/>
        <c:axId val="554340488"/>
      </c:lineChart>
      <c:catAx>
        <c:axId val="5543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40488"/>
        <c:crosses val="autoZero"/>
        <c:auto val="1"/>
        <c:lblAlgn val="ctr"/>
        <c:lblOffset val="100"/>
        <c:noMultiLvlLbl val="1"/>
      </c:catAx>
      <c:valAx>
        <c:axId val="554340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3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13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/>
  <sheetViews>
    <sheetView zoomScale="13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4"/>
  <sheetViews>
    <sheetView zoomScale="13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495300</xdr:colOff>
      <xdr:row>36</xdr:row>
      <xdr:rowOff>114300</xdr:rowOff>
    </xdr:from>
    <xdr:to>
      <xdr:col>20</xdr:col>
      <xdr:colOff>409575</xdr:colOff>
      <xdr:row>41</xdr:row>
      <xdr:rowOff>76200</xdr:rowOff>
    </xdr:to>
    <xdr:sp macro="[0]!importresults" textlink="">
      <xdr:nvSpPr>
        <xdr:cNvPr id="2" name="Rounded Rectangle 1"/>
        <xdr:cNvSpPr/>
      </xdr:nvSpPr>
      <xdr:spPr>
        <a:xfrm>
          <a:off x="11620500" y="7029450"/>
          <a:ext cx="2962275" cy="9239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Update</a:t>
          </a:r>
        </a:p>
      </xdr:txBody>
    </xdr:sp>
    <xdr:clientData/>
  </xdr:twoCellAnchor>
  <xdr:twoCellAnchor>
    <xdr:from>
      <xdr:col>10</xdr:col>
      <xdr:colOff>190500</xdr:colOff>
      <xdr:row>36</xdr:row>
      <xdr:rowOff>180975</xdr:rowOff>
    </xdr:from>
    <xdr:to>
      <xdr:col>15</xdr:col>
      <xdr:colOff>104775</xdr:colOff>
      <xdr:row>41</xdr:row>
      <xdr:rowOff>142875</xdr:rowOff>
    </xdr:to>
    <xdr:sp macro="[0]!reset" textlink="">
      <xdr:nvSpPr>
        <xdr:cNvPr id="3" name="Rounded Rectangle 2"/>
        <xdr:cNvSpPr/>
      </xdr:nvSpPr>
      <xdr:spPr>
        <a:xfrm>
          <a:off x="8267700" y="7096125"/>
          <a:ext cx="2962275" cy="9239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Reset</a:t>
          </a:r>
        </a:p>
      </xdr:txBody>
    </xdr:sp>
    <xdr:clientData/>
  </xdr:twoCellAnchor>
  <xdr:twoCellAnchor>
    <xdr:from>
      <xdr:col>9</xdr:col>
      <xdr:colOff>600074</xdr:colOff>
      <xdr:row>1</xdr:row>
      <xdr:rowOff>161924</xdr:rowOff>
    </xdr:from>
    <xdr:to>
      <xdr:col>18</xdr:col>
      <xdr:colOff>38100</xdr:colOff>
      <xdr:row>16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57150</xdr:colOff>
      <xdr:row>1</xdr:row>
      <xdr:rowOff>152400</xdr:rowOff>
    </xdr:from>
    <xdr:to>
      <xdr:col>26</xdr:col>
      <xdr:colOff>104776</xdr:colOff>
      <xdr:row>16</xdr:row>
      <xdr:rowOff>161926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18</xdr:col>
      <xdr:colOff>47626</xdr:colOff>
      <xdr:row>33</xdr:row>
      <xdr:rowOff>19051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76200</xdr:colOff>
      <xdr:row>18</xdr:row>
      <xdr:rowOff>19050</xdr:rowOff>
    </xdr:from>
    <xdr:to>
      <xdr:col>26</xdr:col>
      <xdr:colOff>123826</xdr:colOff>
      <xdr:row>33</xdr:row>
      <xdr:rowOff>38101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2893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2893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2893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3548" cy="628930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2"/>
  <sheetViews>
    <sheetView tabSelected="1" zoomScaleNormal="100" workbookViewId="0">
      <selection activeCell="J125" sqref="J125"/>
    </sheetView>
  </sheetViews>
  <sheetFormatPr defaultRowHeight="15" x14ac:dyDescent="0.25"/>
  <cols>
    <col min="1" max="1" width="27.85546875" customWidth="1"/>
    <col min="2" max="2" width="20" customWidth="1"/>
    <col min="3" max="3" width="12.28515625" customWidth="1"/>
    <col min="4" max="5" width="11.5703125" bestFit="1" customWidth="1"/>
  </cols>
  <sheetData>
    <row r="1" spans="1:9" x14ac:dyDescent="0.25">
      <c r="A1" s="1" t="s">
        <v>0</v>
      </c>
    </row>
    <row r="2" spans="1:9" x14ac:dyDescent="0.25">
      <c r="A2" s="14">
        <v>1</v>
      </c>
      <c r="B2" s="15" t="s">
        <v>9</v>
      </c>
    </row>
    <row r="4" spans="1:9" ht="15.75" thickBot="1" x14ac:dyDescent="0.3"/>
    <row r="5" spans="1:9" x14ac:dyDescent="0.25">
      <c r="A5" s="16">
        <f>A7</f>
        <v>0</v>
      </c>
      <c r="B5" s="17"/>
      <c r="C5" s="17"/>
      <c r="D5" s="17"/>
      <c r="E5" s="17"/>
      <c r="F5" s="17"/>
      <c r="G5" s="17"/>
      <c r="H5" s="17"/>
      <c r="I5" s="18"/>
    </row>
    <row r="6" spans="1:9" x14ac:dyDescent="0.25">
      <c r="A6" s="2"/>
      <c r="B6" s="3"/>
      <c r="C6" s="3"/>
      <c r="D6" s="3"/>
      <c r="E6" s="3"/>
      <c r="F6" s="3"/>
      <c r="G6" s="3"/>
      <c r="H6" s="3"/>
      <c r="I6" s="4"/>
    </row>
    <row r="7" spans="1:9" x14ac:dyDescent="0.25">
      <c r="A7" s="2"/>
      <c r="B7" s="3"/>
      <c r="C7" s="3"/>
      <c r="D7" s="12"/>
      <c r="E7" s="12"/>
      <c r="F7" s="12"/>
      <c r="G7" s="12"/>
      <c r="H7" s="12"/>
      <c r="I7" s="13"/>
    </row>
    <row r="8" spans="1:9" x14ac:dyDescent="0.25">
      <c r="A8" s="2"/>
      <c r="B8" s="3"/>
      <c r="C8" s="3"/>
      <c r="D8" s="12"/>
      <c r="E8" s="12"/>
      <c r="F8" s="12"/>
      <c r="G8" s="12"/>
      <c r="H8" s="12"/>
      <c r="I8" s="13"/>
    </row>
    <row r="9" spans="1:9" x14ac:dyDescent="0.25">
      <c r="A9" s="2"/>
      <c r="B9" s="3"/>
      <c r="C9" s="3"/>
      <c r="D9" s="8"/>
      <c r="E9" s="8"/>
      <c r="F9" s="8"/>
      <c r="G9" s="8"/>
      <c r="H9" s="8"/>
      <c r="I9" s="9"/>
    </row>
    <row r="10" spans="1:9" ht="15.75" thickBot="1" x14ac:dyDescent="0.3">
      <c r="A10" s="5"/>
      <c r="B10" s="6"/>
      <c r="C10" s="6"/>
      <c r="D10" s="10"/>
      <c r="E10" s="10"/>
      <c r="F10" s="10"/>
      <c r="G10" s="10"/>
      <c r="H10" s="10"/>
      <c r="I10" s="11"/>
    </row>
    <row r="11" spans="1:9" x14ac:dyDescent="0.25">
      <c r="A11" s="16">
        <f>A13</f>
        <v>0</v>
      </c>
      <c r="B11" s="17"/>
      <c r="C11" s="17"/>
      <c r="D11" s="17"/>
      <c r="E11" s="17"/>
      <c r="F11" s="17"/>
      <c r="G11" s="17"/>
      <c r="H11" s="17"/>
      <c r="I11" s="18"/>
    </row>
    <row r="12" spans="1:9" x14ac:dyDescent="0.25">
      <c r="A12" s="2"/>
      <c r="B12" s="3"/>
      <c r="C12" s="3"/>
      <c r="D12" s="3"/>
      <c r="E12" s="3"/>
      <c r="F12" s="3"/>
      <c r="G12" s="3"/>
      <c r="H12" s="3"/>
      <c r="I12" s="4"/>
    </row>
    <row r="13" spans="1:9" x14ac:dyDescent="0.25">
      <c r="A13" s="2"/>
      <c r="B13" s="3"/>
      <c r="C13" s="3"/>
      <c r="D13" s="3"/>
      <c r="E13" s="3"/>
      <c r="F13" s="3"/>
      <c r="G13" s="3"/>
      <c r="H13" s="3"/>
      <c r="I13" s="4"/>
    </row>
    <row r="14" spans="1:9" x14ac:dyDescent="0.25">
      <c r="A14" s="2"/>
      <c r="B14" s="3"/>
      <c r="C14" s="3"/>
      <c r="D14" s="3"/>
      <c r="E14" s="3"/>
      <c r="F14" s="3"/>
      <c r="G14" s="3"/>
      <c r="H14" s="3"/>
      <c r="I14" s="4"/>
    </row>
    <row r="15" spans="1:9" x14ac:dyDescent="0.25">
      <c r="A15" s="2"/>
      <c r="B15" s="3"/>
      <c r="C15" s="3"/>
      <c r="D15" s="3"/>
      <c r="E15" s="3"/>
      <c r="F15" s="3"/>
      <c r="G15" s="3"/>
      <c r="H15" s="3"/>
      <c r="I15" s="4"/>
    </row>
    <row r="16" spans="1:9" ht="15.75" thickBot="1" x14ac:dyDescent="0.3">
      <c r="A16" s="5"/>
      <c r="B16" s="6"/>
      <c r="C16" s="6"/>
      <c r="D16" s="6"/>
      <c r="E16" s="6"/>
      <c r="F16" s="6"/>
      <c r="G16" s="6"/>
      <c r="H16" s="6"/>
      <c r="I16" s="7"/>
    </row>
    <row r="17" spans="1:9" x14ac:dyDescent="0.25">
      <c r="A17" s="16">
        <f>A19</f>
        <v>0</v>
      </c>
      <c r="B17" s="17"/>
      <c r="C17" s="17"/>
      <c r="D17" s="17"/>
      <c r="E17" s="17"/>
      <c r="F17" s="17"/>
      <c r="G17" s="17"/>
      <c r="H17" s="17"/>
      <c r="I17" s="18"/>
    </row>
    <row r="18" spans="1:9" x14ac:dyDescent="0.25">
      <c r="A18" s="2"/>
      <c r="B18" s="3"/>
      <c r="C18" s="3"/>
      <c r="D18" s="3"/>
      <c r="E18" s="3"/>
      <c r="F18" s="3"/>
      <c r="G18" s="3"/>
      <c r="H18" s="3"/>
      <c r="I18" s="4"/>
    </row>
    <row r="19" spans="1:9" x14ac:dyDescent="0.25">
      <c r="A19" s="2"/>
      <c r="B19" s="3"/>
      <c r="C19" s="3"/>
      <c r="D19" s="3"/>
      <c r="E19" s="3"/>
      <c r="F19" s="3"/>
      <c r="G19" s="3"/>
      <c r="H19" s="3"/>
      <c r="I19" s="4"/>
    </row>
    <row r="20" spans="1:9" x14ac:dyDescent="0.25">
      <c r="A20" s="2"/>
      <c r="B20" s="3"/>
      <c r="C20" s="3"/>
      <c r="D20" s="3"/>
      <c r="E20" s="3"/>
      <c r="F20" s="3"/>
      <c r="G20" s="3"/>
      <c r="H20" s="3"/>
      <c r="I20" s="4"/>
    </row>
    <row r="21" spans="1:9" x14ac:dyDescent="0.25">
      <c r="A21" s="2"/>
      <c r="B21" s="3"/>
      <c r="C21" s="3"/>
      <c r="D21" s="3"/>
      <c r="E21" s="3"/>
      <c r="F21" s="3"/>
      <c r="G21" s="3"/>
      <c r="H21" s="3"/>
      <c r="I21" s="4"/>
    </row>
    <row r="22" spans="1:9" ht="15.75" thickBot="1" x14ac:dyDescent="0.3">
      <c r="A22" s="5"/>
      <c r="B22" s="6"/>
      <c r="C22" s="6"/>
      <c r="D22" s="6"/>
      <c r="E22" s="6"/>
      <c r="F22" s="6"/>
      <c r="G22" s="6"/>
      <c r="H22" s="6"/>
      <c r="I22" s="7"/>
    </row>
    <row r="23" spans="1:9" x14ac:dyDescent="0.25">
      <c r="A23" s="16">
        <f>A25</f>
        <v>0</v>
      </c>
      <c r="B23" s="17"/>
      <c r="C23" s="17"/>
      <c r="D23" s="17"/>
      <c r="E23" s="17"/>
      <c r="F23" s="17"/>
      <c r="G23" s="17"/>
      <c r="H23" s="17"/>
      <c r="I23" s="18"/>
    </row>
    <row r="24" spans="1:9" x14ac:dyDescent="0.25">
      <c r="A24" s="2"/>
      <c r="B24" s="3"/>
      <c r="C24" s="3"/>
      <c r="D24" s="3"/>
      <c r="E24" s="3"/>
      <c r="F24" s="3"/>
      <c r="G24" s="3"/>
      <c r="H24" s="3"/>
      <c r="I24" s="4"/>
    </row>
    <row r="25" spans="1:9" x14ac:dyDescent="0.25">
      <c r="A25" s="2"/>
      <c r="B25" s="3"/>
      <c r="C25" s="3"/>
      <c r="D25" s="3"/>
      <c r="E25" s="3"/>
      <c r="F25" s="3"/>
      <c r="G25" s="3"/>
      <c r="H25" s="3"/>
      <c r="I25" s="4"/>
    </row>
    <row r="26" spans="1:9" x14ac:dyDescent="0.25">
      <c r="A26" s="2"/>
      <c r="B26" s="3"/>
      <c r="C26" s="3"/>
      <c r="D26" s="3"/>
      <c r="E26" s="3"/>
      <c r="F26" s="3"/>
      <c r="G26" s="3"/>
      <c r="H26" s="3"/>
      <c r="I26" s="4"/>
    </row>
    <row r="27" spans="1:9" x14ac:dyDescent="0.25">
      <c r="A27" s="2"/>
      <c r="B27" s="3"/>
      <c r="C27" s="3"/>
      <c r="D27" s="3"/>
      <c r="E27" s="3"/>
      <c r="F27" s="3"/>
      <c r="G27" s="3"/>
      <c r="H27" s="3"/>
      <c r="I27" s="4"/>
    </row>
    <row r="28" spans="1:9" ht="15.75" thickBot="1" x14ac:dyDescent="0.3">
      <c r="A28" s="5"/>
      <c r="B28" s="6"/>
      <c r="C28" s="6"/>
      <c r="D28" s="6"/>
      <c r="E28" s="6"/>
      <c r="F28" s="6"/>
      <c r="G28" s="6"/>
      <c r="H28" s="6"/>
      <c r="I28" s="7"/>
    </row>
    <row r="29" spans="1:9" x14ac:dyDescent="0.25">
      <c r="A29" s="16">
        <f>A31</f>
        <v>0</v>
      </c>
      <c r="B29" s="17"/>
      <c r="C29" s="17"/>
      <c r="D29" s="17"/>
      <c r="E29" s="17"/>
      <c r="F29" s="17"/>
      <c r="G29" s="17"/>
      <c r="H29" s="17"/>
      <c r="I29" s="18"/>
    </row>
    <row r="30" spans="1:9" x14ac:dyDescent="0.25">
      <c r="A30" s="2"/>
      <c r="B30" s="3"/>
      <c r="C30" s="3"/>
      <c r="D30" s="3"/>
      <c r="E30" s="3"/>
      <c r="F30" s="3"/>
      <c r="G30" s="3"/>
      <c r="H30" s="3"/>
      <c r="I30" s="4"/>
    </row>
    <row r="31" spans="1:9" x14ac:dyDescent="0.25">
      <c r="A31" s="2"/>
      <c r="B31" s="3"/>
      <c r="C31" s="3"/>
      <c r="D31" s="3"/>
      <c r="E31" s="3"/>
      <c r="F31" s="3"/>
      <c r="G31" s="3"/>
      <c r="H31" s="3"/>
      <c r="I31" s="4"/>
    </row>
    <row r="32" spans="1:9" x14ac:dyDescent="0.25">
      <c r="A32" s="2"/>
      <c r="B32" s="3"/>
      <c r="C32" s="3"/>
      <c r="D32" s="3"/>
      <c r="E32" s="3"/>
      <c r="F32" s="3"/>
      <c r="G32" s="3"/>
      <c r="H32" s="3"/>
      <c r="I32" s="4"/>
    </row>
    <row r="33" spans="1:9" x14ac:dyDescent="0.25">
      <c r="A33" s="2"/>
      <c r="B33" s="3"/>
      <c r="C33" s="3"/>
      <c r="D33" s="3"/>
      <c r="E33" s="3"/>
      <c r="F33" s="3"/>
      <c r="G33" s="3"/>
      <c r="H33" s="3"/>
      <c r="I33" s="4"/>
    </row>
    <row r="34" spans="1:9" ht="15.75" thickBot="1" x14ac:dyDescent="0.3">
      <c r="A34" s="5"/>
      <c r="B34" s="6"/>
      <c r="C34" s="6"/>
      <c r="D34" s="6"/>
      <c r="E34" s="6"/>
      <c r="F34" s="6"/>
      <c r="G34" s="6"/>
      <c r="H34" s="6"/>
      <c r="I34" s="7"/>
    </row>
    <row r="35" spans="1:9" x14ac:dyDescent="0.25">
      <c r="A35" s="16">
        <f>A37</f>
        <v>0</v>
      </c>
      <c r="B35" s="17"/>
      <c r="C35" s="17"/>
      <c r="D35" s="17"/>
      <c r="E35" s="17"/>
      <c r="F35" s="17"/>
      <c r="G35" s="17"/>
      <c r="H35" s="17"/>
      <c r="I35" s="18"/>
    </row>
    <row r="36" spans="1:9" x14ac:dyDescent="0.25">
      <c r="A36" s="2"/>
      <c r="B36" s="3"/>
      <c r="C36" s="3"/>
      <c r="D36" s="3"/>
      <c r="E36" s="3"/>
      <c r="F36" s="3"/>
      <c r="G36" s="3"/>
      <c r="H36" s="3"/>
      <c r="I36" s="4"/>
    </row>
    <row r="37" spans="1:9" x14ac:dyDescent="0.25">
      <c r="A37" s="2"/>
      <c r="B37" s="3"/>
      <c r="C37" s="3"/>
      <c r="D37" s="3"/>
      <c r="E37" s="3"/>
      <c r="F37" s="3"/>
      <c r="G37" s="3"/>
      <c r="H37" s="3"/>
      <c r="I37" s="4"/>
    </row>
    <row r="38" spans="1:9" x14ac:dyDescent="0.25">
      <c r="A38" s="2"/>
      <c r="B38" s="3"/>
      <c r="C38" s="3"/>
      <c r="D38" s="3"/>
      <c r="E38" s="3"/>
      <c r="F38" s="3"/>
      <c r="G38" s="3"/>
      <c r="H38" s="3"/>
      <c r="I38" s="4"/>
    </row>
    <row r="39" spans="1:9" x14ac:dyDescent="0.25">
      <c r="A39" s="2"/>
      <c r="B39" s="3"/>
      <c r="C39" s="3"/>
      <c r="D39" s="3"/>
      <c r="E39" s="3"/>
      <c r="F39" s="3"/>
      <c r="G39" s="3"/>
      <c r="H39" s="3"/>
      <c r="I39" s="4"/>
    </row>
    <row r="40" spans="1:9" ht="15.75" thickBot="1" x14ac:dyDescent="0.3">
      <c r="A40" s="5"/>
      <c r="B40" s="6"/>
      <c r="C40" s="6"/>
      <c r="D40" s="6"/>
      <c r="E40" s="6"/>
      <c r="F40" s="6"/>
      <c r="G40" s="6"/>
      <c r="H40" s="6"/>
      <c r="I40" s="7"/>
    </row>
    <row r="41" spans="1:9" x14ac:dyDescent="0.25">
      <c r="A41" s="16">
        <f>A43</f>
        <v>0</v>
      </c>
      <c r="B41" s="17"/>
      <c r="C41" s="17"/>
      <c r="D41" s="17"/>
      <c r="E41" s="17"/>
      <c r="F41" s="17"/>
      <c r="G41" s="17"/>
      <c r="H41" s="17"/>
      <c r="I41" s="18"/>
    </row>
    <row r="42" spans="1:9" x14ac:dyDescent="0.25">
      <c r="A42" s="2"/>
      <c r="B42" s="3"/>
      <c r="C42" s="3"/>
      <c r="D42" s="3"/>
      <c r="E42" s="3"/>
      <c r="F42" s="3"/>
      <c r="G42" s="3"/>
      <c r="H42" s="3"/>
      <c r="I42" s="4"/>
    </row>
    <row r="43" spans="1:9" x14ac:dyDescent="0.25">
      <c r="A43" s="2"/>
      <c r="B43" s="3"/>
      <c r="C43" s="3"/>
      <c r="D43" s="3"/>
      <c r="E43" s="3"/>
      <c r="F43" s="3"/>
      <c r="G43" s="3"/>
      <c r="H43" s="3"/>
      <c r="I43" s="4"/>
    </row>
    <row r="44" spans="1:9" x14ac:dyDescent="0.25">
      <c r="A44" s="2"/>
      <c r="B44" s="3"/>
      <c r="C44" s="3"/>
      <c r="D44" s="3"/>
      <c r="E44" s="3"/>
      <c r="F44" s="3"/>
      <c r="G44" s="3"/>
      <c r="H44" s="3"/>
      <c r="I44" s="4"/>
    </row>
    <row r="45" spans="1:9" x14ac:dyDescent="0.25">
      <c r="A45" s="2"/>
      <c r="B45" s="3"/>
      <c r="C45" s="3"/>
      <c r="D45" s="3"/>
      <c r="E45" s="3"/>
      <c r="F45" s="3"/>
      <c r="G45" s="3"/>
      <c r="H45" s="3"/>
      <c r="I45" s="4"/>
    </row>
    <row r="46" spans="1:9" ht="15.75" thickBot="1" x14ac:dyDescent="0.3">
      <c r="A46" s="5"/>
      <c r="B46" s="6"/>
      <c r="C46" s="6"/>
      <c r="D46" s="6"/>
      <c r="E46" s="6"/>
      <c r="F46" s="6"/>
      <c r="G46" s="6"/>
      <c r="H46" s="6"/>
      <c r="I46" s="7"/>
    </row>
    <row r="47" spans="1:9" x14ac:dyDescent="0.25">
      <c r="A47" s="16">
        <f>A49</f>
        <v>0</v>
      </c>
      <c r="B47" s="17"/>
      <c r="C47" s="17"/>
      <c r="D47" s="17"/>
      <c r="E47" s="17"/>
      <c r="F47" s="17"/>
      <c r="G47" s="17"/>
      <c r="H47" s="17"/>
      <c r="I47" s="18"/>
    </row>
    <row r="48" spans="1:9" x14ac:dyDescent="0.25">
      <c r="A48" s="2"/>
      <c r="B48" s="3"/>
      <c r="C48" s="3"/>
      <c r="D48" s="3"/>
      <c r="E48" s="3"/>
      <c r="F48" s="3"/>
      <c r="G48" s="3"/>
      <c r="H48" s="3"/>
      <c r="I48" s="4"/>
    </row>
    <row r="49" spans="1:9" x14ac:dyDescent="0.25">
      <c r="A49" s="2"/>
      <c r="B49" s="3"/>
      <c r="C49" s="3"/>
      <c r="D49" s="3"/>
      <c r="E49" s="3"/>
      <c r="F49" s="3"/>
      <c r="G49" s="3"/>
      <c r="H49" s="3"/>
      <c r="I49" s="4"/>
    </row>
    <row r="50" spans="1:9" x14ac:dyDescent="0.25">
      <c r="A50" s="2"/>
      <c r="B50" s="3"/>
      <c r="C50" s="3"/>
      <c r="D50" s="3"/>
      <c r="E50" s="3"/>
      <c r="F50" s="3"/>
      <c r="G50" s="3"/>
      <c r="H50" s="3"/>
      <c r="I50" s="4"/>
    </row>
    <row r="51" spans="1:9" x14ac:dyDescent="0.25">
      <c r="A51" s="2"/>
      <c r="B51" s="3"/>
      <c r="C51" s="3"/>
      <c r="D51" s="3"/>
      <c r="E51" s="3"/>
      <c r="F51" s="3"/>
      <c r="G51" s="3"/>
      <c r="H51" s="3"/>
      <c r="I51" s="4"/>
    </row>
    <row r="52" spans="1:9" ht="15.75" thickBot="1" x14ac:dyDescent="0.3">
      <c r="A52" s="5"/>
      <c r="B52" s="6"/>
      <c r="C52" s="6"/>
      <c r="D52" s="6"/>
      <c r="E52" s="6"/>
      <c r="F52" s="6"/>
      <c r="G52" s="6"/>
      <c r="H52" s="6"/>
      <c r="I52" s="7"/>
    </row>
    <row r="53" spans="1:9" x14ac:dyDescent="0.25">
      <c r="A53" s="16">
        <f>A55</f>
        <v>0</v>
      </c>
      <c r="B53" s="17"/>
      <c r="C53" s="17"/>
      <c r="D53" s="17"/>
      <c r="E53" s="17"/>
      <c r="F53" s="17"/>
      <c r="G53" s="17"/>
      <c r="H53" s="17"/>
      <c r="I53" s="18"/>
    </row>
    <row r="54" spans="1:9" x14ac:dyDescent="0.25">
      <c r="A54" s="2"/>
      <c r="B54" s="3"/>
      <c r="C54" s="3"/>
      <c r="D54" s="3"/>
      <c r="E54" s="3"/>
      <c r="F54" s="3"/>
      <c r="G54" s="3"/>
      <c r="H54" s="3"/>
      <c r="I54" s="4"/>
    </row>
    <row r="55" spans="1:9" x14ac:dyDescent="0.25">
      <c r="A55" s="2"/>
      <c r="B55" s="3"/>
      <c r="C55" s="3"/>
      <c r="D55" s="3"/>
      <c r="E55" s="3"/>
      <c r="F55" s="3"/>
      <c r="G55" s="3"/>
      <c r="H55" s="3"/>
      <c r="I55" s="4"/>
    </row>
    <row r="56" spans="1:9" x14ac:dyDescent="0.25">
      <c r="A56" s="2"/>
      <c r="B56" s="3"/>
      <c r="C56" s="3"/>
      <c r="D56" s="3"/>
      <c r="E56" s="3"/>
      <c r="F56" s="3"/>
      <c r="G56" s="3"/>
      <c r="H56" s="3"/>
      <c r="I56" s="4"/>
    </row>
    <row r="57" spans="1:9" x14ac:dyDescent="0.25">
      <c r="A57" s="2"/>
      <c r="B57" s="3"/>
      <c r="C57" s="3"/>
      <c r="D57" s="3"/>
      <c r="E57" s="3"/>
      <c r="F57" s="3"/>
      <c r="G57" s="3"/>
      <c r="H57" s="3"/>
      <c r="I57" s="4"/>
    </row>
    <row r="58" spans="1:9" ht="15.75" thickBot="1" x14ac:dyDescent="0.3">
      <c r="A58" s="5"/>
      <c r="B58" s="6"/>
      <c r="C58" s="6"/>
      <c r="D58" s="6"/>
      <c r="E58" s="6"/>
      <c r="F58" s="6"/>
      <c r="G58" s="6"/>
      <c r="H58" s="6"/>
      <c r="I58" s="7"/>
    </row>
    <row r="59" spans="1:9" x14ac:dyDescent="0.25">
      <c r="A59" s="16">
        <f>A61</f>
        <v>0</v>
      </c>
      <c r="B59" s="17"/>
      <c r="C59" s="17"/>
      <c r="D59" s="17"/>
      <c r="E59" s="17"/>
      <c r="F59" s="17"/>
      <c r="G59" s="17"/>
      <c r="H59" s="17"/>
      <c r="I59" s="18"/>
    </row>
    <row r="60" spans="1:9" x14ac:dyDescent="0.25">
      <c r="A60" s="2"/>
      <c r="B60" s="3"/>
      <c r="C60" s="3"/>
      <c r="D60" s="3"/>
      <c r="E60" s="3"/>
      <c r="F60" s="3"/>
      <c r="G60" s="3"/>
      <c r="H60" s="3"/>
      <c r="I60" s="4"/>
    </row>
    <row r="61" spans="1:9" x14ac:dyDescent="0.25">
      <c r="A61" s="2"/>
      <c r="B61" s="3"/>
      <c r="C61" s="3"/>
      <c r="D61" s="3"/>
      <c r="E61" s="3"/>
      <c r="F61" s="3"/>
      <c r="G61" s="3"/>
      <c r="H61" s="3"/>
      <c r="I61" s="4"/>
    </row>
    <row r="62" spans="1:9" x14ac:dyDescent="0.25">
      <c r="A62" s="2"/>
      <c r="B62" s="3"/>
      <c r="C62" s="3"/>
      <c r="D62" s="3"/>
      <c r="E62" s="3"/>
      <c r="F62" s="3"/>
      <c r="G62" s="3"/>
      <c r="H62" s="3"/>
      <c r="I62" s="4"/>
    </row>
    <row r="63" spans="1:9" x14ac:dyDescent="0.25">
      <c r="A63" s="2"/>
      <c r="B63" s="3"/>
      <c r="C63" s="3"/>
      <c r="D63" s="3"/>
      <c r="E63" s="3"/>
      <c r="F63" s="3"/>
      <c r="G63" s="3"/>
      <c r="H63" s="3"/>
      <c r="I63" s="4"/>
    </row>
    <row r="64" spans="1:9" ht="15.75" thickBot="1" x14ac:dyDescent="0.3">
      <c r="A64" s="5"/>
      <c r="B64" s="6"/>
      <c r="C64" s="6"/>
      <c r="D64" s="6"/>
      <c r="E64" s="6"/>
      <c r="F64" s="6"/>
      <c r="G64" s="6"/>
      <c r="H64" s="6"/>
      <c r="I64" s="7"/>
    </row>
    <row r="65" spans="1:9" x14ac:dyDescent="0.25">
      <c r="A65" s="16">
        <f>A67</f>
        <v>0</v>
      </c>
      <c r="B65" s="17"/>
      <c r="C65" s="17"/>
      <c r="D65" s="17"/>
      <c r="E65" s="17"/>
      <c r="F65" s="17"/>
      <c r="G65" s="17"/>
      <c r="H65" s="17"/>
      <c r="I65" s="18"/>
    </row>
    <row r="66" spans="1:9" x14ac:dyDescent="0.25">
      <c r="A66" s="2"/>
      <c r="B66" s="3"/>
      <c r="C66" s="3"/>
      <c r="D66" s="3"/>
      <c r="E66" s="3"/>
      <c r="F66" s="3"/>
      <c r="G66" s="3"/>
      <c r="H66" s="3"/>
      <c r="I66" s="4"/>
    </row>
    <row r="67" spans="1:9" x14ac:dyDescent="0.25">
      <c r="A67" s="2"/>
      <c r="B67" s="3"/>
      <c r="C67" s="3"/>
      <c r="D67" s="12"/>
      <c r="E67" s="12"/>
      <c r="F67" s="12"/>
      <c r="G67" s="12"/>
      <c r="H67" s="12"/>
      <c r="I67" s="13"/>
    </row>
    <row r="68" spans="1:9" x14ac:dyDescent="0.25">
      <c r="A68" s="2"/>
      <c r="B68" s="3"/>
      <c r="C68" s="3"/>
      <c r="D68" s="12"/>
      <c r="E68" s="12"/>
      <c r="F68" s="12"/>
      <c r="G68" s="12"/>
      <c r="H68" s="12"/>
      <c r="I68" s="13"/>
    </row>
    <row r="69" spans="1:9" x14ac:dyDescent="0.25">
      <c r="A69" s="2"/>
      <c r="B69" s="3"/>
      <c r="C69" s="3"/>
      <c r="D69" s="8"/>
      <c r="E69" s="8"/>
      <c r="F69" s="8"/>
      <c r="G69" s="8"/>
      <c r="H69" s="8"/>
      <c r="I69" s="9"/>
    </row>
    <row r="70" spans="1:9" ht="15.75" thickBot="1" x14ac:dyDescent="0.3">
      <c r="A70" s="5"/>
      <c r="B70" s="6"/>
      <c r="C70" s="6"/>
      <c r="D70" s="10"/>
      <c r="E70" s="10"/>
      <c r="F70" s="10"/>
      <c r="G70" s="10"/>
      <c r="H70" s="10"/>
      <c r="I70" s="11"/>
    </row>
    <row r="71" spans="1:9" x14ac:dyDescent="0.25">
      <c r="A71" s="16">
        <f>A73</f>
        <v>0</v>
      </c>
      <c r="B71" s="17"/>
      <c r="C71" s="17"/>
      <c r="D71" s="17"/>
      <c r="E71" s="17"/>
      <c r="F71" s="17"/>
      <c r="G71" s="17"/>
      <c r="H71" s="17"/>
      <c r="I71" s="18"/>
    </row>
    <row r="72" spans="1:9" x14ac:dyDescent="0.25">
      <c r="A72" s="2"/>
      <c r="B72" s="3"/>
      <c r="C72" s="3"/>
      <c r="D72" s="3"/>
      <c r="E72" s="3"/>
      <c r="F72" s="3"/>
      <c r="G72" s="3"/>
      <c r="H72" s="3"/>
      <c r="I72" s="4"/>
    </row>
    <row r="73" spans="1:9" x14ac:dyDescent="0.25">
      <c r="A73" s="2"/>
      <c r="B73" s="3"/>
      <c r="C73" s="3"/>
      <c r="D73" s="3"/>
      <c r="E73" s="3"/>
      <c r="F73" s="3"/>
      <c r="G73" s="3"/>
      <c r="H73" s="3"/>
      <c r="I73" s="4"/>
    </row>
    <row r="74" spans="1:9" x14ac:dyDescent="0.25">
      <c r="A74" s="2"/>
      <c r="B74" s="3"/>
      <c r="C74" s="3"/>
      <c r="D74" s="3"/>
      <c r="E74" s="3"/>
      <c r="F74" s="3"/>
      <c r="G74" s="3"/>
      <c r="H74" s="3"/>
      <c r="I74" s="4"/>
    </row>
    <row r="75" spans="1:9" x14ac:dyDescent="0.25">
      <c r="A75" s="2"/>
      <c r="B75" s="3"/>
      <c r="C75" s="3"/>
      <c r="D75" s="3"/>
      <c r="E75" s="3"/>
      <c r="F75" s="3"/>
      <c r="G75" s="3"/>
      <c r="H75" s="3"/>
      <c r="I75" s="4"/>
    </row>
    <row r="76" spans="1:9" ht="15.75" thickBot="1" x14ac:dyDescent="0.3">
      <c r="A76" s="5"/>
      <c r="B76" s="6"/>
      <c r="C76" s="6"/>
      <c r="D76" s="6"/>
      <c r="E76" s="6"/>
      <c r="F76" s="6"/>
      <c r="G76" s="6"/>
      <c r="H76" s="6"/>
      <c r="I76" s="7"/>
    </row>
    <row r="77" spans="1:9" x14ac:dyDescent="0.25">
      <c r="A77" s="16">
        <f>A79</f>
        <v>0</v>
      </c>
      <c r="B77" s="17"/>
      <c r="C77" s="17"/>
      <c r="D77" s="17"/>
      <c r="E77" s="17"/>
      <c r="F77" s="17"/>
      <c r="G77" s="17"/>
      <c r="H77" s="17"/>
      <c r="I77" s="18"/>
    </row>
    <row r="78" spans="1:9" x14ac:dyDescent="0.25">
      <c r="A78" s="2"/>
      <c r="B78" s="3"/>
      <c r="C78" s="3"/>
      <c r="D78" s="3"/>
      <c r="E78" s="3"/>
      <c r="F78" s="3"/>
      <c r="G78" s="3"/>
      <c r="H78" s="3"/>
      <c r="I78" s="4"/>
    </row>
    <row r="79" spans="1:9" x14ac:dyDescent="0.25">
      <c r="A79" s="2"/>
      <c r="B79" s="3"/>
      <c r="C79" s="3"/>
      <c r="D79" s="3"/>
      <c r="E79" s="3"/>
      <c r="F79" s="3"/>
      <c r="G79" s="3"/>
      <c r="H79" s="3"/>
      <c r="I79" s="4"/>
    </row>
    <row r="80" spans="1:9" x14ac:dyDescent="0.25">
      <c r="A80" s="2"/>
      <c r="B80" s="3"/>
      <c r="C80" s="3"/>
      <c r="D80" s="3"/>
      <c r="E80" s="3"/>
      <c r="F80" s="3"/>
      <c r="G80" s="3"/>
      <c r="H80" s="3"/>
      <c r="I80" s="4"/>
    </row>
    <row r="81" spans="1:9" x14ac:dyDescent="0.25">
      <c r="A81" s="2"/>
      <c r="B81" s="3"/>
      <c r="C81" s="3"/>
      <c r="D81" s="3"/>
      <c r="E81" s="3"/>
      <c r="F81" s="3"/>
      <c r="G81" s="3"/>
      <c r="H81" s="3"/>
      <c r="I81" s="4"/>
    </row>
    <row r="82" spans="1:9" ht="15.75" thickBot="1" x14ac:dyDescent="0.3">
      <c r="A82" s="5"/>
      <c r="B82" s="6"/>
      <c r="C82" s="6"/>
      <c r="D82" s="6"/>
      <c r="E82" s="6"/>
      <c r="F82" s="6"/>
      <c r="G82" s="6"/>
      <c r="H82" s="6"/>
      <c r="I82" s="7"/>
    </row>
    <row r="83" spans="1:9" x14ac:dyDescent="0.25">
      <c r="A83" s="16">
        <f>A85</f>
        <v>0</v>
      </c>
      <c r="B83" s="17"/>
      <c r="C83" s="17"/>
      <c r="D83" s="17"/>
      <c r="E83" s="17"/>
      <c r="F83" s="17"/>
      <c r="G83" s="17"/>
      <c r="H83" s="17"/>
      <c r="I83" s="18"/>
    </row>
    <row r="84" spans="1:9" x14ac:dyDescent="0.25">
      <c r="A84" s="2"/>
      <c r="B84" s="3"/>
      <c r="C84" s="3"/>
      <c r="D84" s="3"/>
      <c r="E84" s="3"/>
      <c r="F84" s="3"/>
      <c r="G84" s="3"/>
      <c r="H84" s="3"/>
      <c r="I84" s="4"/>
    </row>
    <row r="85" spans="1:9" x14ac:dyDescent="0.25">
      <c r="A85" s="2"/>
      <c r="B85" s="3"/>
      <c r="C85" s="3"/>
      <c r="D85" s="3"/>
      <c r="E85" s="3"/>
      <c r="F85" s="3"/>
      <c r="G85" s="3"/>
      <c r="H85" s="3"/>
      <c r="I85" s="4"/>
    </row>
    <row r="86" spans="1:9" x14ac:dyDescent="0.25">
      <c r="A86" s="2"/>
      <c r="B86" s="3"/>
      <c r="C86" s="3"/>
      <c r="D86" s="3"/>
      <c r="E86" s="3"/>
      <c r="F86" s="3"/>
      <c r="G86" s="3"/>
      <c r="H86" s="3"/>
      <c r="I86" s="4"/>
    </row>
    <row r="87" spans="1:9" x14ac:dyDescent="0.25">
      <c r="A87" s="2"/>
      <c r="B87" s="3"/>
      <c r="C87" s="3"/>
      <c r="D87" s="3"/>
      <c r="E87" s="3"/>
      <c r="F87" s="3"/>
      <c r="G87" s="3"/>
      <c r="H87" s="3"/>
      <c r="I87" s="4"/>
    </row>
    <row r="88" spans="1:9" ht="15.75" thickBot="1" x14ac:dyDescent="0.3">
      <c r="A88" s="5"/>
      <c r="B88" s="6"/>
      <c r="C88" s="6"/>
      <c r="D88" s="6"/>
      <c r="E88" s="6"/>
      <c r="F88" s="6"/>
      <c r="G88" s="6"/>
      <c r="H88" s="6"/>
      <c r="I88" s="7"/>
    </row>
    <row r="89" spans="1:9" x14ac:dyDescent="0.25">
      <c r="A89" s="16">
        <f>A91</f>
        <v>0</v>
      </c>
      <c r="B89" s="17"/>
      <c r="C89" s="17"/>
      <c r="D89" s="17"/>
      <c r="E89" s="17"/>
      <c r="F89" s="17"/>
      <c r="G89" s="17"/>
      <c r="H89" s="17"/>
      <c r="I89" s="18"/>
    </row>
    <row r="90" spans="1:9" x14ac:dyDescent="0.25">
      <c r="A90" s="2"/>
      <c r="B90" s="3"/>
      <c r="C90" s="3"/>
      <c r="D90" s="3"/>
      <c r="E90" s="3"/>
      <c r="F90" s="3"/>
      <c r="G90" s="3"/>
      <c r="H90" s="3"/>
      <c r="I90" s="4"/>
    </row>
    <row r="91" spans="1:9" x14ac:dyDescent="0.25">
      <c r="A91" s="2"/>
      <c r="B91" s="3"/>
      <c r="C91" s="3"/>
      <c r="D91" s="3"/>
      <c r="E91" s="3"/>
      <c r="F91" s="3"/>
      <c r="G91" s="3"/>
      <c r="H91" s="3"/>
      <c r="I91" s="4"/>
    </row>
    <row r="92" spans="1:9" x14ac:dyDescent="0.25">
      <c r="A92" s="2"/>
      <c r="B92" s="3"/>
      <c r="C92" s="3"/>
      <c r="D92" s="3"/>
      <c r="E92" s="3"/>
      <c r="F92" s="3"/>
      <c r="G92" s="3"/>
      <c r="H92" s="3"/>
      <c r="I92" s="4"/>
    </row>
    <row r="93" spans="1:9" x14ac:dyDescent="0.25">
      <c r="A93" s="2"/>
      <c r="B93" s="3"/>
      <c r="C93" s="3"/>
      <c r="D93" s="3"/>
      <c r="E93" s="3"/>
      <c r="F93" s="3"/>
      <c r="G93" s="3"/>
      <c r="H93" s="3"/>
      <c r="I93" s="4"/>
    </row>
    <row r="94" spans="1:9" ht="15.75" thickBot="1" x14ac:dyDescent="0.3">
      <c r="A94" s="5"/>
      <c r="B94" s="6"/>
      <c r="C94" s="6"/>
      <c r="D94" s="6"/>
      <c r="E94" s="6"/>
      <c r="F94" s="6"/>
      <c r="G94" s="6"/>
      <c r="H94" s="6"/>
      <c r="I94" s="7"/>
    </row>
    <row r="95" spans="1:9" x14ac:dyDescent="0.25">
      <c r="A95" s="16">
        <f>A97</f>
        <v>0</v>
      </c>
      <c r="B95" s="17"/>
      <c r="C95" s="17"/>
      <c r="D95" s="17"/>
      <c r="E95" s="17"/>
      <c r="F95" s="17"/>
      <c r="G95" s="17"/>
      <c r="H95" s="17"/>
      <c r="I95" s="18"/>
    </row>
    <row r="96" spans="1:9" x14ac:dyDescent="0.25">
      <c r="A96" s="2"/>
      <c r="B96" s="3"/>
      <c r="C96" s="3"/>
      <c r="D96" s="3"/>
      <c r="E96" s="3"/>
      <c r="F96" s="3"/>
      <c r="G96" s="3"/>
      <c r="H96" s="3"/>
      <c r="I96" s="4"/>
    </row>
    <row r="97" spans="1:9" x14ac:dyDescent="0.25">
      <c r="A97" s="2"/>
      <c r="B97" s="3"/>
      <c r="C97" s="3"/>
      <c r="D97" s="3"/>
      <c r="E97" s="3"/>
      <c r="F97" s="3"/>
      <c r="G97" s="3"/>
      <c r="H97" s="3"/>
      <c r="I97" s="4"/>
    </row>
    <row r="98" spans="1:9" x14ac:dyDescent="0.25">
      <c r="A98" s="2"/>
      <c r="B98" s="3"/>
      <c r="C98" s="3"/>
      <c r="D98" s="3"/>
      <c r="E98" s="3"/>
      <c r="F98" s="3"/>
      <c r="G98" s="3"/>
      <c r="H98" s="3"/>
      <c r="I98" s="4"/>
    </row>
    <row r="99" spans="1:9" x14ac:dyDescent="0.25">
      <c r="A99" s="2"/>
      <c r="B99" s="3"/>
      <c r="C99" s="3"/>
      <c r="D99" s="3"/>
      <c r="E99" s="3"/>
      <c r="F99" s="3"/>
      <c r="G99" s="3"/>
      <c r="H99" s="3"/>
      <c r="I99" s="4"/>
    </row>
    <row r="100" spans="1:9" ht="15.75" thickBot="1" x14ac:dyDescent="0.3">
      <c r="A100" s="5"/>
      <c r="B100" s="6"/>
      <c r="C100" s="6"/>
      <c r="D100" s="6"/>
      <c r="E100" s="6"/>
      <c r="F100" s="6"/>
      <c r="G100" s="6"/>
      <c r="H100" s="6"/>
      <c r="I100" s="7"/>
    </row>
    <row r="101" spans="1:9" x14ac:dyDescent="0.25">
      <c r="A101" s="16">
        <f>A103</f>
        <v>0</v>
      </c>
      <c r="B101" s="17"/>
      <c r="C101" s="17"/>
      <c r="D101" s="17"/>
      <c r="E101" s="17"/>
      <c r="F101" s="17"/>
      <c r="G101" s="17"/>
      <c r="H101" s="17"/>
      <c r="I101" s="18"/>
    </row>
    <row r="102" spans="1:9" x14ac:dyDescent="0.25">
      <c r="A102" s="2"/>
      <c r="B102" s="3"/>
      <c r="C102" s="3"/>
      <c r="D102" s="3"/>
      <c r="E102" s="3"/>
      <c r="F102" s="3"/>
      <c r="G102" s="3"/>
      <c r="H102" s="3"/>
      <c r="I102" s="4"/>
    </row>
    <row r="103" spans="1:9" x14ac:dyDescent="0.25">
      <c r="A103" s="2"/>
      <c r="B103" s="3"/>
      <c r="C103" s="3"/>
      <c r="D103" s="3"/>
      <c r="E103" s="3"/>
      <c r="F103" s="3"/>
      <c r="G103" s="3"/>
      <c r="H103" s="3"/>
      <c r="I103" s="4"/>
    </row>
    <row r="104" spans="1:9" x14ac:dyDescent="0.25">
      <c r="A104" s="2"/>
      <c r="B104" s="3"/>
      <c r="C104" s="3"/>
      <c r="D104" s="3"/>
      <c r="E104" s="3"/>
      <c r="F104" s="3"/>
      <c r="G104" s="3"/>
      <c r="H104" s="3"/>
      <c r="I104" s="4"/>
    </row>
    <row r="105" spans="1:9" x14ac:dyDescent="0.25">
      <c r="A105" s="2"/>
      <c r="B105" s="3"/>
      <c r="C105" s="3"/>
      <c r="D105" s="3"/>
      <c r="E105" s="3"/>
      <c r="F105" s="3"/>
      <c r="G105" s="3"/>
      <c r="H105" s="3"/>
      <c r="I105" s="4"/>
    </row>
    <row r="106" spans="1:9" ht="15.75" thickBot="1" x14ac:dyDescent="0.3">
      <c r="A106" s="5"/>
      <c r="B106" s="6"/>
      <c r="C106" s="6"/>
      <c r="D106" s="6"/>
      <c r="E106" s="6"/>
      <c r="F106" s="6"/>
      <c r="G106" s="6"/>
      <c r="H106" s="6"/>
      <c r="I106" s="7"/>
    </row>
    <row r="107" spans="1:9" x14ac:dyDescent="0.25">
      <c r="A107" s="16">
        <f>A109</f>
        <v>0</v>
      </c>
      <c r="B107" s="17"/>
      <c r="C107" s="17"/>
      <c r="D107" s="17"/>
      <c r="E107" s="17"/>
      <c r="F107" s="17"/>
      <c r="G107" s="17"/>
      <c r="H107" s="17"/>
      <c r="I107" s="18"/>
    </row>
    <row r="108" spans="1:9" x14ac:dyDescent="0.25">
      <c r="A108" s="2"/>
      <c r="B108" s="3"/>
      <c r="C108" s="3"/>
      <c r="D108" s="3"/>
      <c r="E108" s="3"/>
      <c r="F108" s="3"/>
      <c r="G108" s="3"/>
      <c r="H108" s="3"/>
      <c r="I108" s="4"/>
    </row>
    <row r="109" spans="1:9" x14ac:dyDescent="0.25">
      <c r="A109" s="2"/>
      <c r="B109" s="3"/>
      <c r="C109" s="3"/>
      <c r="D109" s="3"/>
      <c r="E109" s="3"/>
      <c r="F109" s="3"/>
      <c r="G109" s="3"/>
      <c r="H109" s="3"/>
      <c r="I109" s="4"/>
    </row>
    <row r="110" spans="1:9" x14ac:dyDescent="0.25">
      <c r="A110" s="2"/>
      <c r="B110" s="3"/>
      <c r="C110" s="3"/>
      <c r="D110" s="3"/>
      <c r="E110" s="3"/>
      <c r="F110" s="3"/>
      <c r="G110" s="3"/>
      <c r="H110" s="3"/>
      <c r="I110" s="4"/>
    </row>
    <row r="111" spans="1:9" x14ac:dyDescent="0.25">
      <c r="A111" s="2"/>
      <c r="B111" s="3"/>
      <c r="C111" s="3"/>
      <c r="D111" s="3"/>
      <c r="E111" s="3"/>
      <c r="F111" s="3"/>
      <c r="G111" s="3"/>
      <c r="H111" s="3"/>
      <c r="I111" s="4"/>
    </row>
    <row r="112" spans="1:9" ht="15.75" thickBot="1" x14ac:dyDescent="0.3">
      <c r="A112" s="5"/>
      <c r="B112" s="6"/>
      <c r="C112" s="6"/>
      <c r="D112" s="6"/>
      <c r="E112" s="6"/>
      <c r="F112" s="6"/>
      <c r="G112" s="6"/>
      <c r="H112" s="6"/>
      <c r="I112" s="7"/>
    </row>
    <row r="113" spans="1:10" x14ac:dyDescent="0.25">
      <c r="A113" s="16">
        <f>A115</f>
        <v>0</v>
      </c>
      <c r="B113" s="17"/>
      <c r="C113" s="17"/>
      <c r="D113" s="17"/>
      <c r="E113" s="17"/>
      <c r="F113" s="17"/>
      <c r="G113" s="17"/>
      <c r="H113" s="17"/>
      <c r="I113" s="18"/>
    </row>
    <row r="114" spans="1:10" x14ac:dyDescent="0.25">
      <c r="A114" s="2"/>
      <c r="B114" s="3"/>
      <c r="C114" s="3"/>
      <c r="D114" s="3"/>
      <c r="E114" s="3"/>
      <c r="F114" s="3"/>
      <c r="G114" s="3"/>
      <c r="H114" s="3"/>
      <c r="I114" s="4"/>
    </row>
    <row r="115" spans="1:10" x14ac:dyDescent="0.25">
      <c r="A115" s="2"/>
      <c r="B115" s="3"/>
      <c r="C115" s="3"/>
      <c r="D115" s="3"/>
      <c r="E115" s="3"/>
      <c r="F115" s="3"/>
      <c r="G115" s="3"/>
      <c r="H115" s="3"/>
      <c r="I115" s="4"/>
    </row>
    <row r="116" spans="1:10" x14ac:dyDescent="0.25">
      <c r="A116" s="2"/>
      <c r="B116" s="3"/>
      <c r="C116" s="3"/>
      <c r="D116" s="3"/>
      <c r="E116" s="3"/>
      <c r="F116" s="3"/>
      <c r="G116" s="3"/>
      <c r="H116" s="3"/>
      <c r="I116" s="4"/>
    </row>
    <row r="117" spans="1:10" x14ac:dyDescent="0.25">
      <c r="A117" s="2"/>
      <c r="B117" s="3"/>
      <c r="C117" s="3"/>
      <c r="D117" s="3"/>
      <c r="E117" s="3"/>
      <c r="F117" s="3"/>
      <c r="G117" s="3"/>
      <c r="H117" s="3"/>
      <c r="I117" s="4"/>
    </row>
    <row r="118" spans="1:10" ht="15.75" thickBot="1" x14ac:dyDescent="0.3">
      <c r="A118" s="5"/>
      <c r="B118" s="6"/>
      <c r="C118" s="6"/>
      <c r="D118" s="6"/>
      <c r="E118" s="6"/>
      <c r="F118" s="6"/>
      <c r="G118" s="6"/>
      <c r="H118" s="6"/>
      <c r="I118" s="7"/>
    </row>
    <row r="119" spans="1:10" x14ac:dyDescent="0.25">
      <c r="A119" s="16">
        <f>A121</f>
        <v>0</v>
      </c>
      <c r="B119" s="17"/>
      <c r="C119" s="17"/>
      <c r="D119" s="17"/>
      <c r="E119" s="17"/>
      <c r="F119" s="17"/>
      <c r="G119" s="17"/>
      <c r="H119" s="17"/>
      <c r="I119" s="18"/>
    </row>
    <row r="120" spans="1:10" x14ac:dyDescent="0.25">
      <c r="A120" s="2"/>
      <c r="B120" s="3"/>
      <c r="C120" s="3"/>
      <c r="D120" s="3"/>
      <c r="E120" s="3"/>
      <c r="F120" s="3"/>
      <c r="G120" s="3"/>
      <c r="H120" s="3"/>
      <c r="I120" s="4"/>
    </row>
    <row r="121" spans="1:10" x14ac:dyDescent="0.25">
      <c r="A121" s="2"/>
      <c r="B121" s="3"/>
      <c r="C121" s="3"/>
      <c r="D121" s="3"/>
      <c r="E121" s="3"/>
      <c r="F121" s="3"/>
      <c r="G121" s="3"/>
      <c r="H121" s="3"/>
      <c r="I121" s="4"/>
    </row>
    <row r="122" spans="1:10" x14ac:dyDescent="0.25">
      <c r="A122" s="2"/>
      <c r="B122" s="3"/>
      <c r="C122" s="3"/>
      <c r="D122" s="3"/>
      <c r="E122" s="3"/>
      <c r="F122" s="3"/>
      <c r="G122" s="3"/>
      <c r="H122" s="3"/>
      <c r="I122" s="4"/>
    </row>
    <row r="123" spans="1:10" x14ac:dyDescent="0.25">
      <c r="A123" s="2"/>
      <c r="B123" s="3"/>
      <c r="C123" s="3"/>
      <c r="D123" s="3"/>
      <c r="E123" s="3"/>
      <c r="F123" s="3"/>
      <c r="G123" s="3"/>
      <c r="H123" s="3"/>
      <c r="I123" s="4"/>
    </row>
    <row r="124" spans="1:10" ht="15.75" thickBot="1" x14ac:dyDescent="0.3">
      <c r="A124" s="5"/>
      <c r="B124" s="6"/>
      <c r="C124" s="6"/>
      <c r="D124" s="6"/>
      <c r="E124" s="6"/>
      <c r="F124" s="6"/>
      <c r="G124" s="6"/>
      <c r="H124" s="6"/>
      <c r="I124" s="7"/>
    </row>
    <row r="126" spans="1:10" x14ac:dyDescent="0.25">
      <c r="A126" t="s">
        <v>8</v>
      </c>
      <c r="B126" t="s">
        <v>1</v>
      </c>
      <c r="C126" t="s">
        <v>2</v>
      </c>
      <c r="D126" t="s">
        <v>3</v>
      </c>
      <c r="E126" t="s">
        <v>4</v>
      </c>
      <c r="F126" t="s">
        <v>5</v>
      </c>
      <c r="G126" t="s">
        <v>6</v>
      </c>
      <c r="H126" t="s">
        <v>7</v>
      </c>
    </row>
    <row r="127" spans="1:10" x14ac:dyDescent="0.25">
      <c r="A127">
        <v>1</v>
      </c>
      <c r="B127">
        <f t="shared" ref="B127:B146" ca="1" si="0">IF($A127&lt;=TeamNum,INDIRECT(CONCATENATE("a",7+($A127-1)*6)),NA())</f>
        <v>0</v>
      </c>
      <c r="C127" t="e">
        <f t="shared" ref="C127:C146" ca="1" si="1">IF($A127&lt;=TeamNum,IF(INDIRECT(CONCATENATE("d",7+($A127-1)*6))="",NA(),INDIRECT(CONCATENATE("d",7+($A127-1)*6))),NA())</f>
        <v>#N/A</v>
      </c>
      <c r="D127" t="e">
        <f t="shared" ref="D127:D146" ca="1" si="2">IF($A127&lt;=TeamNum,IF(INDIRECT(CONCATENATE("e",7+($A127-1)*6))="",NA(),INDIRECT(CONCATENATE("e",7+($A127-1)*6))),NA())</f>
        <v>#N/A</v>
      </c>
      <c r="E127" t="e">
        <f t="shared" ref="E127:E146" ca="1" si="3">IF($A127&lt;=TeamNum,IF(INDIRECT(CONCATENATE("f",7+($A127-1)*6))="",NA(),INDIRECT(CONCATENATE("f",7+($A127-1)*6))),NA())</f>
        <v>#N/A</v>
      </c>
      <c r="F127" t="e">
        <f t="shared" ref="F127:F146" ca="1" si="4">IF($A127&lt;=TeamNum,IF(INDIRECT(CONCATENATE("g",7+($A127-1)*6))="",NA(),INDIRECT(CONCATENATE("g",7+($A127-1)*6))),NA())</f>
        <v>#N/A</v>
      </c>
      <c r="G127" t="e">
        <f t="shared" ref="G127:G146" ca="1" si="5">IF($A127&lt;=TeamNum,IF(INDIRECT(CONCATENATE("h",7+($A127-1)*6))="",NA(),INDIRECT(CONCATENATE("h",7+($A127-1)*6))),NA())</f>
        <v>#N/A</v>
      </c>
      <c r="H127" t="e">
        <f t="shared" ref="H127:H146" ca="1" si="6">IF($A127&lt;=TeamNum,IF(INDIRECT(CONCATENATE("i",7+($A127-1)*6))="",NA(),INDIRECT(CONCATENATE("i",7+($A127-1)*6))),NA())</f>
        <v>#N/A</v>
      </c>
      <c r="I127">
        <f ca="1">IF($A127&lt;=TeamNum,INDIRECT(CONCATENATE("b",7+($A127-1)*6)),NA())</f>
        <v>0</v>
      </c>
      <c r="J127">
        <f ca="1">IF($A127&lt;=TeamNum,INDIRECT(CONCATENATE("c",7+($A127-1)*6)),NA())</f>
        <v>0</v>
      </c>
    </row>
    <row r="128" spans="1:10" x14ac:dyDescent="0.25">
      <c r="A128">
        <v>2</v>
      </c>
      <c r="B128" t="e">
        <f t="shared" ca="1" si="0"/>
        <v>#N/A</v>
      </c>
      <c r="C128" t="e">
        <f t="shared" ca="1" si="1"/>
        <v>#N/A</v>
      </c>
      <c r="D128" t="e">
        <f t="shared" ca="1" si="2"/>
        <v>#N/A</v>
      </c>
      <c r="E128" t="e">
        <f t="shared" ca="1" si="3"/>
        <v>#N/A</v>
      </c>
      <c r="F128" t="e">
        <f t="shared" ca="1" si="4"/>
        <v>#N/A</v>
      </c>
      <c r="G128" t="e">
        <f t="shared" ca="1" si="5"/>
        <v>#N/A</v>
      </c>
      <c r="H128" t="e">
        <f t="shared" ca="1" si="6"/>
        <v>#N/A</v>
      </c>
      <c r="I128" t="e">
        <f ca="1">IF($A128&lt;=TeamNum,INDIRECT(CONCATENATE("b",7+($A128-1)*6)),NA())</f>
        <v>#N/A</v>
      </c>
      <c r="J128" t="e">
        <f ca="1">IF($A128&lt;=TeamNum,INDIRECT(CONCATENATE("c",7+($A128-1)*6)),NA())</f>
        <v>#N/A</v>
      </c>
    </row>
    <row r="129" spans="1:10" x14ac:dyDescent="0.25">
      <c r="A129">
        <v>3</v>
      </c>
      <c r="B129" t="e">
        <f t="shared" ca="1" si="0"/>
        <v>#N/A</v>
      </c>
      <c r="C129" t="e">
        <f t="shared" ca="1" si="1"/>
        <v>#N/A</v>
      </c>
      <c r="D129" t="e">
        <f t="shared" ca="1" si="2"/>
        <v>#N/A</v>
      </c>
      <c r="E129" t="e">
        <f t="shared" ca="1" si="3"/>
        <v>#N/A</v>
      </c>
      <c r="F129" t="e">
        <f t="shared" ca="1" si="4"/>
        <v>#N/A</v>
      </c>
      <c r="G129" t="e">
        <f t="shared" ca="1" si="5"/>
        <v>#N/A</v>
      </c>
      <c r="H129" t="e">
        <f t="shared" ca="1" si="6"/>
        <v>#N/A</v>
      </c>
      <c r="I129" t="e">
        <f ca="1">IF($A129&lt;=TeamNum,INDIRECT(CONCATENATE("b",7+($A129-1)*6)),NA())</f>
        <v>#N/A</v>
      </c>
      <c r="J129" t="e">
        <f ca="1">IF($A129&lt;=TeamNum,INDIRECT(CONCATENATE("c",7+($A129-1)*6)),NA())</f>
        <v>#N/A</v>
      </c>
    </row>
    <row r="130" spans="1:10" x14ac:dyDescent="0.25">
      <c r="A130">
        <v>4</v>
      </c>
      <c r="B130" t="e">
        <f t="shared" ca="1" si="0"/>
        <v>#N/A</v>
      </c>
      <c r="C130" t="e">
        <f t="shared" ca="1" si="1"/>
        <v>#N/A</v>
      </c>
      <c r="D130" t="e">
        <f t="shared" ca="1" si="2"/>
        <v>#N/A</v>
      </c>
      <c r="E130" t="e">
        <f t="shared" ca="1" si="3"/>
        <v>#N/A</v>
      </c>
      <c r="F130" t="e">
        <f t="shared" ca="1" si="4"/>
        <v>#N/A</v>
      </c>
      <c r="G130" t="e">
        <f t="shared" ca="1" si="5"/>
        <v>#N/A</v>
      </c>
      <c r="H130" t="e">
        <f t="shared" ca="1" si="6"/>
        <v>#N/A</v>
      </c>
      <c r="I130" t="e">
        <f ca="1">IF($A130&lt;=TeamNum,INDIRECT(CONCATENATE("b",7+($A130-1)*6)),NA())</f>
        <v>#N/A</v>
      </c>
      <c r="J130" t="e">
        <f ca="1">IF($A130&lt;=TeamNum,INDIRECT(CONCATENATE("c",7+($A130-1)*6)),NA())</f>
        <v>#N/A</v>
      </c>
    </row>
    <row r="131" spans="1:10" x14ac:dyDescent="0.25">
      <c r="A131">
        <v>5</v>
      </c>
      <c r="B131" t="e">
        <f t="shared" ca="1" si="0"/>
        <v>#N/A</v>
      </c>
      <c r="C131" t="e">
        <f t="shared" ca="1" si="1"/>
        <v>#N/A</v>
      </c>
      <c r="D131" t="e">
        <f t="shared" ca="1" si="2"/>
        <v>#N/A</v>
      </c>
      <c r="E131" t="e">
        <f t="shared" ca="1" si="3"/>
        <v>#N/A</v>
      </c>
      <c r="F131" t="e">
        <f t="shared" ca="1" si="4"/>
        <v>#N/A</v>
      </c>
      <c r="G131" t="e">
        <f t="shared" ca="1" si="5"/>
        <v>#N/A</v>
      </c>
      <c r="H131" t="e">
        <f t="shared" ca="1" si="6"/>
        <v>#N/A</v>
      </c>
      <c r="I131" t="e">
        <f ca="1">IF($A131&lt;=TeamNum,INDIRECT(CONCATENATE("b",7+($A131-1)*6)),NA())</f>
        <v>#N/A</v>
      </c>
      <c r="J131" t="e">
        <f ca="1">IF($A131&lt;=TeamNum,INDIRECT(CONCATENATE("c",7+($A131-1)*6)),NA())</f>
        <v>#N/A</v>
      </c>
    </row>
    <row r="132" spans="1:10" x14ac:dyDescent="0.25">
      <c r="A132">
        <v>6</v>
      </c>
      <c r="B132" t="e">
        <f t="shared" ca="1" si="0"/>
        <v>#N/A</v>
      </c>
      <c r="C132" t="e">
        <f t="shared" ca="1" si="1"/>
        <v>#N/A</v>
      </c>
      <c r="D132" t="e">
        <f t="shared" ca="1" si="2"/>
        <v>#N/A</v>
      </c>
      <c r="E132" t="e">
        <f t="shared" ca="1" si="3"/>
        <v>#N/A</v>
      </c>
      <c r="F132" t="e">
        <f t="shared" ca="1" si="4"/>
        <v>#N/A</v>
      </c>
      <c r="G132" t="e">
        <f t="shared" ca="1" si="5"/>
        <v>#N/A</v>
      </c>
      <c r="H132" t="e">
        <f t="shared" ca="1" si="6"/>
        <v>#N/A</v>
      </c>
      <c r="I132" t="e">
        <f ca="1">IF($A132&lt;=TeamNum,INDIRECT(CONCATENATE("b",7+($A132-1)*6)),NA())</f>
        <v>#N/A</v>
      </c>
      <c r="J132" t="e">
        <f ca="1">IF($A132&lt;=TeamNum,INDIRECT(CONCATENATE("c",7+($A132-1)*6)),NA())</f>
        <v>#N/A</v>
      </c>
    </row>
    <row r="133" spans="1:10" x14ac:dyDescent="0.25">
      <c r="A133">
        <v>7</v>
      </c>
      <c r="B133" t="e">
        <f t="shared" ca="1" si="0"/>
        <v>#N/A</v>
      </c>
      <c r="C133" t="e">
        <f t="shared" ca="1" si="1"/>
        <v>#N/A</v>
      </c>
      <c r="D133" t="e">
        <f t="shared" ca="1" si="2"/>
        <v>#N/A</v>
      </c>
      <c r="E133" t="e">
        <f t="shared" ca="1" si="3"/>
        <v>#N/A</v>
      </c>
      <c r="F133" t="e">
        <f t="shared" ca="1" si="4"/>
        <v>#N/A</v>
      </c>
      <c r="G133" t="e">
        <f t="shared" ca="1" si="5"/>
        <v>#N/A</v>
      </c>
      <c r="H133" t="e">
        <f t="shared" ca="1" si="6"/>
        <v>#N/A</v>
      </c>
      <c r="I133" t="e">
        <f ca="1">IF($A133&lt;=TeamNum,INDIRECT(CONCATENATE("b",7+($A133-1)*6)),NA())</f>
        <v>#N/A</v>
      </c>
      <c r="J133" t="e">
        <f ca="1">IF($A133&lt;=TeamNum,INDIRECT(CONCATENATE("c",7+($A133-1)*6)),NA())</f>
        <v>#N/A</v>
      </c>
    </row>
    <row r="134" spans="1:10" x14ac:dyDescent="0.25">
      <c r="A134">
        <v>8</v>
      </c>
      <c r="B134" t="e">
        <f t="shared" ca="1" si="0"/>
        <v>#N/A</v>
      </c>
      <c r="C134" t="e">
        <f t="shared" ca="1" si="1"/>
        <v>#N/A</v>
      </c>
      <c r="D134" t="e">
        <f t="shared" ca="1" si="2"/>
        <v>#N/A</v>
      </c>
      <c r="E134" t="e">
        <f t="shared" ca="1" si="3"/>
        <v>#N/A</v>
      </c>
      <c r="F134" t="e">
        <f t="shared" ca="1" si="4"/>
        <v>#N/A</v>
      </c>
      <c r="G134" t="e">
        <f t="shared" ca="1" si="5"/>
        <v>#N/A</v>
      </c>
      <c r="H134" t="e">
        <f t="shared" ca="1" si="6"/>
        <v>#N/A</v>
      </c>
      <c r="I134" t="e">
        <f ca="1">IF($A134&lt;=TeamNum,INDIRECT(CONCATENATE("b",7+($A134-1)*6)),NA())</f>
        <v>#N/A</v>
      </c>
      <c r="J134" t="e">
        <f ca="1">IF($A134&lt;=TeamNum,INDIRECT(CONCATENATE("c",7+($A134-1)*6)),NA())</f>
        <v>#N/A</v>
      </c>
    </row>
    <row r="135" spans="1:10" x14ac:dyDescent="0.25">
      <c r="A135">
        <v>9</v>
      </c>
      <c r="B135" t="e">
        <f t="shared" ca="1" si="0"/>
        <v>#N/A</v>
      </c>
      <c r="C135" t="e">
        <f t="shared" ca="1" si="1"/>
        <v>#N/A</v>
      </c>
      <c r="D135" t="e">
        <f t="shared" ca="1" si="2"/>
        <v>#N/A</v>
      </c>
      <c r="E135" t="e">
        <f t="shared" ca="1" si="3"/>
        <v>#N/A</v>
      </c>
      <c r="F135" t="e">
        <f t="shared" ca="1" si="4"/>
        <v>#N/A</v>
      </c>
      <c r="G135" t="e">
        <f t="shared" ca="1" si="5"/>
        <v>#N/A</v>
      </c>
      <c r="H135" t="e">
        <f t="shared" ca="1" si="6"/>
        <v>#N/A</v>
      </c>
      <c r="I135" t="e">
        <f ca="1">IF($A135&lt;=TeamNum,INDIRECT(CONCATENATE("b",7+($A135-1)*6)),NA())</f>
        <v>#N/A</v>
      </c>
      <c r="J135" t="e">
        <f ca="1">IF($A135&lt;=TeamNum,INDIRECT(CONCATENATE("c",7+($A135-1)*6)),NA())</f>
        <v>#N/A</v>
      </c>
    </row>
    <row r="136" spans="1:10" x14ac:dyDescent="0.25">
      <c r="A136">
        <v>10</v>
      </c>
      <c r="B136" t="e">
        <f t="shared" ca="1" si="0"/>
        <v>#N/A</v>
      </c>
      <c r="C136" t="e">
        <f t="shared" ca="1" si="1"/>
        <v>#N/A</v>
      </c>
      <c r="D136" t="e">
        <f t="shared" ca="1" si="2"/>
        <v>#N/A</v>
      </c>
      <c r="E136" t="e">
        <f t="shared" ca="1" si="3"/>
        <v>#N/A</v>
      </c>
      <c r="F136" t="e">
        <f t="shared" ca="1" si="4"/>
        <v>#N/A</v>
      </c>
      <c r="G136" t="e">
        <f t="shared" ca="1" si="5"/>
        <v>#N/A</v>
      </c>
      <c r="H136" t="e">
        <f t="shared" ca="1" si="6"/>
        <v>#N/A</v>
      </c>
      <c r="I136" t="e">
        <f ca="1">IF($A136&lt;=TeamNum,INDIRECT(CONCATENATE("b",7+($A136-1)*6)),NA())</f>
        <v>#N/A</v>
      </c>
      <c r="J136" t="e">
        <f ca="1">IF($A136&lt;=TeamNum,INDIRECT(CONCATENATE("c",7+($A136-1)*6)),NA())</f>
        <v>#N/A</v>
      </c>
    </row>
    <row r="137" spans="1:10" x14ac:dyDescent="0.25">
      <c r="A137">
        <v>11</v>
      </c>
      <c r="B137" t="e">
        <f t="shared" ca="1" si="0"/>
        <v>#N/A</v>
      </c>
      <c r="C137" t="e">
        <f t="shared" ca="1" si="1"/>
        <v>#N/A</v>
      </c>
      <c r="D137" t="e">
        <f t="shared" ca="1" si="2"/>
        <v>#N/A</v>
      </c>
      <c r="E137" t="e">
        <f t="shared" ca="1" si="3"/>
        <v>#N/A</v>
      </c>
      <c r="F137" t="e">
        <f t="shared" ca="1" si="4"/>
        <v>#N/A</v>
      </c>
      <c r="G137" t="e">
        <f t="shared" ca="1" si="5"/>
        <v>#N/A</v>
      </c>
      <c r="H137" t="e">
        <f t="shared" ca="1" si="6"/>
        <v>#N/A</v>
      </c>
      <c r="I137" t="e">
        <f ca="1">IF($A137&lt;=TeamNum,INDIRECT(CONCATENATE("b",7+($A137-1)*6)),NA())</f>
        <v>#N/A</v>
      </c>
      <c r="J137" t="e">
        <f ca="1">IF($A137&lt;=TeamNum,INDIRECT(CONCATENATE("c",7+($A137-1)*6)),NA())</f>
        <v>#N/A</v>
      </c>
    </row>
    <row r="138" spans="1:10" x14ac:dyDescent="0.25">
      <c r="A138">
        <v>12</v>
      </c>
      <c r="B138" t="e">
        <f t="shared" ca="1" si="0"/>
        <v>#N/A</v>
      </c>
      <c r="C138" t="e">
        <f t="shared" ca="1" si="1"/>
        <v>#N/A</v>
      </c>
      <c r="D138" t="e">
        <f t="shared" ca="1" si="2"/>
        <v>#N/A</v>
      </c>
      <c r="E138" t="e">
        <f t="shared" ca="1" si="3"/>
        <v>#N/A</v>
      </c>
      <c r="F138" t="e">
        <f t="shared" ca="1" si="4"/>
        <v>#N/A</v>
      </c>
      <c r="G138" t="e">
        <f t="shared" ca="1" si="5"/>
        <v>#N/A</v>
      </c>
      <c r="H138" t="e">
        <f t="shared" ca="1" si="6"/>
        <v>#N/A</v>
      </c>
      <c r="I138" t="e">
        <f ca="1">IF($A138&lt;=TeamNum,INDIRECT(CONCATENATE("b",7+($A138-1)*6)),NA())</f>
        <v>#N/A</v>
      </c>
      <c r="J138" t="e">
        <f ca="1">IF($A138&lt;=TeamNum,INDIRECT(CONCATENATE("c",7+($A138-1)*6)),NA())</f>
        <v>#N/A</v>
      </c>
    </row>
    <row r="139" spans="1:10" x14ac:dyDescent="0.25">
      <c r="A139">
        <v>13</v>
      </c>
      <c r="B139" t="e">
        <f t="shared" ca="1" si="0"/>
        <v>#N/A</v>
      </c>
      <c r="C139" t="e">
        <f t="shared" ca="1" si="1"/>
        <v>#N/A</v>
      </c>
      <c r="D139" t="e">
        <f t="shared" ca="1" si="2"/>
        <v>#N/A</v>
      </c>
      <c r="E139" t="e">
        <f t="shared" ca="1" si="3"/>
        <v>#N/A</v>
      </c>
      <c r="F139" t="e">
        <f t="shared" ca="1" si="4"/>
        <v>#N/A</v>
      </c>
      <c r="G139" t="e">
        <f t="shared" ca="1" si="5"/>
        <v>#N/A</v>
      </c>
      <c r="H139" t="e">
        <f t="shared" ca="1" si="6"/>
        <v>#N/A</v>
      </c>
      <c r="I139" t="e">
        <f ca="1">IF($A139&lt;=TeamNum,INDIRECT(CONCATENATE("b",7+($A139-1)*6)),NA())</f>
        <v>#N/A</v>
      </c>
      <c r="J139" t="e">
        <f ca="1">IF($A139&lt;=TeamNum,INDIRECT(CONCATENATE("c",7+($A139-1)*6)),NA())</f>
        <v>#N/A</v>
      </c>
    </row>
    <row r="140" spans="1:10" x14ac:dyDescent="0.25">
      <c r="A140">
        <v>14</v>
      </c>
      <c r="B140" t="e">
        <f t="shared" ca="1" si="0"/>
        <v>#N/A</v>
      </c>
      <c r="C140" t="e">
        <f t="shared" ca="1" si="1"/>
        <v>#N/A</v>
      </c>
      <c r="D140" t="e">
        <f t="shared" ca="1" si="2"/>
        <v>#N/A</v>
      </c>
      <c r="E140" t="e">
        <f t="shared" ca="1" si="3"/>
        <v>#N/A</v>
      </c>
      <c r="F140" t="e">
        <f t="shared" ca="1" si="4"/>
        <v>#N/A</v>
      </c>
      <c r="G140" t="e">
        <f t="shared" ca="1" si="5"/>
        <v>#N/A</v>
      </c>
      <c r="H140" t="e">
        <f t="shared" ca="1" si="6"/>
        <v>#N/A</v>
      </c>
      <c r="I140" t="e">
        <f ca="1">IF($A140&lt;=TeamNum,INDIRECT(CONCATENATE("b",7+($A140-1)*6)),NA())</f>
        <v>#N/A</v>
      </c>
      <c r="J140" t="e">
        <f ca="1">IF($A140&lt;=TeamNum,INDIRECT(CONCATENATE("c",7+($A140-1)*6)),NA())</f>
        <v>#N/A</v>
      </c>
    </row>
    <row r="141" spans="1:10" x14ac:dyDescent="0.25">
      <c r="A141">
        <v>15</v>
      </c>
      <c r="B141" t="e">
        <f t="shared" ca="1" si="0"/>
        <v>#N/A</v>
      </c>
      <c r="C141" t="e">
        <f t="shared" ca="1" si="1"/>
        <v>#N/A</v>
      </c>
      <c r="D141" t="e">
        <f t="shared" ca="1" si="2"/>
        <v>#N/A</v>
      </c>
      <c r="E141" t="e">
        <f t="shared" ca="1" si="3"/>
        <v>#N/A</v>
      </c>
      <c r="F141" t="e">
        <f t="shared" ca="1" si="4"/>
        <v>#N/A</v>
      </c>
      <c r="G141" t="e">
        <f t="shared" ca="1" si="5"/>
        <v>#N/A</v>
      </c>
      <c r="H141" t="e">
        <f t="shared" ca="1" si="6"/>
        <v>#N/A</v>
      </c>
      <c r="I141" t="e">
        <f ca="1">IF($A141&lt;=TeamNum,INDIRECT(CONCATENATE("b",7+($A141-1)*6)),NA())</f>
        <v>#N/A</v>
      </c>
      <c r="J141" t="e">
        <f ca="1">IF($A141&lt;=TeamNum,INDIRECT(CONCATENATE("c",7+($A141-1)*6)),NA())</f>
        <v>#N/A</v>
      </c>
    </row>
    <row r="142" spans="1:10" x14ac:dyDescent="0.25">
      <c r="A142">
        <v>16</v>
      </c>
      <c r="B142" t="e">
        <f t="shared" ca="1" si="0"/>
        <v>#N/A</v>
      </c>
      <c r="C142" t="e">
        <f t="shared" ca="1" si="1"/>
        <v>#N/A</v>
      </c>
      <c r="D142" t="e">
        <f t="shared" ca="1" si="2"/>
        <v>#N/A</v>
      </c>
      <c r="E142" t="e">
        <f t="shared" ca="1" si="3"/>
        <v>#N/A</v>
      </c>
      <c r="F142" t="e">
        <f t="shared" ca="1" si="4"/>
        <v>#N/A</v>
      </c>
      <c r="G142" t="e">
        <f t="shared" ca="1" si="5"/>
        <v>#N/A</v>
      </c>
      <c r="H142" t="e">
        <f t="shared" ca="1" si="6"/>
        <v>#N/A</v>
      </c>
      <c r="I142" t="e">
        <f ca="1">IF($A142&lt;=TeamNum,INDIRECT(CONCATENATE("b",7+($A142-1)*6)),NA())</f>
        <v>#N/A</v>
      </c>
      <c r="J142" t="e">
        <f ca="1">IF($A142&lt;=TeamNum,INDIRECT(CONCATENATE("c",7+($A142-1)*6)),NA())</f>
        <v>#N/A</v>
      </c>
    </row>
    <row r="143" spans="1:10" x14ac:dyDescent="0.25">
      <c r="A143">
        <v>17</v>
      </c>
      <c r="B143" t="e">
        <f t="shared" ca="1" si="0"/>
        <v>#N/A</v>
      </c>
      <c r="C143" t="e">
        <f t="shared" ca="1" si="1"/>
        <v>#N/A</v>
      </c>
      <c r="D143" t="e">
        <f t="shared" ca="1" si="2"/>
        <v>#N/A</v>
      </c>
      <c r="E143" t="e">
        <f t="shared" ca="1" si="3"/>
        <v>#N/A</v>
      </c>
      <c r="F143" t="e">
        <f t="shared" ca="1" si="4"/>
        <v>#N/A</v>
      </c>
      <c r="G143" t="e">
        <f t="shared" ca="1" si="5"/>
        <v>#N/A</v>
      </c>
      <c r="H143" t="e">
        <f t="shared" ca="1" si="6"/>
        <v>#N/A</v>
      </c>
      <c r="I143" t="e">
        <f ca="1">IF($A143&lt;=TeamNum,INDIRECT(CONCATENATE("b",7+($A143-1)*6)),NA())</f>
        <v>#N/A</v>
      </c>
      <c r="J143" t="e">
        <f ca="1">IF($A143&lt;=TeamNum,INDIRECT(CONCATENATE("c",7+($A143-1)*6)),NA())</f>
        <v>#N/A</v>
      </c>
    </row>
    <row r="144" spans="1:10" x14ac:dyDescent="0.25">
      <c r="A144">
        <v>18</v>
      </c>
      <c r="B144" t="e">
        <f t="shared" ca="1" si="0"/>
        <v>#N/A</v>
      </c>
      <c r="C144" t="e">
        <f t="shared" ca="1" si="1"/>
        <v>#N/A</v>
      </c>
      <c r="D144" t="e">
        <f t="shared" ca="1" si="2"/>
        <v>#N/A</v>
      </c>
      <c r="E144" t="e">
        <f t="shared" ca="1" si="3"/>
        <v>#N/A</v>
      </c>
      <c r="F144" t="e">
        <f t="shared" ca="1" si="4"/>
        <v>#N/A</v>
      </c>
      <c r="G144" t="e">
        <f t="shared" ca="1" si="5"/>
        <v>#N/A</v>
      </c>
      <c r="H144" t="e">
        <f t="shared" ca="1" si="6"/>
        <v>#N/A</v>
      </c>
      <c r="I144" t="e">
        <f ca="1">IF($A144&lt;=TeamNum,INDIRECT(CONCATENATE("b",7+($A144-1)*6)),NA())</f>
        <v>#N/A</v>
      </c>
      <c r="J144" t="e">
        <f ca="1">IF($A144&lt;=TeamNum,INDIRECT(CONCATENATE("c",7+($A144-1)*6)),NA())</f>
        <v>#N/A</v>
      </c>
    </row>
    <row r="145" spans="1:10" x14ac:dyDescent="0.25">
      <c r="A145">
        <v>19</v>
      </c>
      <c r="B145" t="e">
        <f t="shared" ca="1" si="0"/>
        <v>#N/A</v>
      </c>
      <c r="C145" t="e">
        <f t="shared" ca="1" si="1"/>
        <v>#N/A</v>
      </c>
      <c r="D145" t="e">
        <f t="shared" ca="1" si="2"/>
        <v>#N/A</v>
      </c>
      <c r="E145" t="e">
        <f t="shared" ca="1" si="3"/>
        <v>#N/A</v>
      </c>
      <c r="F145" t="e">
        <f t="shared" ca="1" si="4"/>
        <v>#N/A</v>
      </c>
      <c r="G145" t="e">
        <f t="shared" ca="1" si="5"/>
        <v>#N/A</v>
      </c>
      <c r="H145" t="e">
        <f t="shared" ca="1" si="6"/>
        <v>#N/A</v>
      </c>
      <c r="I145" t="e">
        <f ca="1">IF($A145&lt;=TeamNum,INDIRECT(CONCATENATE("b",7+($A145-1)*6)),NA())</f>
        <v>#N/A</v>
      </c>
      <c r="J145" t="e">
        <f ca="1">IF($A145&lt;=TeamNum,INDIRECT(CONCATENATE("c",7+($A145-1)*6)),NA())</f>
        <v>#N/A</v>
      </c>
    </row>
    <row r="146" spans="1:10" x14ac:dyDescent="0.25">
      <c r="A146">
        <v>20</v>
      </c>
      <c r="B146" t="e">
        <f t="shared" ca="1" si="0"/>
        <v>#N/A</v>
      </c>
      <c r="C146" t="e">
        <f t="shared" ca="1" si="1"/>
        <v>#N/A</v>
      </c>
      <c r="D146" t="e">
        <f t="shared" ca="1" si="2"/>
        <v>#N/A</v>
      </c>
      <c r="E146" t="e">
        <f t="shared" ca="1" si="3"/>
        <v>#N/A</v>
      </c>
      <c r="F146" t="e">
        <f t="shared" ca="1" si="4"/>
        <v>#N/A</v>
      </c>
      <c r="G146" t="e">
        <f t="shared" ca="1" si="5"/>
        <v>#N/A</v>
      </c>
      <c r="H146" t="e">
        <f t="shared" ca="1" si="6"/>
        <v>#N/A</v>
      </c>
      <c r="I146" t="e">
        <f ca="1">IF($A146&lt;=TeamNum,INDIRECT(CONCATENATE("b",7+($A146-1)*6)),NA())</f>
        <v>#N/A</v>
      </c>
      <c r="J146" t="e">
        <f ca="1">IF($A146&lt;=TeamNum,INDIRECT(CONCATENATE("c",7+($A146-1)*6)),NA())</f>
        <v>#N/A</v>
      </c>
    </row>
    <row r="147" spans="1:10" x14ac:dyDescent="0.25">
      <c r="A147" s="19"/>
      <c r="B147" s="19" t="s">
        <v>10</v>
      </c>
      <c r="C147" s="19">
        <f>95.7</f>
        <v>95.7</v>
      </c>
      <c r="D147" s="19">
        <f>C147</f>
        <v>95.7</v>
      </c>
      <c r="E147" s="19">
        <f>D147</f>
        <v>95.7</v>
      </c>
      <c r="F147" s="19">
        <f>E147</f>
        <v>95.7</v>
      </c>
      <c r="G147" s="19">
        <f>F147</f>
        <v>95.7</v>
      </c>
      <c r="H147" s="19">
        <v>95.7</v>
      </c>
      <c r="I147" s="19"/>
      <c r="J147" s="19"/>
    </row>
    <row r="148" spans="1:10" x14ac:dyDescent="0.25">
      <c r="A148">
        <v>1</v>
      </c>
      <c r="B148">
        <f ca="1">IF($A148&lt;=TeamNum,INDIRECT(CONCATENATE("a",8+($A148-1)*6)),NA())</f>
        <v>0</v>
      </c>
      <c r="C148" t="e">
        <f ca="1">IF($A148&lt;=TeamNum,IF(INDIRECT(CONCATENATE("d",8+($A148-1)*6))="",NA(),INDIRECT(CONCATENATE("d",8+($A148-1)*6))),NA())</f>
        <v>#N/A</v>
      </c>
      <c r="D148" t="e">
        <f ca="1">IF($A148&lt;=TeamNum,IF(INDIRECT(CONCATENATE("e",8+($A148-1)*6))="",NA(),INDIRECT(CONCATENATE("e",8+($A148-1)*6))),NA())</f>
        <v>#N/A</v>
      </c>
      <c r="E148" t="e">
        <f ca="1">IF($A148&lt;=TeamNum,IF(INDIRECT(CONCATENATE("f",8+($A148-1)*6))="",NA(),INDIRECT(CONCATENATE("f",8+($A148-1)*6))),NA())</f>
        <v>#N/A</v>
      </c>
      <c r="F148" t="e">
        <f ca="1">IF($A148&lt;=TeamNum,IF(INDIRECT(CONCATENATE("g",8+($A148-1)*6))="",NA(),INDIRECT(CONCATENATE("g",8+($A148-1)*6))),NA())</f>
        <v>#N/A</v>
      </c>
      <c r="G148" t="e">
        <f ca="1">IF($A148&lt;=TeamNum,IF(INDIRECT(CONCATENATE("h",8+($A148-1)*6))="",NA(),INDIRECT(CONCATENATE("h",8+($A148-1)*6))),NA())</f>
        <v>#N/A</v>
      </c>
      <c r="H148" t="e">
        <f ca="1">IF($A148&lt;=TeamNum,IF(INDIRECT(CONCATENATE("i",8+($A148-1)*6))="",NA(),INDIRECT(CONCATENATE("i",8+($A148-1)*6))),NA())</f>
        <v>#N/A</v>
      </c>
      <c r="I148">
        <f ca="1">IF($A148&lt;=TeamNum,INDIRECT(CONCATENATE("b",8+($A148-1)*6)),NA())</f>
        <v>0</v>
      </c>
      <c r="J148">
        <f ca="1">IF($A148&lt;=TeamNum,INDIRECT(CONCATENATE("c",8+($A148-1)*6)),NA())</f>
        <v>0</v>
      </c>
    </row>
    <row r="149" spans="1:10" x14ac:dyDescent="0.25">
      <c r="A149">
        <v>2</v>
      </c>
      <c r="B149" t="e">
        <f ca="1">IF($A149&lt;=TeamNum,INDIRECT(CONCATENATE("a",8+($A149-1)*6)),NA())</f>
        <v>#N/A</v>
      </c>
      <c r="C149" t="e">
        <f ca="1">IF($A149&lt;=TeamNum,IF(INDIRECT(CONCATENATE("d",8+($A149-1)*6))="",NA(),INDIRECT(CONCATENATE("d",8+($A149-1)*6))),NA())</f>
        <v>#N/A</v>
      </c>
      <c r="D149" t="e">
        <f ca="1">IF($A149&lt;=TeamNum,IF(INDIRECT(CONCATENATE("e",8+($A149-1)*6))="",NA(),INDIRECT(CONCATENATE("e",8+($A149-1)*6))),NA())</f>
        <v>#N/A</v>
      </c>
      <c r="E149" t="e">
        <f ca="1">IF($A149&lt;=TeamNum,IF(INDIRECT(CONCATENATE("f",8+($A149-1)*6))="",NA(),INDIRECT(CONCATENATE("f",8+($A149-1)*6))),NA())</f>
        <v>#N/A</v>
      </c>
      <c r="F149" t="e">
        <f ca="1">IF($A149&lt;=TeamNum,IF(INDIRECT(CONCATENATE("g",8+($A149-1)*6))="",NA(),INDIRECT(CONCATENATE("g",8+($A149-1)*6))),NA())</f>
        <v>#N/A</v>
      </c>
      <c r="G149" t="e">
        <f ca="1">IF($A149&lt;=TeamNum,IF(INDIRECT(CONCATENATE("h",8+($A149-1)*6))="",NA(),INDIRECT(CONCATENATE("h",8+($A149-1)*6))),NA())</f>
        <v>#N/A</v>
      </c>
      <c r="H149" t="e">
        <f ca="1">IF($A149&lt;=TeamNum,IF(INDIRECT(CONCATENATE("i",8+($A149-1)*6))="",NA(),INDIRECT(CONCATENATE("i",8+($A149-1)*6))),NA())</f>
        <v>#N/A</v>
      </c>
      <c r="I149" t="e">
        <f ca="1">IF($A149&lt;=TeamNum,INDIRECT(CONCATENATE("b",8+($A149-1)*6)),NA())</f>
        <v>#N/A</v>
      </c>
      <c r="J149" t="e">
        <f ca="1">IF($A149&lt;=TeamNum,INDIRECT(CONCATENATE("c",8+($A149-1)*6)),NA())</f>
        <v>#N/A</v>
      </c>
    </row>
    <row r="150" spans="1:10" x14ac:dyDescent="0.25">
      <c r="A150">
        <v>3</v>
      </c>
      <c r="B150" t="e">
        <f ca="1">IF($A150&lt;=TeamNum,INDIRECT(CONCATENATE("a",8+($A150-1)*6)),NA())</f>
        <v>#N/A</v>
      </c>
      <c r="C150" t="e">
        <f ca="1">IF($A150&lt;=TeamNum,IF(INDIRECT(CONCATENATE("d",8+($A150-1)*6))="",NA(),INDIRECT(CONCATENATE("d",8+($A150-1)*6))),NA())</f>
        <v>#N/A</v>
      </c>
      <c r="D150" t="e">
        <f ca="1">IF($A150&lt;=TeamNum,IF(INDIRECT(CONCATENATE("e",8+($A150-1)*6))="",NA(),INDIRECT(CONCATENATE("e",8+($A150-1)*6))),NA())</f>
        <v>#N/A</v>
      </c>
      <c r="E150" t="e">
        <f ca="1">IF($A150&lt;=TeamNum,IF(INDIRECT(CONCATENATE("f",8+($A150-1)*6))="",NA(),INDIRECT(CONCATENATE("f",8+($A150-1)*6))),NA())</f>
        <v>#N/A</v>
      </c>
      <c r="F150" t="e">
        <f ca="1">IF($A150&lt;=TeamNum,IF(INDIRECT(CONCATENATE("g",8+($A150-1)*6))="",NA(),INDIRECT(CONCATENATE("g",8+($A150-1)*6))),NA())</f>
        <v>#N/A</v>
      </c>
      <c r="G150" t="e">
        <f ca="1">IF($A150&lt;=TeamNum,IF(INDIRECT(CONCATENATE("h",8+($A150-1)*6))="",NA(),INDIRECT(CONCATENATE("h",8+($A150-1)*6))),NA())</f>
        <v>#N/A</v>
      </c>
      <c r="H150" t="e">
        <f ca="1">IF($A150&lt;=TeamNum,IF(INDIRECT(CONCATENATE("i",8+($A150-1)*6))="",NA(),INDIRECT(CONCATENATE("i",8+($A150-1)*6))),NA())</f>
        <v>#N/A</v>
      </c>
      <c r="I150" t="e">
        <f ca="1">IF($A150&lt;=TeamNum,INDIRECT(CONCATENATE("b",8+($A150-1)*6)),NA())</f>
        <v>#N/A</v>
      </c>
      <c r="J150" t="e">
        <f ca="1">IF($A150&lt;=TeamNum,INDIRECT(CONCATENATE("c",8+($A150-1)*6)),NA())</f>
        <v>#N/A</v>
      </c>
    </row>
    <row r="151" spans="1:10" x14ac:dyDescent="0.25">
      <c r="A151">
        <v>4</v>
      </c>
      <c r="B151" t="e">
        <f ca="1">IF($A151&lt;=TeamNum,INDIRECT(CONCATENATE("a",8+($A151-1)*6)),NA())</f>
        <v>#N/A</v>
      </c>
      <c r="C151" t="e">
        <f ca="1">IF($A151&lt;=TeamNum,IF(INDIRECT(CONCATENATE("d",8+($A151-1)*6))="",NA(),INDIRECT(CONCATENATE("d",8+($A151-1)*6))),NA())</f>
        <v>#N/A</v>
      </c>
      <c r="D151" t="e">
        <f ca="1">IF($A151&lt;=TeamNum,IF(INDIRECT(CONCATENATE("e",8+($A151-1)*6))="",NA(),INDIRECT(CONCATENATE("e",8+($A151-1)*6))),NA())</f>
        <v>#N/A</v>
      </c>
      <c r="E151" t="e">
        <f ca="1">IF($A151&lt;=TeamNum,IF(INDIRECT(CONCATENATE("f",8+($A151-1)*6))="",NA(),INDIRECT(CONCATENATE("f",8+($A151-1)*6))),NA())</f>
        <v>#N/A</v>
      </c>
      <c r="F151" t="e">
        <f ca="1">IF($A151&lt;=TeamNum,IF(INDIRECT(CONCATENATE("g",8+($A151-1)*6))="",NA(),INDIRECT(CONCATENATE("g",8+($A151-1)*6))),NA())</f>
        <v>#N/A</v>
      </c>
      <c r="G151" t="e">
        <f ca="1">IF($A151&lt;=TeamNum,IF(INDIRECT(CONCATENATE("h",8+($A151-1)*6))="",NA(),INDIRECT(CONCATENATE("h",8+($A151-1)*6))),NA())</f>
        <v>#N/A</v>
      </c>
      <c r="H151" t="e">
        <f ca="1">IF($A151&lt;=TeamNum,IF(INDIRECT(CONCATENATE("i",8+($A151-1)*6))="",NA(),INDIRECT(CONCATENATE("i",8+($A151-1)*6))),NA())</f>
        <v>#N/A</v>
      </c>
      <c r="I151" t="e">
        <f ca="1">IF($A151&lt;=TeamNum,INDIRECT(CONCATENATE("b",8+($A151-1)*6)),NA())</f>
        <v>#N/A</v>
      </c>
      <c r="J151" t="e">
        <f ca="1">IF($A151&lt;=TeamNum,INDIRECT(CONCATENATE("c",8+($A151-1)*6)),NA())</f>
        <v>#N/A</v>
      </c>
    </row>
    <row r="152" spans="1:10" x14ac:dyDescent="0.25">
      <c r="A152">
        <v>5</v>
      </c>
      <c r="B152" t="e">
        <f ca="1">IF($A152&lt;=TeamNum,INDIRECT(CONCATENATE("a",8+($A152-1)*6)),NA())</f>
        <v>#N/A</v>
      </c>
      <c r="C152" t="e">
        <f ca="1">IF($A152&lt;=TeamNum,IF(INDIRECT(CONCATENATE("d",8+($A152-1)*6))="",NA(),INDIRECT(CONCATENATE("d",8+($A152-1)*6))),NA())</f>
        <v>#N/A</v>
      </c>
      <c r="D152" t="e">
        <f ca="1">IF($A152&lt;=TeamNum,IF(INDIRECT(CONCATENATE("e",8+($A152-1)*6))="",NA(),INDIRECT(CONCATENATE("e",8+($A152-1)*6))),NA())</f>
        <v>#N/A</v>
      </c>
      <c r="E152" t="e">
        <f ca="1">IF($A152&lt;=TeamNum,IF(INDIRECT(CONCATENATE("f",8+($A152-1)*6))="",NA(),INDIRECT(CONCATENATE("f",8+($A152-1)*6))),NA())</f>
        <v>#N/A</v>
      </c>
      <c r="F152" t="e">
        <f ca="1">IF($A152&lt;=TeamNum,IF(INDIRECT(CONCATENATE("g",8+($A152-1)*6))="",NA(),INDIRECT(CONCATENATE("g",8+($A152-1)*6))),NA())</f>
        <v>#N/A</v>
      </c>
      <c r="G152" t="e">
        <f ca="1">IF($A152&lt;=TeamNum,IF(INDIRECT(CONCATENATE("h",8+($A152-1)*6))="",NA(),INDIRECT(CONCATENATE("h",8+($A152-1)*6))),NA())</f>
        <v>#N/A</v>
      </c>
      <c r="H152" t="e">
        <f ca="1">IF($A152&lt;=TeamNum,IF(INDIRECT(CONCATENATE("i",8+($A152-1)*6))="",NA(),INDIRECT(CONCATENATE("i",8+($A152-1)*6))),NA())</f>
        <v>#N/A</v>
      </c>
      <c r="I152" t="e">
        <f ca="1">IF($A152&lt;=TeamNum,INDIRECT(CONCATENATE("b",8+($A152-1)*6)),NA())</f>
        <v>#N/A</v>
      </c>
      <c r="J152" t="e">
        <f ca="1">IF($A152&lt;=TeamNum,INDIRECT(CONCATENATE("c",8+($A152-1)*6)),NA())</f>
        <v>#N/A</v>
      </c>
    </row>
    <row r="153" spans="1:10" x14ac:dyDescent="0.25">
      <c r="A153">
        <v>6</v>
      </c>
      <c r="B153" t="e">
        <f ca="1">IF($A153&lt;=TeamNum,INDIRECT(CONCATENATE("a",8+($A153-1)*6)),NA())</f>
        <v>#N/A</v>
      </c>
      <c r="C153" t="e">
        <f ca="1">IF($A153&lt;=TeamNum,IF(INDIRECT(CONCATENATE("d",8+($A153-1)*6))="",NA(),INDIRECT(CONCATENATE("d",8+($A153-1)*6))),NA())</f>
        <v>#N/A</v>
      </c>
      <c r="D153" t="e">
        <f ca="1">IF($A153&lt;=TeamNum,IF(INDIRECT(CONCATENATE("e",8+($A153-1)*6))="",NA(),INDIRECT(CONCATENATE("e",8+($A153-1)*6))),NA())</f>
        <v>#N/A</v>
      </c>
      <c r="E153" t="e">
        <f ca="1">IF($A153&lt;=TeamNum,IF(INDIRECT(CONCATENATE("f",8+($A153-1)*6))="",NA(),INDIRECT(CONCATENATE("f",8+($A153-1)*6))),NA())</f>
        <v>#N/A</v>
      </c>
      <c r="F153" t="e">
        <f ca="1">IF($A153&lt;=TeamNum,IF(INDIRECT(CONCATENATE("g",8+($A153-1)*6))="",NA(),INDIRECT(CONCATENATE("g",8+($A153-1)*6))),NA())</f>
        <v>#N/A</v>
      </c>
      <c r="G153" t="e">
        <f ca="1">IF($A153&lt;=TeamNum,IF(INDIRECT(CONCATENATE("h",8+($A153-1)*6))="",NA(),INDIRECT(CONCATENATE("h",8+($A153-1)*6))),NA())</f>
        <v>#N/A</v>
      </c>
      <c r="H153" t="e">
        <f ca="1">IF($A153&lt;=TeamNum,IF(INDIRECT(CONCATENATE("i",8+($A153-1)*6))="",NA(),INDIRECT(CONCATENATE("i",8+($A153-1)*6))),NA())</f>
        <v>#N/A</v>
      </c>
      <c r="I153" t="e">
        <f ca="1">IF($A153&lt;=TeamNum,INDIRECT(CONCATENATE("b",8+($A153-1)*6)),NA())</f>
        <v>#N/A</v>
      </c>
      <c r="J153" t="e">
        <f ca="1">IF($A153&lt;=TeamNum,INDIRECT(CONCATENATE("c",8+($A153-1)*6)),NA())</f>
        <v>#N/A</v>
      </c>
    </row>
    <row r="154" spans="1:10" x14ac:dyDescent="0.25">
      <c r="A154">
        <v>7</v>
      </c>
      <c r="B154" t="e">
        <f ca="1">IF($A154&lt;=TeamNum,INDIRECT(CONCATENATE("a",8+($A154-1)*6)),NA())</f>
        <v>#N/A</v>
      </c>
      <c r="C154" t="e">
        <f ca="1">IF($A154&lt;=TeamNum,IF(INDIRECT(CONCATENATE("d",8+($A154-1)*6))="",NA(),INDIRECT(CONCATENATE("d",8+($A154-1)*6))),NA())</f>
        <v>#N/A</v>
      </c>
      <c r="D154" t="e">
        <f ca="1">IF($A154&lt;=TeamNum,IF(INDIRECT(CONCATENATE("e",8+($A154-1)*6))="",NA(),INDIRECT(CONCATENATE("e",8+($A154-1)*6))),NA())</f>
        <v>#N/A</v>
      </c>
      <c r="E154" t="e">
        <f ca="1">IF($A154&lt;=TeamNum,IF(INDIRECT(CONCATENATE("f",8+($A154-1)*6))="",NA(),INDIRECT(CONCATENATE("f",8+($A154-1)*6))),NA())</f>
        <v>#N/A</v>
      </c>
      <c r="F154" t="e">
        <f ca="1">IF($A154&lt;=TeamNum,IF(INDIRECT(CONCATENATE("g",8+($A154-1)*6))="",NA(),INDIRECT(CONCATENATE("g",8+($A154-1)*6))),NA())</f>
        <v>#N/A</v>
      </c>
      <c r="G154" t="e">
        <f ca="1">IF($A154&lt;=TeamNum,IF(INDIRECT(CONCATENATE("h",8+($A154-1)*6))="",NA(),INDIRECT(CONCATENATE("h",8+($A154-1)*6))),NA())</f>
        <v>#N/A</v>
      </c>
      <c r="H154" t="e">
        <f ca="1">IF($A154&lt;=TeamNum,IF(INDIRECT(CONCATENATE("i",8+($A154-1)*6))="",NA(),INDIRECT(CONCATENATE("i",8+($A154-1)*6))),NA())</f>
        <v>#N/A</v>
      </c>
      <c r="I154" t="e">
        <f ca="1">IF($A154&lt;=TeamNum,INDIRECT(CONCATENATE("b",8+($A154-1)*6)),NA())</f>
        <v>#N/A</v>
      </c>
      <c r="J154" t="e">
        <f ca="1">IF($A154&lt;=TeamNum,INDIRECT(CONCATENATE("c",8+($A154-1)*6)),NA())</f>
        <v>#N/A</v>
      </c>
    </row>
    <row r="155" spans="1:10" x14ac:dyDescent="0.25">
      <c r="A155">
        <v>8</v>
      </c>
      <c r="B155" t="e">
        <f ca="1">IF($A155&lt;=TeamNum,INDIRECT(CONCATENATE("a",8+($A155-1)*6)),NA())</f>
        <v>#N/A</v>
      </c>
      <c r="C155" t="e">
        <f ca="1">IF($A155&lt;=TeamNum,IF(INDIRECT(CONCATENATE("d",8+($A155-1)*6))="",NA(),INDIRECT(CONCATENATE("d",8+($A155-1)*6))),NA())</f>
        <v>#N/A</v>
      </c>
      <c r="D155" t="e">
        <f ca="1">IF($A155&lt;=TeamNum,IF(INDIRECT(CONCATENATE("e",8+($A155-1)*6))="",NA(),INDIRECT(CONCATENATE("e",8+($A155-1)*6))),NA())</f>
        <v>#N/A</v>
      </c>
      <c r="E155" t="e">
        <f ca="1">IF($A155&lt;=TeamNum,IF(INDIRECT(CONCATENATE("f",8+($A155-1)*6))="",NA(),INDIRECT(CONCATENATE("f",8+($A155-1)*6))),NA())</f>
        <v>#N/A</v>
      </c>
      <c r="F155" t="e">
        <f ca="1">IF($A155&lt;=TeamNum,IF(INDIRECT(CONCATENATE("g",8+($A155-1)*6))="",NA(),INDIRECT(CONCATENATE("g",8+($A155-1)*6))),NA())</f>
        <v>#N/A</v>
      </c>
      <c r="G155" t="e">
        <f ca="1">IF($A155&lt;=TeamNum,IF(INDIRECT(CONCATENATE("h",8+($A155-1)*6))="",NA(),INDIRECT(CONCATENATE("h",8+($A155-1)*6))),NA())</f>
        <v>#N/A</v>
      </c>
      <c r="H155" t="e">
        <f ca="1">IF($A155&lt;=TeamNum,IF(INDIRECT(CONCATENATE("i",8+($A155-1)*6))="",NA(),INDIRECT(CONCATENATE("i",8+($A155-1)*6))),NA())</f>
        <v>#N/A</v>
      </c>
      <c r="I155" t="e">
        <f ca="1">IF($A155&lt;=TeamNum,INDIRECT(CONCATENATE("b",8+($A155-1)*6)),NA())</f>
        <v>#N/A</v>
      </c>
      <c r="J155" t="e">
        <f ca="1">IF($A155&lt;=TeamNum,INDIRECT(CONCATENATE("c",8+($A155-1)*6)),NA())</f>
        <v>#N/A</v>
      </c>
    </row>
    <row r="156" spans="1:10" x14ac:dyDescent="0.25">
      <c r="A156">
        <v>9</v>
      </c>
      <c r="B156" t="e">
        <f ca="1">IF($A156&lt;=TeamNum,INDIRECT(CONCATENATE("a",8+($A156-1)*6)),NA())</f>
        <v>#N/A</v>
      </c>
      <c r="C156" t="e">
        <f ca="1">IF($A156&lt;=TeamNum,IF(INDIRECT(CONCATENATE("d",8+($A156-1)*6))="",NA(),INDIRECT(CONCATENATE("d",8+($A156-1)*6))),NA())</f>
        <v>#N/A</v>
      </c>
      <c r="D156" t="e">
        <f ca="1">IF($A156&lt;=TeamNum,IF(INDIRECT(CONCATENATE("e",8+($A156-1)*6))="",NA(),INDIRECT(CONCATENATE("e",8+($A156-1)*6))),NA())</f>
        <v>#N/A</v>
      </c>
      <c r="E156" t="e">
        <f ca="1">IF($A156&lt;=TeamNum,IF(INDIRECT(CONCATENATE("f",8+($A156-1)*6))="",NA(),INDIRECT(CONCATENATE("f",8+($A156-1)*6))),NA())</f>
        <v>#N/A</v>
      </c>
      <c r="F156" t="e">
        <f ca="1">IF($A156&lt;=TeamNum,IF(INDIRECT(CONCATENATE("g",8+($A156-1)*6))="",NA(),INDIRECT(CONCATENATE("g",8+($A156-1)*6))),NA())</f>
        <v>#N/A</v>
      </c>
      <c r="G156" t="e">
        <f ca="1">IF($A156&lt;=TeamNum,IF(INDIRECT(CONCATENATE("h",8+($A156-1)*6))="",NA(),INDIRECT(CONCATENATE("h",8+($A156-1)*6))),NA())</f>
        <v>#N/A</v>
      </c>
      <c r="H156" t="e">
        <f ca="1">IF($A156&lt;=TeamNum,IF(INDIRECT(CONCATENATE("i",8+($A156-1)*6))="",NA(),INDIRECT(CONCATENATE("i",8+($A156-1)*6))),NA())</f>
        <v>#N/A</v>
      </c>
      <c r="I156" t="e">
        <f ca="1">IF($A156&lt;=TeamNum,INDIRECT(CONCATENATE("b",8+($A156-1)*6)),NA())</f>
        <v>#N/A</v>
      </c>
      <c r="J156" t="e">
        <f ca="1">IF($A156&lt;=TeamNum,INDIRECT(CONCATENATE("c",8+($A156-1)*6)),NA())</f>
        <v>#N/A</v>
      </c>
    </row>
    <row r="157" spans="1:10" x14ac:dyDescent="0.25">
      <c r="A157">
        <v>10</v>
      </c>
      <c r="B157" t="e">
        <f ca="1">IF($A157&lt;=TeamNum,INDIRECT(CONCATENATE("a",8+($A157-1)*6)),NA())</f>
        <v>#N/A</v>
      </c>
      <c r="C157" t="e">
        <f ca="1">IF($A157&lt;=TeamNum,IF(INDIRECT(CONCATENATE("d",8+($A157-1)*6))="",NA(),INDIRECT(CONCATENATE("d",8+($A157-1)*6))),NA())</f>
        <v>#N/A</v>
      </c>
      <c r="D157" t="e">
        <f ca="1">IF($A157&lt;=TeamNum,IF(INDIRECT(CONCATENATE("e",8+($A157-1)*6))="",NA(),INDIRECT(CONCATENATE("e",8+($A157-1)*6))),NA())</f>
        <v>#N/A</v>
      </c>
      <c r="E157" t="e">
        <f ca="1">IF($A157&lt;=TeamNum,IF(INDIRECT(CONCATENATE("f",8+($A157-1)*6))="",NA(),INDIRECT(CONCATENATE("f",8+($A157-1)*6))),NA())</f>
        <v>#N/A</v>
      </c>
      <c r="F157" t="e">
        <f ca="1">IF($A157&lt;=TeamNum,IF(INDIRECT(CONCATENATE("g",8+($A157-1)*6))="",NA(),INDIRECT(CONCATENATE("g",8+($A157-1)*6))),NA())</f>
        <v>#N/A</v>
      </c>
      <c r="G157" t="e">
        <f ca="1">IF($A157&lt;=TeamNum,IF(INDIRECT(CONCATENATE("h",8+($A157-1)*6))="",NA(),INDIRECT(CONCATENATE("h",8+($A157-1)*6))),NA())</f>
        <v>#N/A</v>
      </c>
      <c r="H157" t="e">
        <f ca="1">IF($A157&lt;=TeamNum,IF(INDIRECT(CONCATENATE("i",8+($A157-1)*6))="",NA(),INDIRECT(CONCATENATE("i",8+($A157-1)*6))),NA())</f>
        <v>#N/A</v>
      </c>
      <c r="I157" t="e">
        <f ca="1">IF($A157&lt;=TeamNum,INDIRECT(CONCATENATE("b",8+($A157-1)*6)),NA())</f>
        <v>#N/A</v>
      </c>
      <c r="J157" t="e">
        <f ca="1">IF($A157&lt;=TeamNum,INDIRECT(CONCATENATE("c",8+($A157-1)*6)),NA())</f>
        <v>#N/A</v>
      </c>
    </row>
    <row r="158" spans="1:10" x14ac:dyDescent="0.25">
      <c r="A158">
        <v>11</v>
      </c>
      <c r="B158" t="e">
        <f ca="1">IF($A158&lt;=TeamNum,INDIRECT(CONCATENATE("a",8+($A158-1)*6)),NA())</f>
        <v>#N/A</v>
      </c>
      <c r="C158" t="e">
        <f ca="1">IF($A158&lt;=TeamNum,IF(INDIRECT(CONCATENATE("d",8+($A158-1)*6))="",NA(),INDIRECT(CONCATENATE("d",8+($A158-1)*6))),NA())</f>
        <v>#N/A</v>
      </c>
      <c r="D158" t="e">
        <f ca="1">IF($A158&lt;=TeamNum,IF(INDIRECT(CONCATENATE("e",8+($A158-1)*6))="",NA(),INDIRECT(CONCATENATE("e",8+($A158-1)*6))),NA())</f>
        <v>#N/A</v>
      </c>
      <c r="E158" t="e">
        <f ca="1">IF($A158&lt;=TeamNum,IF(INDIRECT(CONCATENATE("f",8+($A158-1)*6))="",NA(),INDIRECT(CONCATENATE("f",8+($A158-1)*6))),NA())</f>
        <v>#N/A</v>
      </c>
      <c r="F158" t="e">
        <f ca="1">IF($A158&lt;=TeamNum,IF(INDIRECT(CONCATENATE("g",8+($A158-1)*6))="",NA(),INDIRECT(CONCATENATE("g",8+($A158-1)*6))),NA())</f>
        <v>#N/A</v>
      </c>
      <c r="G158" t="e">
        <f ca="1">IF($A158&lt;=TeamNum,IF(INDIRECT(CONCATENATE("h",8+($A158-1)*6))="",NA(),INDIRECT(CONCATENATE("h",8+($A158-1)*6))),NA())</f>
        <v>#N/A</v>
      </c>
      <c r="H158" t="e">
        <f ca="1">IF($A158&lt;=TeamNum,IF(INDIRECT(CONCATENATE("i",8+($A158-1)*6))="",NA(),INDIRECT(CONCATENATE("i",8+($A158-1)*6))),NA())</f>
        <v>#N/A</v>
      </c>
      <c r="I158" t="e">
        <f ca="1">IF($A158&lt;=TeamNum,INDIRECT(CONCATENATE("b",8+($A158-1)*6)),NA())</f>
        <v>#N/A</v>
      </c>
      <c r="J158" t="e">
        <f ca="1">IF($A158&lt;=TeamNum,INDIRECT(CONCATENATE("c",8+($A158-1)*6)),NA())</f>
        <v>#N/A</v>
      </c>
    </row>
    <row r="159" spans="1:10" x14ac:dyDescent="0.25">
      <c r="A159">
        <v>12</v>
      </c>
      <c r="B159" t="e">
        <f ca="1">IF($A159&lt;=TeamNum,INDIRECT(CONCATENATE("a",8+($A159-1)*6)),NA())</f>
        <v>#N/A</v>
      </c>
      <c r="C159" t="e">
        <f ca="1">IF($A159&lt;=TeamNum,IF(INDIRECT(CONCATENATE("d",8+($A159-1)*6))="",NA(),INDIRECT(CONCATENATE("d",8+($A159-1)*6))),NA())</f>
        <v>#N/A</v>
      </c>
      <c r="D159" t="e">
        <f ca="1">IF($A159&lt;=TeamNum,IF(INDIRECT(CONCATENATE("e",8+($A159-1)*6))="",NA(),INDIRECT(CONCATENATE("e",8+($A159-1)*6))),NA())</f>
        <v>#N/A</v>
      </c>
      <c r="E159" t="e">
        <f ca="1">IF($A159&lt;=TeamNum,IF(INDIRECT(CONCATENATE("f",8+($A159-1)*6))="",NA(),INDIRECT(CONCATENATE("f",8+($A159-1)*6))),NA())</f>
        <v>#N/A</v>
      </c>
      <c r="F159" t="e">
        <f ca="1">IF($A159&lt;=TeamNum,IF(INDIRECT(CONCATENATE("g",8+($A159-1)*6))="",NA(),INDIRECT(CONCATENATE("g",8+($A159-1)*6))),NA())</f>
        <v>#N/A</v>
      </c>
      <c r="G159" t="e">
        <f ca="1">IF($A159&lt;=TeamNum,IF(INDIRECT(CONCATENATE("h",8+($A159-1)*6))="",NA(),INDIRECT(CONCATENATE("h",8+($A159-1)*6))),NA())</f>
        <v>#N/A</v>
      </c>
      <c r="H159" t="e">
        <f ca="1">IF($A159&lt;=TeamNum,IF(INDIRECT(CONCATENATE("i",8+($A159-1)*6))="",NA(),INDIRECT(CONCATENATE("i",8+($A159-1)*6))),NA())</f>
        <v>#N/A</v>
      </c>
      <c r="I159" t="e">
        <f ca="1">IF($A159&lt;=TeamNum,INDIRECT(CONCATENATE("b",8+($A159-1)*6)),NA())</f>
        <v>#N/A</v>
      </c>
      <c r="J159" t="e">
        <f ca="1">IF($A159&lt;=TeamNum,INDIRECT(CONCATENATE("c",8+($A159-1)*6)),NA())</f>
        <v>#N/A</v>
      </c>
    </row>
    <row r="160" spans="1:10" x14ac:dyDescent="0.25">
      <c r="A160">
        <v>13</v>
      </c>
      <c r="B160" t="e">
        <f ca="1">IF($A160&lt;=TeamNum,INDIRECT(CONCATENATE("a",8+($A160-1)*6)),NA())</f>
        <v>#N/A</v>
      </c>
      <c r="C160" t="e">
        <f ca="1">IF($A160&lt;=TeamNum,IF(INDIRECT(CONCATENATE("d",8+($A160-1)*6))="",NA(),INDIRECT(CONCATENATE("d",8+($A160-1)*6))),NA())</f>
        <v>#N/A</v>
      </c>
      <c r="D160" t="e">
        <f ca="1">IF($A160&lt;=TeamNum,IF(INDIRECT(CONCATENATE("e",8+($A160-1)*6))="",NA(),INDIRECT(CONCATENATE("e",8+($A160-1)*6))),NA())</f>
        <v>#N/A</v>
      </c>
      <c r="E160" t="e">
        <f ca="1">IF($A160&lt;=TeamNum,IF(INDIRECT(CONCATENATE("f",8+($A160-1)*6))="",NA(),INDIRECT(CONCATENATE("f",8+($A160-1)*6))),NA())</f>
        <v>#N/A</v>
      </c>
      <c r="F160" t="e">
        <f ca="1">IF($A160&lt;=TeamNum,IF(INDIRECT(CONCATENATE("g",8+($A160-1)*6))="",NA(),INDIRECT(CONCATENATE("g",8+($A160-1)*6))),NA())</f>
        <v>#N/A</v>
      </c>
      <c r="G160" t="e">
        <f ca="1">IF($A160&lt;=TeamNum,IF(INDIRECT(CONCATENATE("h",8+($A160-1)*6))="",NA(),INDIRECT(CONCATENATE("h",8+($A160-1)*6))),NA())</f>
        <v>#N/A</v>
      </c>
      <c r="H160" t="e">
        <f ca="1">IF($A160&lt;=TeamNum,IF(INDIRECT(CONCATENATE("i",8+($A160-1)*6))="",NA(),INDIRECT(CONCATENATE("i",8+($A160-1)*6))),NA())</f>
        <v>#N/A</v>
      </c>
      <c r="I160" t="e">
        <f ca="1">IF($A160&lt;=TeamNum,INDIRECT(CONCATENATE("b",8+($A160-1)*6)),NA())</f>
        <v>#N/A</v>
      </c>
      <c r="J160" t="e">
        <f ca="1">IF($A160&lt;=TeamNum,INDIRECT(CONCATENATE("c",8+($A160-1)*6)),NA())</f>
        <v>#N/A</v>
      </c>
    </row>
    <row r="161" spans="1:10" x14ac:dyDescent="0.25">
      <c r="A161">
        <v>14</v>
      </c>
      <c r="B161" t="e">
        <f ca="1">IF($A161&lt;=TeamNum,INDIRECT(CONCATENATE("a",8+($A161-1)*6)),NA())</f>
        <v>#N/A</v>
      </c>
      <c r="C161" t="e">
        <f ca="1">IF($A161&lt;=TeamNum,IF(INDIRECT(CONCATENATE("d",8+($A161-1)*6))="",NA(),INDIRECT(CONCATENATE("d",8+($A161-1)*6))),NA())</f>
        <v>#N/A</v>
      </c>
      <c r="D161" t="e">
        <f ca="1">IF($A161&lt;=TeamNum,IF(INDIRECT(CONCATENATE("e",8+($A161-1)*6))="",NA(),INDIRECT(CONCATENATE("e",8+($A161-1)*6))),NA())</f>
        <v>#N/A</v>
      </c>
      <c r="E161" t="e">
        <f ca="1">IF($A161&lt;=TeamNum,IF(INDIRECT(CONCATENATE("f",8+($A161-1)*6))="",NA(),INDIRECT(CONCATENATE("f",8+($A161-1)*6))),NA())</f>
        <v>#N/A</v>
      </c>
      <c r="F161" t="e">
        <f ca="1">IF($A161&lt;=TeamNum,IF(INDIRECT(CONCATENATE("g",8+($A161-1)*6))="",NA(),INDIRECT(CONCATENATE("g",8+($A161-1)*6))),NA())</f>
        <v>#N/A</v>
      </c>
      <c r="G161" t="e">
        <f ca="1">IF($A161&lt;=TeamNum,IF(INDIRECT(CONCATENATE("h",8+($A161-1)*6))="",NA(),INDIRECT(CONCATENATE("h",8+($A161-1)*6))),NA())</f>
        <v>#N/A</v>
      </c>
      <c r="H161" t="e">
        <f ca="1">IF($A161&lt;=TeamNum,IF(INDIRECT(CONCATENATE("i",8+($A161-1)*6))="",NA(),INDIRECT(CONCATENATE("i",8+($A161-1)*6))),NA())</f>
        <v>#N/A</v>
      </c>
      <c r="I161" t="e">
        <f ca="1">IF($A161&lt;=TeamNum,INDIRECT(CONCATENATE("b",8+($A161-1)*6)),NA())</f>
        <v>#N/A</v>
      </c>
      <c r="J161" t="e">
        <f ca="1">IF($A161&lt;=TeamNum,INDIRECT(CONCATENATE("c",8+($A161-1)*6)),NA())</f>
        <v>#N/A</v>
      </c>
    </row>
    <row r="162" spans="1:10" x14ac:dyDescent="0.25">
      <c r="A162">
        <v>15</v>
      </c>
      <c r="B162" t="e">
        <f ca="1">IF($A162&lt;=TeamNum,INDIRECT(CONCATENATE("a",8+($A162-1)*6)),NA())</f>
        <v>#N/A</v>
      </c>
      <c r="C162" t="e">
        <f ca="1">IF($A162&lt;=TeamNum,IF(INDIRECT(CONCATENATE("d",8+($A162-1)*6))="",NA(),INDIRECT(CONCATENATE("d",8+($A162-1)*6))),NA())</f>
        <v>#N/A</v>
      </c>
      <c r="D162" t="e">
        <f ca="1">IF($A162&lt;=TeamNum,IF(INDIRECT(CONCATENATE("e",8+($A162-1)*6))="",NA(),INDIRECT(CONCATENATE("e",8+($A162-1)*6))),NA())</f>
        <v>#N/A</v>
      </c>
      <c r="E162" t="e">
        <f ca="1">IF($A162&lt;=TeamNum,IF(INDIRECT(CONCATENATE("f",8+($A162-1)*6))="",NA(),INDIRECT(CONCATENATE("f",8+($A162-1)*6))),NA())</f>
        <v>#N/A</v>
      </c>
      <c r="F162" t="e">
        <f ca="1">IF($A162&lt;=TeamNum,IF(INDIRECT(CONCATENATE("g",8+($A162-1)*6))="",NA(),INDIRECT(CONCATENATE("g",8+($A162-1)*6))),NA())</f>
        <v>#N/A</v>
      </c>
      <c r="G162" t="e">
        <f ca="1">IF($A162&lt;=TeamNum,IF(INDIRECT(CONCATENATE("h",8+($A162-1)*6))="",NA(),INDIRECT(CONCATENATE("h",8+($A162-1)*6))),NA())</f>
        <v>#N/A</v>
      </c>
      <c r="H162" t="e">
        <f ca="1">IF($A162&lt;=TeamNum,IF(INDIRECT(CONCATENATE("i",8+($A162-1)*6))="",NA(),INDIRECT(CONCATENATE("i",8+($A162-1)*6))),NA())</f>
        <v>#N/A</v>
      </c>
      <c r="I162" t="e">
        <f ca="1">IF($A162&lt;=TeamNum,INDIRECT(CONCATENATE("b",8+($A162-1)*6)),NA())</f>
        <v>#N/A</v>
      </c>
      <c r="J162" t="e">
        <f ca="1">IF($A162&lt;=TeamNum,INDIRECT(CONCATENATE("c",8+($A162-1)*6)),NA())</f>
        <v>#N/A</v>
      </c>
    </row>
    <row r="163" spans="1:10" x14ac:dyDescent="0.25">
      <c r="A163">
        <v>16</v>
      </c>
      <c r="B163" t="e">
        <f ca="1">IF($A163&lt;=TeamNum,INDIRECT(CONCATENATE("a",8+($A163-1)*6)),NA())</f>
        <v>#N/A</v>
      </c>
      <c r="C163" t="e">
        <f ca="1">IF($A163&lt;=TeamNum,IF(INDIRECT(CONCATENATE("d",8+($A163-1)*6))="",NA(),INDIRECT(CONCATENATE("d",8+($A163-1)*6))),NA())</f>
        <v>#N/A</v>
      </c>
      <c r="D163" t="e">
        <f ca="1">IF($A163&lt;=TeamNum,IF(INDIRECT(CONCATENATE("e",8+($A163-1)*6))="",NA(),INDIRECT(CONCATENATE("e",8+($A163-1)*6))),NA())</f>
        <v>#N/A</v>
      </c>
      <c r="E163" t="e">
        <f ca="1">IF($A163&lt;=TeamNum,IF(INDIRECT(CONCATENATE("f",8+($A163-1)*6))="",NA(),INDIRECT(CONCATENATE("f",8+($A163-1)*6))),NA())</f>
        <v>#N/A</v>
      </c>
      <c r="F163" t="e">
        <f ca="1">IF($A163&lt;=TeamNum,IF(INDIRECT(CONCATENATE("g",8+($A163-1)*6))="",NA(),INDIRECT(CONCATENATE("g",8+($A163-1)*6))),NA())</f>
        <v>#N/A</v>
      </c>
      <c r="G163" t="e">
        <f ca="1">IF($A163&lt;=TeamNum,IF(INDIRECT(CONCATENATE("h",8+($A163-1)*6))="",NA(),INDIRECT(CONCATENATE("h",8+($A163-1)*6))),NA())</f>
        <v>#N/A</v>
      </c>
      <c r="H163" t="e">
        <f ca="1">IF($A163&lt;=TeamNum,IF(INDIRECT(CONCATENATE("i",8+($A163-1)*6))="",NA(),INDIRECT(CONCATENATE("i",8+($A163-1)*6))),NA())</f>
        <v>#N/A</v>
      </c>
      <c r="I163" t="e">
        <f ca="1">IF($A163&lt;=TeamNum,INDIRECT(CONCATENATE("b",8+($A163-1)*6)),NA())</f>
        <v>#N/A</v>
      </c>
      <c r="J163" t="e">
        <f ca="1">IF($A163&lt;=TeamNum,INDIRECT(CONCATENATE("c",8+($A163-1)*6)),NA())</f>
        <v>#N/A</v>
      </c>
    </row>
    <row r="164" spans="1:10" x14ac:dyDescent="0.25">
      <c r="A164">
        <v>17</v>
      </c>
      <c r="B164" t="e">
        <f ca="1">IF($A164&lt;=TeamNum,INDIRECT(CONCATENATE("a",8+($A164-1)*6)),NA())</f>
        <v>#N/A</v>
      </c>
      <c r="C164" t="e">
        <f ca="1">IF($A164&lt;=TeamNum,IF(INDIRECT(CONCATENATE("d",8+($A164-1)*6))="",NA(),INDIRECT(CONCATENATE("d",8+($A164-1)*6))),NA())</f>
        <v>#N/A</v>
      </c>
      <c r="D164" t="e">
        <f ca="1">IF($A164&lt;=TeamNum,IF(INDIRECT(CONCATENATE("e",8+($A164-1)*6))="",NA(),INDIRECT(CONCATENATE("e",8+($A164-1)*6))),NA())</f>
        <v>#N/A</v>
      </c>
      <c r="E164" t="e">
        <f ca="1">IF($A164&lt;=TeamNum,IF(INDIRECT(CONCATENATE("f",8+($A164-1)*6))="",NA(),INDIRECT(CONCATENATE("f",8+($A164-1)*6))),NA())</f>
        <v>#N/A</v>
      </c>
      <c r="F164" t="e">
        <f ca="1">IF($A164&lt;=TeamNum,IF(INDIRECT(CONCATENATE("g",8+($A164-1)*6))="",NA(),INDIRECT(CONCATENATE("g",8+($A164-1)*6))),NA())</f>
        <v>#N/A</v>
      </c>
      <c r="G164" t="e">
        <f ca="1">IF($A164&lt;=TeamNum,IF(INDIRECT(CONCATENATE("h",8+($A164-1)*6))="",NA(),INDIRECT(CONCATENATE("h",8+($A164-1)*6))),NA())</f>
        <v>#N/A</v>
      </c>
      <c r="H164" t="e">
        <f ca="1">IF($A164&lt;=TeamNum,IF(INDIRECT(CONCATENATE("i",8+($A164-1)*6))="",NA(),INDIRECT(CONCATENATE("i",8+($A164-1)*6))),NA())</f>
        <v>#N/A</v>
      </c>
      <c r="I164" t="e">
        <f ca="1">IF($A164&lt;=TeamNum,INDIRECT(CONCATENATE("b",8+($A164-1)*6)),NA())</f>
        <v>#N/A</v>
      </c>
      <c r="J164" t="e">
        <f ca="1">IF($A164&lt;=TeamNum,INDIRECT(CONCATENATE("c",8+($A164-1)*6)),NA())</f>
        <v>#N/A</v>
      </c>
    </row>
    <row r="165" spans="1:10" x14ac:dyDescent="0.25">
      <c r="A165">
        <v>18</v>
      </c>
      <c r="B165" t="e">
        <f ca="1">IF($A165&lt;=TeamNum,INDIRECT(CONCATENATE("a",8+($A165-1)*6)),NA())</f>
        <v>#N/A</v>
      </c>
      <c r="C165" t="e">
        <f ca="1">IF($A165&lt;=TeamNum,IF(INDIRECT(CONCATENATE("d",8+($A165-1)*6))="",NA(),INDIRECT(CONCATENATE("d",8+($A165-1)*6))),NA())</f>
        <v>#N/A</v>
      </c>
      <c r="D165" t="e">
        <f ca="1">IF($A165&lt;=TeamNum,IF(INDIRECT(CONCATENATE("e",8+($A165-1)*6))="",NA(),INDIRECT(CONCATENATE("e",8+($A165-1)*6))),NA())</f>
        <v>#N/A</v>
      </c>
      <c r="E165" t="e">
        <f ca="1">IF($A165&lt;=TeamNum,IF(INDIRECT(CONCATENATE("f",8+($A165-1)*6))="",NA(),INDIRECT(CONCATENATE("f",8+($A165-1)*6))),NA())</f>
        <v>#N/A</v>
      </c>
      <c r="F165" t="e">
        <f ca="1">IF($A165&lt;=TeamNum,IF(INDIRECT(CONCATENATE("g",8+($A165-1)*6))="",NA(),INDIRECT(CONCATENATE("g",8+($A165-1)*6))),NA())</f>
        <v>#N/A</v>
      </c>
      <c r="G165" t="e">
        <f ca="1">IF($A165&lt;=TeamNum,IF(INDIRECT(CONCATENATE("h",8+($A165-1)*6))="",NA(),INDIRECT(CONCATENATE("h",8+($A165-1)*6))),NA())</f>
        <v>#N/A</v>
      </c>
      <c r="H165" t="e">
        <f ca="1">IF($A165&lt;=TeamNum,IF(INDIRECT(CONCATENATE("i",8+($A165-1)*6))="",NA(),INDIRECT(CONCATENATE("i",8+($A165-1)*6))),NA())</f>
        <v>#N/A</v>
      </c>
      <c r="I165" t="e">
        <f ca="1">IF($A165&lt;=TeamNum,INDIRECT(CONCATENATE("b",8+($A165-1)*6)),NA())</f>
        <v>#N/A</v>
      </c>
      <c r="J165" t="e">
        <f ca="1">IF($A165&lt;=TeamNum,INDIRECT(CONCATENATE("c",8+($A165-1)*6)),NA())</f>
        <v>#N/A</v>
      </c>
    </row>
    <row r="166" spans="1:10" x14ac:dyDescent="0.25">
      <c r="A166">
        <v>19</v>
      </c>
      <c r="B166" t="e">
        <f ca="1">IF($A166&lt;=TeamNum,INDIRECT(CONCATENATE("a",8+($A166-1)*6)),NA())</f>
        <v>#N/A</v>
      </c>
      <c r="C166" t="e">
        <f ca="1">IF($A166&lt;=TeamNum,IF(INDIRECT(CONCATENATE("d",8+($A166-1)*6))="",NA(),INDIRECT(CONCATENATE("d",8+($A166-1)*6))),NA())</f>
        <v>#N/A</v>
      </c>
      <c r="D166" t="e">
        <f ca="1">IF($A166&lt;=TeamNum,IF(INDIRECT(CONCATENATE("e",8+($A166-1)*6))="",NA(),INDIRECT(CONCATENATE("e",8+($A166-1)*6))),NA())</f>
        <v>#N/A</v>
      </c>
      <c r="E166" t="e">
        <f ca="1">IF($A166&lt;=TeamNum,IF(INDIRECT(CONCATENATE("f",8+($A166-1)*6))="",NA(),INDIRECT(CONCATENATE("f",8+($A166-1)*6))),NA())</f>
        <v>#N/A</v>
      </c>
      <c r="F166" t="e">
        <f ca="1">IF($A166&lt;=TeamNum,IF(INDIRECT(CONCATENATE("g",8+($A166-1)*6))="",NA(),INDIRECT(CONCATENATE("g",8+($A166-1)*6))),NA())</f>
        <v>#N/A</v>
      </c>
      <c r="G166" t="e">
        <f ca="1">IF($A166&lt;=TeamNum,IF(INDIRECT(CONCATENATE("h",8+($A166-1)*6))="",NA(),INDIRECT(CONCATENATE("h",8+($A166-1)*6))),NA())</f>
        <v>#N/A</v>
      </c>
      <c r="H166" t="e">
        <f ca="1">IF($A166&lt;=TeamNum,IF(INDIRECT(CONCATENATE("i",8+($A166-1)*6))="",NA(),INDIRECT(CONCATENATE("i",8+($A166-1)*6))),NA())</f>
        <v>#N/A</v>
      </c>
      <c r="I166" t="e">
        <f ca="1">IF($A166&lt;=TeamNum,INDIRECT(CONCATENATE("b",8+($A166-1)*6)),NA())</f>
        <v>#N/A</v>
      </c>
      <c r="J166" t="e">
        <f ca="1">IF($A166&lt;=TeamNum,INDIRECT(CONCATENATE("c",8+($A166-1)*6)),NA())</f>
        <v>#N/A</v>
      </c>
    </row>
    <row r="167" spans="1:10" x14ac:dyDescent="0.25">
      <c r="A167">
        <v>20</v>
      </c>
      <c r="B167" t="e">
        <f ca="1">IF($A167&lt;=TeamNum,INDIRECT(CONCATENATE("a",8+($A167-1)*6)),NA())</f>
        <v>#N/A</v>
      </c>
      <c r="C167" t="e">
        <f ca="1">IF($A167&lt;=TeamNum,IF(INDIRECT(CONCATENATE("d",8+($A167-1)*6))="",NA(),INDIRECT(CONCATENATE("d",8+($A167-1)*6))),NA())</f>
        <v>#N/A</v>
      </c>
      <c r="D167" t="e">
        <f ca="1">IF($A167&lt;=TeamNum,IF(INDIRECT(CONCATENATE("e",8+($A167-1)*6))="",NA(),INDIRECT(CONCATENATE("e",8+($A167-1)*6))),NA())</f>
        <v>#N/A</v>
      </c>
      <c r="E167" t="e">
        <f ca="1">IF($A167&lt;=TeamNum,IF(INDIRECT(CONCATENATE("f",8+($A167-1)*6))="",NA(),INDIRECT(CONCATENATE("f",8+($A167-1)*6))),NA())</f>
        <v>#N/A</v>
      </c>
      <c r="F167" t="e">
        <f ca="1">IF($A167&lt;=TeamNum,IF(INDIRECT(CONCATENATE("g",8+($A167-1)*6))="",NA(),INDIRECT(CONCATENATE("g",8+($A167-1)*6))),NA())</f>
        <v>#N/A</v>
      </c>
      <c r="G167" t="e">
        <f ca="1">IF($A167&lt;=TeamNum,IF(INDIRECT(CONCATENATE("h",8+($A167-1)*6))="",NA(),INDIRECT(CONCATENATE("h",8+($A167-1)*6))),NA())</f>
        <v>#N/A</v>
      </c>
      <c r="H167" t="e">
        <f ca="1">IF($A167&lt;=TeamNum,IF(INDIRECT(CONCATENATE("i",8+($A167-1)*6))="",NA(),INDIRECT(CONCATENATE("i",8+($A167-1)*6))),NA())</f>
        <v>#N/A</v>
      </c>
      <c r="I167" t="e">
        <f ca="1">IF($A167&lt;=TeamNum,INDIRECT(CONCATENATE("b",8+($A167-1)*6)),NA())</f>
        <v>#N/A</v>
      </c>
      <c r="J167" t="e">
        <f ca="1">IF($A167&lt;=TeamNum,INDIRECT(CONCATENATE("c",8+($A167-1)*6)),NA())</f>
        <v>#N/A</v>
      </c>
    </row>
    <row r="169" spans="1:10" x14ac:dyDescent="0.25">
      <c r="A169">
        <v>1</v>
      </c>
      <c r="B169">
        <f ca="1">IF($A169&lt;=TeamNum,INDIRECT(CONCATENATE("a",9+($A169-1)*6)),NA())</f>
        <v>0</v>
      </c>
      <c r="C169" t="e">
        <f ca="1">IF($A169&lt;=TeamNum,IF(INDIRECT(CONCATENATE("d",9+($A169-1)*6))="",NA(),INDIRECT(CONCATENATE("d",9+($A169-1)*6))),NA())</f>
        <v>#N/A</v>
      </c>
      <c r="D169" t="e">
        <f ca="1">IF($A169&lt;=TeamNum,IF(INDIRECT(CONCATENATE("e",9+($A169-1)*6))="",NA(),INDIRECT(CONCATENATE("e",9+($A169-1)*6))),NA())</f>
        <v>#N/A</v>
      </c>
      <c r="E169" t="e">
        <f ca="1">IF($A169&lt;=TeamNum,IF(INDIRECT(CONCATENATE("f",9+($A169-1)*6))="",NA(),INDIRECT(CONCATENATE("f",9+($A169-1)*6))),NA())</f>
        <v>#N/A</v>
      </c>
      <c r="F169" t="e">
        <f ca="1">IF($A169&lt;=TeamNum,IF(INDIRECT(CONCATENATE("g",9+($A169-1)*6))="",NA(),INDIRECT(CONCATENATE("g",9+($A169-1)*6))),NA())</f>
        <v>#N/A</v>
      </c>
      <c r="G169" t="e">
        <f ca="1">IF($A169&lt;=TeamNum,IF(INDIRECT(CONCATENATE("h",9+($A169-1)*6))="",NA(),INDIRECT(CONCATENATE("h",9+($A169-1)*6))),NA())</f>
        <v>#N/A</v>
      </c>
      <c r="H169" t="e">
        <f ca="1">IF($A169&lt;=TeamNum,IF(INDIRECT(CONCATENATE("i",9+($A169-1)*6))="",NA(),INDIRECT(CONCATENATE("i",9+($A169-1)*6))),NA())</f>
        <v>#N/A</v>
      </c>
      <c r="I169">
        <f ca="1">IF($A169&lt;=TeamNum,INDIRECT(CONCATENATE("b",9+($A169-1)*6)),NA())</f>
        <v>0</v>
      </c>
      <c r="J169">
        <f ca="1">IF($A169&lt;=TeamNum,INDIRECT(CONCATENATE("c",9+($A169-1)*6)),NA())</f>
        <v>0</v>
      </c>
    </row>
    <row r="170" spans="1:10" x14ac:dyDescent="0.25">
      <c r="A170">
        <v>2</v>
      </c>
      <c r="B170" t="e">
        <f ca="1">IF($A170&lt;=TeamNum,INDIRECT(CONCATENATE("a",9+($A170-1)*6)),NA())</f>
        <v>#N/A</v>
      </c>
      <c r="C170" t="e">
        <f ca="1">IF($A170&lt;=TeamNum,IF(INDIRECT(CONCATENATE("d",9+($A170-1)*6))="",NA(),INDIRECT(CONCATENATE("d",9+($A170-1)*6))),NA())</f>
        <v>#N/A</v>
      </c>
      <c r="D170" t="e">
        <f ca="1">IF($A170&lt;=TeamNum,IF(INDIRECT(CONCATENATE("e",9+($A170-1)*6))="",NA(),INDIRECT(CONCATENATE("e",9+($A170-1)*6))),NA())</f>
        <v>#N/A</v>
      </c>
      <c r="E170" t="e">
        <f ca="1">IF($A170&lt;=TeamNum,IF(INDIRECT(CONCATENATE("f",9+($A170-1)*6))="",NA(),INDIRECT(CONCATENATE("f",9+($A170-1)*6))),NA())</f>
        <v>#N/A</v>
      </c>
      <c r="F170" t="e">
        <f ca="1">IF($A170&lt;=TeamNum,IF(INDIRECT(CONCATENATE("g",9+($A170-1)*6))="",NA(),INDIRECT(CONCATENATE("g",9+($A170-1)*6))),NA())</f>
        <v>#N/A</v>
      </c>
      <c r="G170" t="e">
        <f ca="1">IF($A170&lt;=TeamNum,IF(INDIRECT(CONCATENATE("h",9+($A170-1)*6))="",NA(),INDIRECT(CONCATENATE("h",9+($A170-1)*6))),NA())</f>
        <v>#N/A</v>
      </c>
      <c r="H170" t="e">
        <f ca="1">IF($A170&lt;=TeamNum,IF(INDIRECT(CONCATENATE("i",9+($A170-1)*6))="",NA(),INDIRECT(CONCATENATE("i",9+($A170-1)*6))),NA())</f>
        <v>#N/A</v>
      </c>
      <c r="I170" t="e">
        <f ca="1">IF($A170&lt;=TeamNum,INDIRECT(CONCATENATE("b",9+($A170-1)*6)),NA())</f>
        <v>#N/A</v>
      </c>
      <c r="J170" t="e">
        <f ca="1">IF($A170&lt;=TeamNum,INDIRECT(CONCATENATE("c",9+($A170-1)*6)),NA())</f>
        <v>#N/A</v>
      </c>
    </row>
    <row r="171" spans="1:10" x14ac:dyDescent="0.25">
      <c r="A171">
        <v>3</v>
      </c>
      <c r="B171" t="e">
        <f ca="1">IF($A171&lt;=TeamNum,INDIRECT(CONCATENATE("a",9+($A171-1)*6)),NA())</f>
        <v>#N/A</v>
      </c>
      <c r="C171" t="e">
        <f ca="1">IF($A171&lt;=TeamNum,IF(INDIRECT(CONCATENATE("d",9+($A171-1)*6))="",NA(),INDIRECT(CONCATENATE("d",9+($A171-1)*6))),NA())</f>
        <v>#N/A</v>
      </c>
      <c r="D171" t="e">
        <f ca="1">IF($A171&lt;=TeamNum,IF(INDIRECT(CONCATENATE("e",9+($A171-1)*6))="",NA(),INDIRECT(CONCATENATE("e",9+($A171-1)*6))),NA())</f>
        <v>#N/A</v>
      </c>
      <c r="E171" t="e">
        <f ca="1">IF($A171&lt;=TeamNum,IF(INDIRECT(CONCATENATE("f",9+($A171-1)*6))="",NA(),INDIRECT(CONCATENATE("f",9+($A171-1)*6))),NA())</f>
        <v>#N/A</v>
      </c>
      <c r="F171" t="e">
        <f ca="1">IF($A171&lt;=TeamNum,IF(INDIRECT(CONCATENATE("g",9+($A171-1)*6))="",NA(),INDIRECT(CONCATENATE("g",9+($A171-1)*6))),NA())</f>
        <v>#N/A</v>
      </c>
      <c r="G171" t="e">
        <f ca="1">IF($A171&lt;=TeamNum,IF(INDIRECT(CONCATENATE("h",9+($A171-1)*6))="",NA(),INDIRECT(CONCATENATE("h",9+($A171-1)*6))),NA())</f>
        <v>#N/A</v>
      </c>
      <c r="H171" t="e">
        <f ca="1">IF($A171&lt;=TeamNum,IF(INDIRECT(CONCATENATE("i",9+($A171-1)*6))="",NA(),INDIRECT(CONCATENATE("i",9+($A171-1)*6))),NA())</f>
        <v>#N/A</v>
      </c>
      <c r="I171" t="e">
        <f ca="1">IF($A171&lt;=TeamNum,INDIRECT(CONCATENATE("b",9+($A171-1)*6)),NA())</f>
        <v>#N/A</v>
      </c>
      <c r="J171" t="e">
        <f ca="1">IF($A171&lt;=TeamNum,INDIRECT(CONCATENATE("c",9+($A171-1)*6)),NA())</f>
        <v>#N/A</v>
      </c>
    </row>
    <row r="172" spans="1:10" x14ac:dyDescent="0.25">
      <c r="A172">
        <v>4</v>
      </c>
      <c r="B172" t="e">
        <f ca="1">IF($A172&lt;=TeamNum,INDIRECT(CONCATENATE("a",9+($A172-1)*6)),NA())</f>
        <v>#N/A</v>
      </c>
      <c r="C172" t="e">
        <f ca="1">IF($A172&lt;=TeamNum,IF(INDIRECT(CONCATENATE("d",9+($A172-1)*6))="",NA(),INDIRECT(CONCATENATE("d",9+($A172-1)*6))),NA())</f>
        <v>#N/A</v>
      </c>
      <c r="D172" t="e">
        <f ca="1">IF($A172&lt;=TeamNum,IF(INDIRECT(CONCATENATE("e",9+($A172-1)*6))="",NA(),INDIRECT(CONCATENATE("e",9+($A172-1)*6))),NA())</f>
        <v>#N/A</v>
      </c>
      <c r="E172" t="e">
        <f ca="1">IF($A172&lt;=TeamNum,IF(INDIRECT(CONCATENATE("f",9+($A172-1)*6))="",NA(),INDIRECT(CONCATENATE("f",9+($A172-1)*6))),NA())</f>
        <v>#N/A</v>
      </c>
      <c r="F172" t="e">
        <f ca="1">IF($A172&lt;=TeamNum,IF(INDIRECT(CONCATENATE("g",9+($A172-1)*6))="",NA(),INDIRECT(CONCATENATE("g",9+($A172-1)*6))),NA())</f>
        <v>#N/A</v>
      </c>
      <c r="G172" t="e">
        <f ca="1">IF($A172&lt;=TeamNum,IF(INDIRECT(CONCATENATE("h",9+($A172-1)*6))="",NA(),INDIRECT(CONCATENATE("h",9+($A172-1)*6))),NA())</f>
        <v>#N/A</v>
      </c>
      <c r="H172" t="e">
        <f ca="1">IF($A172&lt;=TeamNum,IF(INDIRECT(CONCATENATE("i",9+($A172-1)*6))="",NA(),INDIRECT(CONCATENATE("i",9+($A172-1)*6))),NA())</f>
        <v>#N/A</v>
      </c>
      <c r="I172" t="e">
        <f ca="1">IF($A172&lt;=TeamNum,INDIRECT(CONCATENATE("b",9+($A172-1)*6)),NA())</f>
        <v>#N/A</v>
      </c>
      <c r="J172" t="e">
        <f ca="1">IF($A172&lt;=TeamNum,INDIRECT(CONCATENATE("c",9+($A172-1)*6)),NA())</f>
        <v>#N/A</v>
      </c>
    </row>
    <row r="173" spans="1:10" x14ac:dyDescent="0.25">
      <c r="A173">
        <v>5</v>
      </c>
      <c r="B173" t="e">
        <f ca="1">IF($A173&lt;=TeamNum,INDIRECT(CONCATENATE("a",9+($A173-1)*6)),NA())</f>
        <v>#N/A</v>
      </c>
      <c r="C173" t="e">
        <f ca="1">IF($A173&lt;=TeamNum,IF(INDIRECT(CONCATENATE("d",9+($A173-1)*6))="",NA(),INDIRECT(CONCATENATE("d",9+($A173-1)*6))),NA())</f>
        <v>#N/A</v>
      </c>
      <c r="D173" t="e">
        <f ca="1">IF($A173&lt;=TeamNum,IF(INDIRECT(CONCATENATE("e",9+($A173-1)*6))="",NA(),INDIRECT(CONCATENATE("e",9+($A173-1)*6))),NA())</f>
        <v>#N/A</v>
      </c>
      <c r="E173" t="e">
        <f ca="1">IF($A173&lt;=TeamNum,IF(INDIRECT(CONCATENATE("f",9+($A173-1)*6))="",NA(),INDIRECT(CONCATENATE("f",9+($A173-1)*6))),NA())</f>
        <v>#N/A</v>
      </c>
      <c r="F173" t="e">
        <f ca="1">IF($A173&lt;=TeamNum,IF(INDIRECT(CONCATENATE("g",9+($A173-1)*6))="",NA(),INDIRECT(CONCATENATE("g",9+($A173-1)*6))),NA())</f>
        <v>#N/A</v>
      </c>
      <c r="G173" t="e">
        <f ca="1">IF($A173&lt;=TeamNum,IF(INDIRECT(CONCATENATE("h",9+($A173-1)*6))="",NA(),INDIRECT(CONCATENATE("h",9+($A173-1)*6))),NA())</f>
        <v>#N/A</v>
      </c>
      <c r="H173" t="e">
        <f ca="1">IF($A173&lt;=TeamNum,IF(INDIRECT(CONCATENATE("i",9+($A173-1)*6))="",NA(),INDIRECT(CONCATENATE("i",9+($A173-1)*6))),NA())</f>
        <v>#N/A</v>
      </c>
      <c r="I173" t="e">
        <f ca="1">IF($A173&lt;=TeamNum,INDIRECT(CONCATENATE("b",9+($A173-1)*6)),NA())</f>
        <v>#N/A</v>
      </c>
      <c r="J173" t="e">
        <f ca="1">IF($A173&lt;=TeamNum,INDIRECT(CONCATENATE("c",9+($A173-1)*6)),NA())</f>
        <v>#N/A</v>
      </c>
    </row>
    <row r="174" spans="1:10" x14ac:dyDescent="0.25">
      <c r="A174">
        <v>6</v>
      </c>
      <c r="B174" t="e">
        <f ca="1">IF($A174&lt;=TeamNum,INDIRECT(CONCATENATE("a",9+($A174-1)*6)),NA())</f>
        <v>#N/A</v>
      </c>
      <c r="C174" t="e">
        <f ca="1">IF($A174&lt;=TeamNum,IF(INDIRECT(CONCATENATE("d",9+($A174-1)*6))="",NA(),INDIRECT(CONCATENATE("d",9+($A174-1)*6))),NA())</f>
        <v>#N/A</v>
      </c>
      <c r="D174" t="e">
        <f ca="1">IF($A174&lt;=TeamNum,IF(INDIRECT(CONCATENATE("e",9+($A174-1)*6))="",NA(),INDIRECT(CONCATENATE("e",9+($A174-1)*6))),NA())</f>
        <v>#N/A</v>
      </c>
      <c r="E174" t="e">
        <f ca="1">IF($A174&lt;=TeamNum,IF(INDIRECT(CONCATENATE("f",9+($A174-1)*6))="",NA(),INDIRECT(CONCATENATE("f",9+($A174-1)*6))),NA())</f>
        <v>#N/A</v>
      </c>
      <c r="F174" t="e">
        <f ca="1">IF($A174&lt;=TeamNum,IF(INDIRECT(CONCATENATE("g",9+($A174-1)*6))="",NA(),INDIRECT(CONCATENATE("g",9+($A174-1)*6))),NA())</f>
        <v>#N/A</v>
      </c>
      <c r="G174" t="e">
        <f ca="1">IF($A174&lt;=TeamNum,IF(INDIRECT(CONCATENATE("h",9+($A174-1)*6))="",NA(),INDIRECT(CONCATENATE("h",9+($A174-1)*6))),NA())</f>
        <v>#N/A</v>
      </c>
      <c r="H174" t="e">
        <f ca="1">IF($A174&lt;=TeamNum,IF(INDIRECT(CONCATENATE("i",9+($A174-1)*6))="",NA(),INDIRECT(CONCATENATE("i",9+($A174-1)*6))),NA())</f>
        <v>#N/A</v>
      </c>
      <c r="I174" t="e">
        <f ca="1">IF($A174&lt;=TeamNum,INDIRECT(CONCATENATE("b",9+($A174-1)*6)),NA())</f>
        <v>#N/A</v>
      </c>
      <c r="J174" t="e">
        <f ca="1">IF($A174&lt;=TeamNum,INDIRECT(CONCATENATE("c",9+($A174-1)*6)),NA())</f>
        <v>#N/A</v>
      </c>
    </row>
    <row r="175" spans="1:10" x14ac:dyDescent="0.25">
      <c r="A175">
        <v>7</v>
      </c>
      <c r="B175" t="e">
        <f ca="1">IF($A175&lt;=TeamNum,INDIRECT(CONCATENATE("a",9+($A175-1)*6)),NA())</f>
        <v>#N/A</v>
      </c>
      <c r="C175" t="e">
        <f ca="1">IF($A175&lt;=TeamNum,IF(INDIRECT(CONCATENATE("d",9+($A175-1)*6))="",NA(),INDIRECT(CONCATENATE("d",9+($A175-1)*6))),NA())</f>
        <v>#N/A</v>
      </c>
      <c r="D175" t="e">
        <f ca="1">IF($A175&lt;=TeamNum,IF(INDIRECT(CONCATENATE("e",9+($A175-1)*6))="",NA(),INDIRECT(CONCATENATE("e",9+($A175-1)*6))),NA())</f>
        <v>#N/A</v>
      </c>
      <c r="E175" t="e">
        <f ca="1">IF($A175&lt;=TeamNum,IF(INDIRECT(CONCATENATE("f",9+($A175-1)*6))="",NA(),INDIRECT(CONCATENATE("f",9+($A175-1)*6))),NA())</f>
        <v>#N/A</v>
      </c>
      <c r="F175" t="e">
        <f ca="1">IF($A175&lt;=TeamNum,IF(INDIRECT(CONCATENATE("g",9+($A175-1)*6))="",NA(),INDIRECT(CONCATENATE("g",9+($A175-1)*6))),NA())</f>
        <v>#N/A</v>
      </c>
      <c r="G175" t="e">
        <f ca="1">IF($A175&lt;=TeamNum,IF(INDIRECT(CONCATENATE("h",9+($A175-1)*6))="",NA(),INDIRECT(CONCATENATE("h",9+($A175-1)*6))),NA())</f>
        <v>#N/A</v>
      </c>
      <c r="H175" t="e">
        <f ca="1">IF($A175&lt;=TeamNum,IF(INDIRECT(CONCATENATE("i",9+($A175-1)*6))="",NA(),INDIRECT(CONCATENATE("i",9+($A175-1)*6))),NA())</f>
        <v>#N/A</v>
      </c>
      <c r="I175" t="e">
        <f ca="1">IF($A175&lt;=TeamNum,INDIRECT(CONCATENATE("b",9+($A175-1)*6)),NA())</f>
        <v>#N/A</v>
      </c>
      <c r="J175" t="e">
        <f ca="1">IF($A175&lt;=TeamNum,INDIRECT(CONCATENATE("c",9+($A175-1)*6)),NA())</f>
        <v>#N/A</v>
      </c>
    </row>
    <row r="176" spans="1:10" x14ac:dyDescent="0.25">
      <c r="A176">
        <v>8</v>
      </c>
      <c r="B176" t="e">
        <f ca="1">IF($A176&lt;=TeamNum,INDIRECT(CONCATENATE("a",9+($A176-1)*6)),NA())</f>
        <v>#N/A</v>
      </c>
      <c r="C176" t="e">
        <f ca="1">IF($A176&lt;=TeamNum,IF(INDIRECT(CONCATENATE("d",9+($A176-1)*6))="",NA(),INDIRECT(CONCATENATE("d",9+($A176-1)*6))),NA())</f>
        <v>#N/A</v>
      </c>
      <c r="D176" t="e">
        <f ca="1">IF($A176&lt;=TeamNum,IF(INDIRECT(CONCATENATE("e",9+($A176-1)*6))="",NA(),INDIRECT(CONCATENATE("e",9+($A176-1)*6))),NA())</f>
        <v>#N/A</v>
      </c>
      <c r="E176" t="e">
        <f ca="1">IF($A176&lt;=TeamNum,IF(INDIRECT(CONCATENATE("f",9+($A176-1)*6))="",NA(),INDIRECT(CONCATENATE("f",9+($A176-1)*6))),NA())</f>
        <v>#N/A</v>
      </c>
      <c r="F176" t="e">
        <f ca="1">IF($A176&lt;=TeamNum,IF(INDIRECT(CONCATENATE("g",9+($A176-1)*6))="",NA(),INDIRECT(CONCATENATE("g",9+($A176-1)*6))),NA())</f>
        <v>#N/A</v>
      </c>
      <c r="G176" t="e">
        <f ca="1">IF($A176&lt;=TeamNum,IF(INDIRECT(CONCATENATE("h",9+($A176-1)*6))="",NA(),INDIRECT(CONCATENATE("h",9+($A176-1)*6))),NA())</f>
        <v>#N/A</v>
      </c>
      <c r="H176" t="e">
        <f ca="1">IF($A176&lt;=TeamNum,IF(INDIRECT(CONCATENATE("i",9+($A176-1)*6))="",NA(),INDIRECT(CONCATENATE("i",9+($A176-1)*6))),NA())</f>
        <v>#N/A</v>
      </c>
      <c r="I176" t="e">
        <f ca="1">IF($A176&lt;=TeamNum,INDIRECT(CONCATENATE("b",9+($A176-1)*6)),NA())</f>
        <v>#N/A</v>
      </c>
      <c r="J176" t="e">
        <f ca="1">IF($A176&lt;=TeamNum,INDIRECT(CONCATENATE("c",9+($A176-1)*6)),NA())</f>
        <v>#N/A</v>
      </c>
    </row>
    <row r="177" spans="1:10" x14ac:dyDescent="0.25">
      <c r="A177">
        <v>9</v>
      </c>
      <c r="B177" t="e">
        <f ca="1">IF($A177&lt;=TeamNum,INDIRECT(CONCATENATE("a",9+($A177-1)*6)),NA())</f>
        <v>#N/A</v>
      </c>
      <c r="C177" t="e">
        <f ca="1">IF($A177&lt;=TeamNum,IF(INDIRECT(CONCATENATE("d",9+($A177-1)*6))="",NA(),INDIRECT(CONCATENATE("d",9+($A177-1)*6))),NA())</f>
        <v>#N/A</v>
      </c>
      <c r="D177" t="e">
        <f ca="1">IF($A177&lt;=TeamNum,IF(INDIRECT(CONCATENATE("e",9+($A177-1)*6))="",NA(),INDIRECT(CONCATENATE("e",9+($A177-1)*6))),NA())</f>
        <v>#N/A</v>
      </c>
      <c r="E177" t="e">
        <f ca="1">IF($A177&lt;=TeamNum,IF(INDIRECT(CONCATENATE("f",9+($A177-1)*6))="",NA(),INDIRECT(CONCATENATE("f",9+($A177-1)*6))),NA())</f>
        <v>#N/A</v>
      </c>
      <c r="F177" t="e">
        <f ca="1">IF($A177&lt;=TeamNum,IF(INDIRECT(CONCATENATE("g",9+($A177-1)*6))="",NA(),INDIRECT(CONCATENATE("g",9+($A177-1)*6))),NA())</f>
        <v>#N/A</v>
      </c>
      <c r="G177" t="e">
        <f ca="1">IF($A177&lt;=TeamNum,IF(INDIRECT(CONCATENATE("h",9+($A177-1)*6))="",NA(),INDIRECT(CONCATENATE("h",9+($A177-1)*6))),NA())</f>
        <v>#N/A</v>
      </c>
      <c r="H177" t="e">
        <f ca="1">IF($A177&lt;=TeamNum,IF(INDIRECT(CONCATENATE("i",9+($A177-1)*6))="",NA(),INDIRECT(CONCATENATE("i",9+($A177-1)*6))),NA())</f>
        <v>#N/A</v>
      </c>
      <c r="I177" t="e">
        <f ca="1">IF($A177&lt;=TeamNum,INDIRECT(CONCATENATE("b",9+($A177-1)*6)),NA())</f>
        <v>#N/A</v>
      </c>
      <c r="J177" t="e">
        <f ca="1">IF($A177&lt;=TeamNum,INDIRECT(CONCATENATE("c",9+($A177-1)*6)),NA())</f>
        <v>#N/A</v>
      </c>
    </row>
    <row r="178" spans="1:10" x14ac:dyDescent="0.25">
      <c r="A178">
        <v>10</v>
      </c>
      <c r="B178" t="e">
        <f ca="1">IF($A178&lt;=TeamNum,INDIRECT(CONCATENATE("a",9+($A178-1)*6)),NA())</f>
        <v>#N/A</v>
      </c>
      <c r="C178" t="e">
        <f ca="1">IF($A178&lt;=TeamNum,IF(INDIRECT(CONCATENATE("d",9+($A178-1)*6))="",NA(),INDIRECT(CONCATENATE("d",9+($A178-1)*6))),NA())</f>
        <v>#N/A</v>
      </c>
      <c r="D178" t="e">
        <f ca="1">IF($A178&lt;=TeamNum,IF(INDIRECT(CONCATENATE("e",9+($A178-1)*6))="",NA(),INDIRECT(CONCATENATE("e",9+($A178-1)*6))),NA())</f>
        <v>#N/A</v>
      </c>
      <c r="E178" t="e">
        <f ca="1">IF($A178&lt;=TeamNum,IF(INDIRECT(CONCATENATE("f",9+($A178-1)*6))="",NA(),INDIRECT(CONCATENATE("f",9+($A178-1)*6))),NA())</f>
        <v>#N/A</v>
      </c>
      <c r="F178" t="e">
        <f ca="1">IF($A178&lt;=TeamNum,IF(INDIRECT(CONCATENATE("g",9+($A178-1)*6))="",NA(),INDIRECT(CONCATENATE("g",9+($A178-1)*6))),NA())</f>
        <v>#N/A</v>
      </c>
      <c r="G178" t="e">
        <f ca="1">IF($A178&lt;=TeamNum,IF(INDIRECT(CONCATENATE("h",9+($A178-1)*6))="",NA(),INDIRECT(CONCATENATE("h",9+($A178-1)*6))),NA())</f>
        <v>#N/A</v>
      </c>
      <c r="H178" t="e">
        <f ca="1">IF($A178&lt;=TeamNum,IF(INDIRECT(CONCATENATE("i",9+($A178-1)*6))="",NA(),INDIRECT(CONCATENATE("i",9+($A178-1)*6))),NA())</f>
        <v>#N/A</v>
      </c>
      <c r="I178" t="e">
        <f ca="1">IF($A178&lt;=TeamNum,INDIRECT(CONCATENATE("b",9+($A178-1)*6)),NA())</f>
        <v>#N/A</v>
      </c>
      <c r="J178" t="e">
        <f ca="1">IF($A178&lt;=TeamNum,INDIRECT(CONCATENATE("c",9+($A178-1)*6)),NA())</f>
        <v>#N/A</v>
      </c>
    </row>
    <row r="179" spans="1:10" x14ac:dyDescent="0.25">
      <c r="A179">
        <v>11</v>
      </c>
      <c r="B179" t="e">
        <f ca="1">IF($A179&lt;=TeamNum,INDIRECT(CONCATENATE("a",9+($A179-1)*6)),NA())</f>
        <v>#N/A</v>
      </c>
      <c r="C179" t="e">
        <f ca="1">IF($A179&lt;=TeamNum,IF(INDIRECT(CONCATENATE("d",9+($A179-1)*6))="",NA(),INDIRECT(CONCATENATE("d",9+($A179-1)*6))),NA())</f>
        <v>#N/A</v>
      </c>
      <c r="D179" t="e">
        <f ca="1">IF($A179&lt;=TeamNum,IF(INDIRECT(CONCATENATE("e",9+($A179-1)*6))="",NA(),INDIRECT(CONCATENATE("e",9+($A179-1)*6))),NA())</f>
        <v>#N/A</v>
      </c>
      <c r="E179" t="e">
        <f ca="1">IF($A179&lt;=TeamNum,IF(INDIRECT(CONCATENATE("f",9+($A179-1)*6))="",NA(),INDIRECT(CONCATENATE("f",9+($A179-1)*6))),NA())</f>
        <v>#N/A</v>
      </c>
      <c r="F179" t="e">
        <f ca="1">IF($A179&lt;=TeamNum,IF(INDIRECT(CONCATENATE("g",9+($A179-1)*6))="",NA(),INDIRECT(CONCATENATE("g",9+($A179-1)*6))),NA())</f>
        <v>#N/A</v>
      </c>
      <c r="G179" t="e">
        <f ca="1">IF($A179&lt;=TeamNum,IF(INDIRECT(CONCATENATE("h",9+($A179-1)*6))="",NA(),INDIRECT(CONCATENATE("h",9+($A179-1)*6))),NA())</f>
        <v>#N/A</v>
      </c>
      <c r="H179" t="e">
        <f ca="1">IF($A179&lt;=TeamNum,IF(INDIRECT(CONCATENATE("i",9+($A179-1)*6))="",NA(),INDIRECT(CONCATENATE("i",9+($A179-1)*6))),NA())</f>
        <v>#N/A</v>
      </c>
      <c r="I179" t="e">
        <f ca="1">IF($A179&lt;=TeamNum,INDIRECT(CONCATENATE("b",9+($A179-1)*6)),NA())</f>
        <v>#N/A</v>
      </c>
      <c r="J179" t="e">
        <f ca="1">IF($A179&lt;=TeamNum,INDIRECT(CONCATENATE("c",9+($A179-1)*6)),NA())</f>
        <v>#N/A</v>
      </c>
    </row>
    <row r="180" spans="1:10" x14ac:dyDescent="0.25">
      <c r="A180">
        <v>12</v>
      </c>
      <c r="B180" t="e">
        <f ca="1">IF($A180&lt;=TeamNum,INDIRECT(CONCATENATE("a",9+($A180-1)*6)),NA())</f>
        <v>#N/A</v>
      </c>
      <c r="C180" t="e">
        <f ca="1">IF($A180&lt;=TeamNum,IF(INDIRECT(CONCATENATE("d",9+($A180-1)*6))="",NA(),INDIRECT(CONCATENATE("d",9+($A180-1)*6))),NA())</f>
        <v>#N/A</v>
      </c>
      <c r="D180" t="e">
        <f ca="1">IF($A180&lt;=TeamNum,IF(INDIRECT(CONCATENATE("e",9+($A180-1)*6))="",NA(),INDIRECT(CONCATENATE("e",9+($A180-1)*6))),NA())</f>
        <v>#N/A</v>
      </c>
      <c r="E180" t="e">
        <f ca="1">IF($A180&lt;=TeamNum,IF(INDIRECT(CONCATENATE("f",9+($A180-1)*6))="",NA(),INDIRECT(CONCATENATE("f",9+($A180-1)*6))),NA())</f>
        <v>#N/A</v>
      </c>
      <c r="F180" t="e">
        <f ca="1">IF($A180&lt;=TeamNum,IF(INDIRECT(CONCATENATE("g",9+($A180-1)*6))="",NA(),INDIRECT(CONCATENATE("g",9+($A180-1)*6))),NA())</f>
        <v>#N/A</v>
      </c>
      <c r="G180" t="e">
        <f ca="1">IF($A180&lt;=TeamNum,IF(INDIRECT(CONCATENATE("h",9+($A180-1)*6))="",NA(),INDIRECT(CONCATENATE("h",9+($A180-1)*6))),NA())</f>
        <v>#N/A</v>
      </c>
      <c r="H180" t="e">
        <f ca="1">IF($A180&lt;=TeamNum,IF(INDIRECT(CONCATENATE("i",9+($A180-1)*6))="",NA(),INDIRECT(CONCATENATE("i",9+($A180-1)*6))),NA())</f>
        <v>#N/A</v>
      </c>
      <c r="I180" t="e">
        <f ca="1">IF($A180&lt;=TeamNum,INDIRECT(CONCATENATE("b",9+($A180-1)*6)),NA())</f>
        <v>#N/A</v>
      </c>
      <c r="J180" t="e">
        <f ca="1">IF($A180&lt;=TeamNum,INDIRECT(CONCATENATE("c",9+($A180-1)*6)),NA())</f>
        <v>#N/A</v>
      </c>
    </row>
    <row r="181" spans="1:10" x14ac:dyDescent="0.25">
      <c r="A181">
        <v>13</v>
      </c>
      <c r="B181" t="e">
        <f ca="1">IF($A181&lt;=TeamNum,INDIRECT(CONCATENATE("a",9+($A181-1)*6)),NA())</f>
        <v>#N/A</v>
      </c>
      <c r="C181" t="e">
        <f ca="1">IF($A181&lt;=TeamNum,IF(INDIRECT(CONCATENATE("d",9+($A181-1)*6))="",NA(),INDIRECT(CONCATENATE("d",9+($A181-1)*6))),NA())</f>
        <v>#N/A</v>
      </c>
      <c r="D181" t="e">
        <f ca="1">IF($A181&lt;=TeamNum,IF(INDIRECT(CONCATENATE("e",9+($A181-1)*6))="",NA(),INDIRECT(CONCATENATE("e",9+($A181-1)*6))),NA())</f>
        <v>#N/A</v>
      </c>
      <c r="E181" t="e">
        <f ca="1">IF($A181&lt;=TeamNum,IF(INDIRECT(CONCATENATE("f",9+($A181-1)*6))="",NA(),INDIRECT(CONCATENATE("f",9+($A181-1)*6))),NA())</f>
        <v>#N/A</v>
      </c>
      <c r="F181" t="e">
        <f ca="1">IF($A181&lt;=TeamNum,IF(INDIRECT(CONCATENATE("g",9+($A181-1)*6))="",NA(),INDIRECT(CONCATENATE("g",9+($A181-1)*6))),NA())</f>
        <v>#N/A</v>
      </c>
      <c r="G181" t="e">
        <f ca="1">IF($A181&lt;=TeamNum,IF(INDIRECT(CONCATENATE("h",9+($A181-1)*6))="",NA(),INDIRECT(CONCATENATE("h",9+($A181-1)*6))),NA())</f>
        <v>#N/A</v>
      </c>
      <c r="H181" t="e">
        <f ca="1">IF($A181&lt;=TeamNum,IF(INDIRECT(CONCATENATE("i",9+($A181-1)*6))="",NA(),INDIRECT(CONCATENATE("i",9+($A181-1)*6))),NA())</f>
        <v>#N/A</v>
      </c>
      <c r="I181" t="e">
        <f ca="1">IF($A181&lt;=TeamNum,INDIRECT(CONCATENATE("b",9+($A181-1)*6)),NA())</f>
        <v>#N/A</v>
      </c>
      <c r="J181" t="e">
        <f ca="1">IF($A181&lt;=TeamNum,INDIRECT(CONCATENATE("c",9+($A181-1)*6)),NA())</f>
        <v>#N/A</v>
      </c>
    </row>
    <row r="182" spans="1:10" x14ac:dyDescent="0.25">
      <c r="A182">
        <v>14</v>
      </c>
      <c r="B182" t="e">
        <f ca="1">IF($A182&lt;=TeamNum,INDIRECT(CONCATENATE("a",9+($A182-1)*6)),NA())</f>
        <v>#N/A</v>
      </c>
      <c r="C182" t="e">
        <f ca="1">IF($A182&lt;=TeamNum,IF(INDIRECT(CONCATENATE("d",9+($A182-1)*6))="",NA(),INDIRECT(CONCATENATE("d",9+($A182-1)*6))),NA())</f>
        <v>#N/A</v>
      </c>
      <c r="D182" t="e">
        <f ca="1">IF($A182&lt;=TeamNum,IF(INDIRECT(CONCATENATE("e",9+($A182-1)*6))="",NA(),INDIRECT(CONCATENATE("e",9+($A182-1)*6))),NA())</f>
        <v>#N/A</v>
      </c>
      <c r="E182" t="e">
        <f ca="1">IF($A182&lt;=TeamNum,IF(INDIRECT(CONCATENATE("f",9+($A182-1)*6))="",NA(),INDIRECT(CONCATENATE("f",9+($A182-1)*6))),NA())</f>
        <v>#N/A</v>
      </c>
      <c r="F182" t="e">
        <f ca="1">IF($A182&lt;=TeamNum,IF(INDIRECT(CONCATENATE("g",9+($A182-1)*6))="",NA(),INDIRECT(CONCATENATE("g",9+($A182-1)*6))),NA())</f>
        <v>#N/A</v>
      </c>
      <c r="G182" t="e">
        <f ca="1">IF($A182&lt;=TeamNum,IF(INDIRECT(CONCATENATE("h",9+($A182-1)*6))="",NA(),INDIRECT(CONCATENATE("h",9+($A182-1)*6))),NA())</f>
        <v>#N/A</v>
      </c>
      <c r="H182" t="e">
        <f ca="1">IF($A182&lt;=TeamNum,IF(INDIRECT(CONCATENATE("i",9+($A182-1)*6))="",NA(),INDIRECT(CONCATENATE("i",9+($A182-1)*6))),NA())</f>
        <v>#N/A</v>
      </c>
      <c r="I182" t="e">
        <f ca="1">IF($A182&lt;=TeamNum,INDIRECT(CONCATENATE("b",9+($A182-1)*6)),NA())</f>
        <v>#N/A</v>
      </c>
      <c r="J182" t="e">
        <f ca="1">IF($A182&lt;=TeamNum,INDIRECT(CONCATENATE("c",9+($A182-1)*6)),NA())</f>
        <v>#N/A</v>
      </c>
    </row>
    <row r="183" spans="1:10" x14ac:dyDescent="0.25">
      <c r="A183">
        <v>15</v>
      </c>
      <c r="B183" t="e">
        <f ca="1">IF($A183&lt;=TeamNum,INDIRECT(CONCATENATE("a",9+($A183-1)*6)),NA())</f>
        <v>#N/A</v>
      </c>
      <c r="C183" t="e">
        <f ca="1">IF($A183&lt;=TeamNum,IF(INDIRECT(CONCATENATE("d",9+($A183-1)*6))="",NA(),INDIRECT(CONCATENATE("d",9+($A183-1)*6))),NA())</f>
        <v>#N/A</v>
      </c>
      <c r="D183" t="e">
        <f ca="1">IF($A183&lt;=TeamNum,IF(INDIRECT(CONCATENATE("e",9+($A183-1)*6))="",NA(),INDIRECT(CONCATENATE("e",9+($A183-1)*6))),NA())</f>
        <v>#N/A</v>
      </c>
      <c r="E183" t="e">
        <f ca="1">IF($A183&lt;=TeamNum,IF(INDIRECT(CONCATENATE("f",9+($A183-1)*6))="",NA(),INDIRECT(CONCATENATE("f",9+($A183-1)*6))),NA())</f>
        <v>#N/A</v>
      </c>
      <c r="F183" t="e">
        <f ca="1">IF($A183&lt;=TeamNum,IF(INDIRECT(CONCATENATE("g",9+($A183-1)*6))="",NA(),INDIRECT(CONCATENATE("g",9+($A183-1)*6))),NA())</f>
        <v>#N/A</v>
      </c>
      <c r="G183" t="e">
        <f ca="1">IF($A183&lt;=TeamNum,IF(INDIRECT(CONCATENATE("h",9+($A183-1)*6))="",NA(),INDIRECT(CONCATENATE("h",9+($A183-1)*6))),NA())</f>
        <v>#N/A</v>
      </c>
      <c r="H183" t="e">
        <f ca="1">IF($A183&lt;=TeamNum,IF(INDIRECT(CONCATENATE("i",9+($A183-1)*6))="",NA(),INDIRECT(CONCATENATE("i",9+($A183-1)*6))),NA())</f>
        <v>#N/A</v>
      </c>
      <c r="I183" t="e">
        <f ca="1">IF($A183&lt;=TeamNum,INDIRECT(CONCATENATE("b",9+($A183-1)*6)),NA())</f>
        <v>#N/A</v>
      </c>
      <c r="J183" t="e">
        <f ca="1">IF($A183&lt;=TeamNum,INDIRECT(CONCATENATE("c",9+($A183-1)*6)),NA())</f>
        <v>#N/A</v>
      </c>
    </row>
    <row r="184" spans="1:10" x14ac:dyDescent="0.25">
      <c r="A184">
        <v>16</v>
      </c>
      <c r="B184" t="e">
        <f ca="1">IF($A184&lt;=TeamNum,INDIRECT(CONCATENATE("a",9+($A184-1)*6)),NA())</f>
        <v>#N/A</v>
      </c>
      <c r="C184" t="e">
        <f ca="1">IF($A184&lt;=TeamNum,IF(INDIRECT(CONCATENATE("d",9+($A184-1)*6))="",NA(),INDIRECT(CONCATENATE("d",9+($A184-1)*6))),NA())</f>
        <v>#N/A</v>
      </c>
      <c r="D184" t="e">
        <f ca="1">IF($A184&lt;=TeamNum,IF(INDIRECT(CONCATENATE("e",9+($A184-1)*6))="",NA(),INDIRECT(CONCATENATE("e",9+($A184-1)*6))),NA())</f>
        <v>#N/A</v>
      </c>
      <c r="E184" t="e">
        <f ca="1">IF($A184&lt;=TeamNum,IF(INDIRECT(CONCATENATE("f",9+($A184-1)*6))="",NA(),INDIRECT(CONCATENATE("f",9+($A184-1)*6))),NA())</f>
        <v>#N/A</v>
      </c>
      <c r="F184" t="e">
        <f ca="1">IF($A184&lt;=TeamNum,IF(INDIRECT(CONCATENATE("g",9+($A184-1)*6))="",NA(),INDIRECT(CONCATENATE("g",9+($A184-1)*6))),NA())</f>
        <v>#N/A</v>
      </c>
      <c r="G184" t="e">
        <f ca="1">IF($A184&lt;=TeamNum,IF(INDIRECT(CONCATENATE("h",9+($A184-1)*6))="",NA(),INDIRECT(CONCATENATE("h",9+($A184-1)*6))),NA())</f>
        <v>#N/A</v>
      </c>
      <c r="H184" t="e">
        <f ca="1">IF($A184&lt;=TeamNum,IF(INDIRECT(CONCATENATE("i",9+($A184-1)*6))="",NA(),INDIRECT(CONCATENATE("i",9+($A184-1)*6))),NA())</f>
        <v>#N/A</v>
      </c>
      <c r="I184" t="e">
        <f ca="1">IF($A184&lt;=TeamNum,INDIRECT(CONCATENATE("b",9+($A184-1)*6)),NA())</f>
        <v>#N/A</v>
      </c>
      <c r="J184" t="e">
        <f ca="1">IF($A184&lt;=TeamNum,INDIRECT(CONCATENATE("c",9+($A184-1)*6)),NA())</f>
        <v>#N/A</v>
      </c>
    </row>
    <row r="185" spans="1:10" x14ac:dyDescent="0.25">
      <c r="A185">
        <v>17</v>
      </c>
      <c r="B185" t="e">
        <f ca="1">IF($A185&lt;=TeamNum,INDIRECT(CONCATENATE("a",9+($A185-1)*6)),NA())</f>
        <v>#N/A</v>
      </c>
      <c r="C185" t="e">
        <f ca="1">IF($A185&lt;=TeamNum,IF(INDIRECT(CONCATENATE("d",9+($A185-1)*6))="",NA(),INDIRECT(CONCATENATE("d",9+($A185-1)*6))),NA())</f>
        <v>#N/A</v>
      </c>
      <c r="D185" t="e">
        <f ca="1">IF($A185&lt;=TeamNum,IF(INDIRECT(CONCATENATE("e",9+($A185-1)*6))="",NA(),INDIRECT(CONCATENATE("e",9+($A185-1)*6))),NA())</f>
        <v>#N/A</v>
      </c>
      <c r="E185" t="e">
        <f ca="1">IF($A185&lt;=TeamNum,IF(INDIRECT(CONCATENATE("f",9+($A185-1)*6))="",NA(),INDIRECT(CONCATENATE("f",9+($A185-1)*6))),NA())</f>
        <v>#N/A</v>
      </c>
      <c r="F185" t="e">
        <f ca="1">IF($A185&lt;=TeamNum,IF(INDIRECT(CONCATENATE("g",9+($A185-1)*6))="",NA(),INDIRECT(CONCATENATE("g",9+($A185-1)*6))),NA())</f>
        <v>#N/A</v>
      </c>
      <c r="G185" t="e">
        <f ca="1">IF($A185&lt;=TeamNum,IF(INDIRECT(CONCATENATE("h",9+($A185-1)*6))="",NA(),INDIRECT(CONCATENATE("h",9+($A185-1)*6))),NA())</f>
        <v>#N/A</v>
      </c>
      <c r="H185" t="e">
        <f ca="1">IF($A185&lt;=TeamNum,IF(INDIRECT(CONCATENATE("i",9+($A185-1)*6))="",NA(),INDIRECT(CONCATENATE("i",9+($A185-1)*6))),NA())</f>
        <v>#N/A</v>
      </c>
      <c r="I185" t="e">
        <f ca="1">IF($A185&lt;=TeamNum,INDIRECT(CONCATENATE("b",9+($A185-1)*6)),NA())</f>
        <v>#N/A</v>
      </c>
      <c r="J185" t="e">
        <f ca="1">IF($A185&lt;=TeamNum,INDIRECT(CONCATENATE("c",9+($A185-1)*6)),NA())</f>
        <v>#N/A</v>
      </c>
    </row>
    <row r="186" spans="1:10" x14ac:dyDescent="0.25">
      <c r="A186">
        <v>18</v>
      </c>
      <c r="B186" t="e">
        <f ca="1">IF($A186&lt;=TeamNum,INDIRECT(CONCATENATE("a",9+($A186-1)*6)),NA())</f>
        <v>#N/A</v>
      </c>
      <c r="C186" t="e">
        <f ca="1">IF($A186&lt;=TeamNum,IF(INDIRECT(CONCATENATE("d",9+($A186-1)*6))="",NA(),INDIRECT(CONCATENATE("d",9+($A186-1)*6))),NA())</f>
        <v>#N/A</v>
      </c>
      <c r="D186" t="e">
        <f ca="1">IF($A186&lt;=TeamNum,IF(INDIRECT(CONCATENATE("e",9+($A186-1)*6))="",NA(),INDIRECT(CONCATENATE("e",9+($A186-1)*6))),NA())</f>
        <v>#N/A</v>
      </c>
      <c r="E186" t="e">
        <f ca="1">IF($A186&lt;=TeamNum,IF(INDIRECT(CONCATENATE("f",9+($A186-1)*6))="",NA(),INDIRECT(CONCATENATE("f",9+($A186-1)*6))),NA())</f>
        <v>#N/A</v>
      </c>
      <c r="F186" t="e">
        <f ca="1">IF($A186&lt;=TeamNum,IF(INDIRECT(CONCATENATE("g",9+($A186-1)*6))="",NA(),INDIRECT(CONCATENATE("g",9+($A186-1)*6))),NA())</f>
        <v>#N/A</v>
      </c>
      <c r="G186" t="e">
        <f ca="1">IF($A186&lt;=TeamNum,IF(INDIRECT(CONCATENATE("h",9+($A186-1)*6))="",NA(),INDIRECT(CONCATENATE("h",9+($A186-1)*6))),NA())</f>
        <v>#N/A</v>
      </c>
      <c r="H186" t="e">
        <f ca="1">IF($A186&lt;=TeamNum,IF(INDIRECT(CONCATENATE("i",9+($A186-1)*6))="",NA(),INDIRECT(CONCATENATE("i",9+($A186-1)*6))),NA())</f>
        <v>#N/A</v>
      </c>
      <c r="I186" t="e">
        <f ca="1">IF($A186&lt;=TeamNum,INDIRECT(CONCATENATE("b",9+($A186-1)*6)),NA())</f>
        <v>#N/A</v>
      </c>
      <c r="J186" t="e">
        <f ca="1">IF($A186&lt;=TeamNum,INDIRECT(CONCATENATE("c",9+($A186-1)*6)),NA())</f>
        <v>#N/A</v>
      </c>
    </row>
    <row r="187" spans="1:10" x14ac:dyDescent="0.25">
      <c r="A187">
        <v>19</v>
      </c>
      <c r="B187" t="e">
        <f ca="1">IF($A187&lt;=TeamNum,INDIRECT(CONCATENATE("a",9+($A187-1)*6)),NA())</f>
        <v>#N/A</v>
      </c>
      <c r="C187" t="e">
        <f ca="1">IF($A187&lt;=TeamNum,IF(INDIRECT(CONCATENATE("d",9+($A187-1)*6))="",NA(),INDIRECT(CONCATENATE("d",9+($A187-1)*6))),NA())</f>
        <v>#N/A</v>
      </c>
      <c r="D187" t="e">
        <f ca="1">IF($A187&lt;=TeamNum,IF(INDIRECT(CONCATENATE("e",9+($A187-1)*6))="",NA(),INDIRECT(CONCATENATE("e",9+($A187-1)*6))),NA())</f>
        <v>#N/A</v>
      </c>
      <c r="E187" t="e">
        <f ca="1">IF($A187&lt;=TeamNum,IF(INDIRECT(CONCATENATE("f",9+($A187-1)*6))="",NA(),INDIRECT(CONCATENATE("f",9+($A187-1)*6))),NA())</f>
        <v>#N/A</v>
      </c>
      <c r="F187" t="e">
        <f ca="1">IF($A187&lt;=TeamNum,IF(INDIRECT(CONCATENATE("g",9+($A187-1)*6))="",NA(),INDIRECT(CONCATENATE("g",9+($A187-1)*6))),NA())</f>
        <v>#N/A</v>
      </c>
      <c r="G187" t="e">
        <f ca="1">IF($A187&lt;=TeamNum,IF(INDIRECT(CONCATENATE("h",9+($A187-1)*6))="",NA(),INDIRECT(CONCATENATE("h",9+($A187-1)*6))),NA())</f>
        <v>#N/A</v>
      </c>
      <c r="H187" t="e">
        <f ca="1">IF($A187&lt;=TeamNum,IF(INDIRECT(CONCATENATE("i",9+($A187-1)*6))="",NA(),INDIRECT(CONCATENATE("i",9+($A187-1)*6))),NA())</f>
        <v>#N/A</v>
      </c>
      <c r="I187" t="e">
        <f ca="1">IF($A187&lt;=TeamNum,INDIRECT(CONCATENATE("b",9+($A187-1)*6)),NA())</f>
        <v>#N/A</v>
      </c>
      <c r="J187" t="e">
        <f ca="1">IF($A187&lt;=TeamNum,INDIRECT(CONCATENATE("c",9+($A187-1)*6)),NA())</f>
        <v>#N/A</v>
      </c>
    </row>
    <row r="188" spans="1:10" x14ac:dyDescent="0.25">
      <c r="A188">
        <v>20</v>
      </c>
      <c r="B188" t="e">
        <f ca="1">IF($A188&lt;=TeamNum,INDIRECT(CONCATENATE("a",9+($A188-1)*6)),NA())</f>
        <v>#N/A</v>
      </c>
      <c r="C188" t="e">
        <f ca="1">IF($A188&lt;=TeamNum,IF(INDIRECT(CONCATENATE("d",9+($A188-1)*6))="",NA(),INDIRECT(CONCATENATE("d",9+($A188-1)*6))),NA())</f>
        <v>#N/A</v>
      </c>
      <c r="D188" t="e">
        <f ca="1">IF($A188&lt;=TeamNum,IF(INDIRECT(CONCATENATE("e",9+($A188-1)*6))="",NA(),INDIRECT(CONCATENATE("e",9+($A188-1)*6))),NA())</f>
        <v>#N/A</v>
      </c>
      <c r="E188" t="e">
        <f ca="1">IF($A188&lt;=TeamNum,IF(INDIRECT(CONCATENATE("f",9+($A188-1)*6))="",NA(),INDIRECT(CONCATENATE("f",9+($A188-1)*6))),NA())</f>
        <v>#N/A</v>
      </c>
      <c r="F188" t="e">
        <f ca="1">IF($A188&lt;=TeamNum,IF(INDIRECT(CONCATENATE("g",9+($A188-1)*6))="",NA(),INDIRECT(CONCATENATE("g",9+($A188-1)*6))),NA())</f>
        <v>#N/A</v>
      </c>
      <c r="G188" t="e">
        <f ca="1">IF($A188&lt;=TeamNum,IF(INDIRECT(CONCATENATE("h",9+($A188-1)*6))="",NA(),INDIRECT(CONCATENATE("h",9+($A188-1)*6))),NA())</f>
        <v>#N/A</v>
      </c>
      <c r="H188" t="e">
        <f ca="1">IF($A188&lt;=TeamNum,IF(INDIRECT(CONCATENATE("i",9+($A188-1)*6))="",NA(),INDIRECT(CONCATENATE("i",9+($A188-1)*6))),NA())</f>
        <v>#N/A</v>
      </c>
      <c r="I188" t="e">
        <f ca="1">IF($A188&lt;=TeamNum,INDIRECT(CONCATENATE("b",9+($A188-1)*6)),NA())</f>
        <v>#N/A</v>
      </c>
      <c r="J188" t="e">
        <f ca="1">IF($A188&lt;=TeamNum,INDIRECT(CONCATENATE("c",9+($A188-1)*6)),NA())</f>
        <v>#N/A</v>
      </c>
    </row>
    <row r="189" spans="1:10" x14ac:dyDescent="0.25">
      <c r="A189" s="19"/>
      <c r="B189" s="19" t="s">
        <v>10</v>
      </c>
      <c r="C189" s="19">
        <v>1078</v>
      </c>
      <c r="D189" s="19">
        <f>($H$189-$C$189)/5+C189</f>
        <v>970.2</v>
      </c>
      <c r="E189" s="19">
        <f>($H$189-$C$189)/5+D189</f>
        <v>862.40000000000009</v>
      </c>
      <c r="F189" s="19">
        <f>($H$189-$C$189)/5+E189</f>
        <v>754.60000000000014</v>
      </c>
      <c r="G189" s="19">
        <f>($H$189-$C$189)/5+F189</f>
        <v>646.80000000000018</v>
      </c>
      <c r="H189" s="19">
        <v>539</v>
      </c>
      <c r="I189" s="19"/>
      <c r="J189" s="19"/>
    </row>
    <row r="190" spans="1:10" x14ac:dyDescent="0.25">
      <c r="A190">
        <v>1</v>
      </c>
      <c r="B190">
        <f ca="1">IF($A190&lt;=TeamNum,INDIRECT(CONCATENATE("a",10+($A190-1)*6)),NA())</f>
        <v>0</v>
      </c>
      <c r="C190" t="e">
        <f ca="1">IF($A190&lt;=TeamNum,IF(INDIRECT(CONCATENATE("d",10+($A190-1)*6))="",NA(),INDIRECT(CONCATENATE("d",10+($A190-1)*6))),NA())</f>
        <v>#N/A</v>
      </c>
      <c r="D190" t="e">
        <f ca="1">IF($A190&lt;=TeamNum,IF(INDIRECT(CONCATENATE("e",10+($A190-1)*6))="",NA(),INDIRECT(CONCATENATE("e",10+($A190-1)*6))),NA())</f>
        <v>#N/A</v>
      </c>
      <c r="E190" t="e">
        <f ca="1">IF($A190&lt;=TeamNum,IF(INDIRECT(CONCATENATE("f",10+($A190-1)*6))="",NA(),INDIRECT(CONCATENATE("f",10+($A190-1)*6))),NA())</f>
        <v>#N/A</v>
      </c>
      <c r="F190" t="e">
        <f ca="1">IF($A190&lt;=TeamNum,IF(INDIRECT(CONCATENATE("g",10+($A190-1)*6))="",NA(),INDIRECT(CONCATENATE("g",10+($A190-1)*6))),NA())</f>
        <v>#N/A</v>
      </c>
      <c r="G190" t="e">
        <f ca="1">IF($A190&lt;=TeamNum,IF(INDIRECT(CONCATENATE("h",10+($A190-1)*6))="",NA(),INDIRECT(CONCATENATE("h",10+($A190-1)*6))),NA())</f>
        <v>#N/A</v>
      </c>
      <c r="H190" t="e">
        <f ca="1">IF($A190&lt;=TeamNum,IF(INDIRECT(CONCATENATE("i",10+($A190-1)*6))="",NA(),INDIRECT(CONCATENATE("i",10+($A190-1)*6))),NA())</f>
        <v>#N/A</v>
      </c>
      <c r="I190">
        <f ca="1">IF($A190&lt;=TeamNum,INDIRECT(CONCATENATE("b",10+($A190-1)*6)),NA())</f>
        <v>0</v>
      </c>
      <c r="J190">
        <f ca="1">IF($A190&lt;=TeamNum,INDIRECT(CONCATENATE("c",10+($A190-1)*6)),NA())</f>
        <v>0</v>
      </c>
    </row>
    <row r="191" spans="1:10" x14ac:dyDescent="0.25">
      <c r="A191">
        <v>2</v>
      </c>
      <c r="B191" t="e">
        <f ca="1">IF($A191&lt;=TeamNum,INDIRECT(CONCATENATE("a",10+($A191-1)*6)),NA())</f>
        <v>#N/A</v>
      </c>
      <c r="C191" t="e">
        <f ca="1">IF($A191&lt;=TeamNum,IF(INDIRECT(CONCATENATE("d",10+($A191-1)*6))="",NA(),INDIRECT(CONCATENATE("d",10+($A191-1)*6))),NA())</f>
        <v>#N/A</v>
      </c>
      <c r="D191" t="e">
        <f ca="1">IF($A191&lt;=TeamNum,IF(INDIRECT(CONCATENATE("e",10+($A191-1)*6))="",NA(),INDIRECT(CONCATENATE("e",10+($A191-1)*6))),NA())</f>
        <v>#N/A</v>
      </c>
      <c r="E191" t="e">
        <f ca="1">IF($A191&lt;=TeamNum,IF(INDIRECT(CONCATENATE("f",10+($A191-1)*6))="",NA(),INDIRECT(CONCATENATE("f",10+($A191-1)*6))),NA())</f>
        <v>#N/A</v>
      </c>
      <c r="F191" t="e">
        <f ca="1">IF($A191&lt;=TeamNum,IF(INDIRECT(CONCATENATE("g",10+($A191-1)*6))="",NA(),INDIRECT(CONCATENATE("g",10+($A191-1)*6))),NA())</f>
        <v>#N/A</v>
      </c>
      <c r="G191" t="e">
        <f ca="1">IF($A191&lt;=TeamNum,IF(INDIRECT(CONCATENATE("h",10+($A191-1)*6))="",NA(),INDIRECT(CONCATENATE("h",10+($A191-1)*6))),NA())</f>
        <v>#N/A</v>
      </c>
      <c r="H191" t="e">
        <f ca="1">IF($A191&lt;=TeamNum,IF(INDIRECT(CONCATENATE("i",10+($A191-1)*6))="",NA(),INDIRECT(CONCATENATE("i",10+($A191-1)*6))),NA())</f>
        <v>#N/A</v>
      </c>
      <c r="I191" t="e">
        <f ca="1">IF($A191&lt;=TeamNum,INDIRECT(CONCATENATE("b",10+($A191-1)*6)),NA())</f>
        <v>#N/A</v>
      </c>
      <c r="J191" t="e">
        <f ca="1">IF($A191&lt;=TeamNum,INDIRECT(CONCATENATE("c",10+($A191-1)*6)),NA())</f>
        <v>#N/A</v>
      </c>
    </row>
    <row r="192" spans="1:10" x14ac:dyDescent="0.25">
      <c r="A192">
        <v>3</v>
      </c>
      <c r="B192" t="e">
        <f ca="1">IF($A192&lt;=TeamNum,INDIRECT(CONCATENATE("a",10+($A192-1)*6)),NA())</f>
        <v>#N/A</v>
      </c>
      <c r="C192" t="e">
        <f ca="1">IF($A192&lt;=TeamNum,IF(INDIRECT(CONCATENATE("d",10+($A192-1)*6))="",NA(),INDIRECT(CONCATENATE("d",10+($A192-1)*6))),NA())</f>
        <v>#N/A</v>
      </c>
      <c r="D192" t="e">
        <f ca="1">IF($A192&lt;=TeamNum,IF(INDIRECT(CONCATENATE("e",10+($A192-1)*6))="",NA(),INDIRECT(CONCATENATE("e",10+($A192-1)*6))),NA())</f>
        <v>#N/A</v>
      </c>
      <c r="E192" t="e">
        <f ca="1">IF($A192&lt;=TeamNum,IF(INDIRECT(CONCATENATE("f",10+($A192-1)*6))="",NA(),INDIRECT(CONCATENATE("f",10+($A192-1)*6))),NA())</f>
        <v>#N/A</v>
      </c>
      <c r="F192" t="e">
        <f ca="1">IF($A192&lt;=TeamNum,IF(INDIRECT(CONCATENATE("g",10+($A192-1)*6))="",NA(),INDIRECT(CONCATENATE("g",10+($A192-1)*6))),NA())</f>
        <v>#N/A</v>
      </c>
      <c r="G192" t="e">
        <f ca="1">IF($A192&lt;=TeamNum,IF(INDIRECT(CONCATENATE("h",10+($A192-1)*6))="",NA(),INDIRECT(CONCATENATE("h",10+($A192-1)*6))),NA())</f>
        <v>#N/A</v>
      </c>
      <c r="H192" t="e">
        <f ca="1">IF($A192&lt;=TeamNum,IF(INDIRECT(CONCATENATE("i",10+($A192-1)*6))="",NA(),INDIRECT(CONCATENATE("i",10+($A192-1)*6))),NA())</f>
        <v>#N/A</v>
      </c>
      <c r="I192" t="e">
        <f ca="1">IF($A192&lt;=TeamNum,INDIRECT(CONCATENATE("b",10+($A192-1)*6)),NA())</f>
        <v>#N/A</v>
      </c>
      <c r="J192" t="e">
        <f ca="1">IF($A192&lt;=TeamNum,INDIRECT(CONCATENATE("c",10+($A192-1)*6)),NA())</f>
        <v>#N/A</v>
      </c>
    </row>
    <row r="193" spans="1:10" x14ac:dyDescent="0.25">
      <c r="A193">
        <v>4</v>
      </c>
      <c r="B193" t="e">
        <f ca="1">IF($A193&lt;=TeamNum,INDIRECT(CONCATENATE("a",10+($A193-1)*6)),NA())</f>
        <v>#N/A</v>
      </c>
      <c r="C193" t="e">
        <f ca="1">IF($A193&lt;=TeamNum,IF(INDIRECT(CONCATENATE("d",10+($A193-1)*6))="",NA(),INDIRECT(CONCATENATE("d",10+($A193-1)*6))),NA())</f>
        <v>#N/A</v>
      </c>
      <c r="D193" t="e">
        <f ca="1">IF($A193&lt;=TeamNum,IF(INDIRECT(CONCATENATE("e",10+($A193-1)*6))="",NA(),INDIRECT(CONCATENATE("e",10+($A193-1)*6))),NA())</f>
        <v>#N/A</v>
      </c>
      <c r="E193" t="e">
        <f ca="1">IF($A193&lt;=TeamNum,IF(INDIRECT(CONCATENATE("f",10+($A193-1)*6))="",NA(),INDIRECT(CONCATENATE("f",10+($A193-1)*6))),NA())</f>
        <v>#N/A</v>
      </c>
      <c r="F193" t="e">
        <f ca="1">IF($A193&lt;=TeamNum,IF(INDIRECT(CONCATENATE("g",10+($A193-1)*6))="",NA(),INDIRECT(CONCATENATE("g",10+($A193-1)*6))),NA())</f>
        <v>#N/A</v>
      </c>
      <c r="G193" t="e">
        <f ca="1">IF($A193&lt;=TeamNum,IF(INDIRECT(CONCATENATE("h",10+($A193-1)*6))="",NA(),INDIRECT(CONCATENATE("h",10+($A193-1)*6))),NA())</f>
        <v>#N/A</v>
      </c>
      <c r="H193" t="e">
        <f ca="1">IF($A193&lt;=TeamNum,IF(INDIRECT(CONCATENATE("i",10+($A193-1)*6))="",NA(),INDIRECT(CONCATENATE("i",10+($A193-1)*6))),NA())</f>
        <v>#N/A</v>
      </c>
      <c r="I193" t="e">
        <f ca="1">IF($A193&lt;=TeamNum,INDIRECT(CONCATENATE("b",10+($A193-1)*6)),NA())</f>
        <v>#N/A</v>
      </c>
      <c r="J193" t="e">
        <f ca="1">IF($A193&lt;=TeamNum,INDIRECT(CONCATENATE("c",10+($A193-1)*6)),NA())</f>
        <v>#N/A</v>
      </c>
    </row>
    <row r="194" spans="1:10" x14ac:dyDescent="0.25">
      <c r="A194">
        <v>5</v>
      </c>
      <c r="B194" t="e">
        <f ca="1">IF($A194&lt;=TeamNum,INDIRECT(CONCATENATE("a",10+($A194-1)*6)),NA())</f>
        <v>#N/A</v>
      </c>
      <c r="C194" t="e">
        <f ca="1">IF($A194&lt;=TeamNum,IF(INDIRECT(CONCATENATE("d",10+($A194-1)*6))="",NA(),INDIRECT(CONCATENATE("d",10+($A194-1)*6))),NA())</f>
        <v>#N/A</v>
      </c>
      <c r="D194" t="e">
        <f ca="1">IF($A194&lt;=TeamNum,IF(INDIRECT(CONCATENATE("e",10+($A194-1)*6))="",NA(),INDIRECT(CONCATENATE("e",10+($A194-1)*6))),NA())</f>
        <v>#N/A</v>
      </c>
      <c r="E194" t="e">
        <f ca="1">IF($A194&lt;=TeamNum,IF(INDIRECT(CONCATENATE("f",10+($A194-1)*6))="",NA(),INDIRECT(CONCATENATE("f",10+($A194-1)*6))),NA())</f>
        <v>#N/A</v>
      </c>
      <c r="F194" t="e">
        <f ca="1">IF($A194&lt;=TeamNum,IF(INDIRECT(CONCATENATE("g",10+($A194-1)*6))="",NA(),INDIRECT(CONCATENATE("g",10+($A194-1)*6))),NA())</f>
        <v>#N/A</v>
      </c>
      <c r="G194" t="e">
        <f ca="1">IF($A194&lt;=TeamNum,IF(INDIRECT(CONCATENATE("h",10+($A194-1)*6))="",NA(),INDIRECT(CONCATENATE("h",10+($A194-1)*6))),NA())</f>
        <v>#N/A</v>
      </c>
      <c r="H194" t="e">
        <f ca="1">IF($A194&lt;=TeamNum,IF(INDIRECT(CONCATENATE("i",10+($A194-1)*6))="",NA(),INDIRECT(CONCATENATE("i",10+($A194-1)*6))),NA())</f>
        <v>#N/A</v>
      </c>
      <c r="I194" t="e">
        <f ca="1">IF($A194&lt;=TeamNum,INDIRECT(CONCATENATE("b",10+($A194-1)*6)),NA())</f>
        <v>#N/A</v>
      </c>
      <c r="J194" t="e">
        <f ca="1">IF($A194&lt;=TeamNum,INDIRECT(CONCATENATE("c",10+($A194-1)*6)),NA())</f>
        <v>#N/A</v>
      </c>
    </row>
    <row r="195" spans="1:10" x14ac:dyDescent="0.25">
      <c r="A195">
        <v>6</v>
      </c>
      <c r="B195" t="e">
        <f ca="1">IF($A195&lt;=TeamNum,INDIRECT(CONCATENATE("a",10+($A195-1)*6)),NA())</f>
        <v>#N/A</v>
      </c>
      <c r="C195" t="e">
        <f ca="1">IF($A195&lt;=TeamNum,IF(INDIRECT(CONCATENATE("d",10+($A195-1)*6))="",NA(),INDIRECT(CONCATENATE("d",10+($A195-1)*6))),NA())</f>
        <v>#N/A</v>
      </c>
      <c r="D195" t="e">
        <f ca="1">IF($A195&lt;=TeamNum,IF(INDIRECT(CONCATENATE("e",10+($A195-1)*6))="",NA(),INDIRECT(CONCATENATE("e",10+($A195-1)*6))),NA())</f>
        <v>#N/A</v>
      </c>
      <c r="E195" t="e">
        <f ca="1">IF($A195&lt;=TeamNum,IF(INDIRECT(CONCATENATE("f",10+($A195-1)*6))="",NA(),INDIRECT(CONCATENATE("f",10+($A195-1)*6))),NA())</f>
        <v>#N/A</v>
      </c>
      <c r="F195" t="e">
        <f ca="1">IF($A195&lt;=TeamNum,IF(INDIRECT(CONCATENATE("g",10+($A195-1)*6))="",NA(),INDIRECT(CONCATENATE("g",10+($A195-1)*6))),NA())</f>
        <v>#N/A</v>
      </c>
      <c r="G195" t="e">
        <f ca="1">IF($A195&lt;=TeamNum,IF(INDIRECT(CONCATENATE("h",10+($A195-1)*6))="",NA(),INDIRECT(CONCATENATE("h",10+($A195-1)*6))),NA())</f>
        <v>#N/A</v>
      </c>
      <c r="H195" t="e">
        <f ca="1">IF($A195&lt;=TeamNum,IF(INDIRECT(CONCATENATE("i",10+($A195-1)*6))="",NA(),INDIRECT(CONCATENATE("i",10+($A195-1)*6))),NA())</f>
        <v>#N/A</v>
      </c>
      <c r="I195" t="e">
        <f ca="1">IF($A195&lt;=TeamNum,INDIRECT(CONCATENATE("b",10+($A195-1)*6)),NA())</f>
        <v>#N/A</v>
      </c>
      <c r="J195" t="e">
        <f ca="1">IF($A195&lt;=TeamNum,INDIRECT(CONCATENATE("c",10+($A195-1)*6)),NA())</f>
        <v>#N/A</v>
      </c>
    </row>
    <row r="196" spans="1:10" x14ac:dyDescent="0.25">
      <c r="A196">
        <v>7</v>
      </c>
      <c r="B196" t="e">
        <f ca="1">IF($A196&lt;=TeamNum,INDIRECT(CONCATENATE("a",10+($A196-1)*6)),NA())</f>
        <v>#N/A</v>
      </c>
      <c r="C196" t="e">
        <f ca="1">IF($A196&lt;=TeamNum,IF(INDIRECT(CONCATENATE("d",10+($A196-1)*6))="",NA(),INDIRECT(CONCATENATE("d",10+($A196-1)*6))),NA())</f>
        <v>#N/A</v>
      </c>
      <c r="D196" t="e">
        <f ca="1">IF($A196&lt;=TeamNum,IF(INDIRECT(CONCATENATE("e",10+($A196-1)*6))="",NA(),INDIRECT(CONCATENATE("e",10+($A196-1)*6))),NA())</f>
        <v>#N/A</v>
      </c>
      <c r="E196" t="e">
        <f ca="1">IF($A196&lt;=TeamNum,IF(INDIRECT(CONCATENATE("f",10+($A196-1)*6))="",NA(),INDIRECT(CONCATENATE("f",10+($A196-1)*6))),NA())</f>
        <v>#N/A</v>
      </c>
      <c r="F196" t="e">
        <f ca="1">IF($A196&lt;=TeamNum,IF(INDIRECT(CONCATENATE("g",10+($A196-1)*6))="",NA(),INDIRECT(CONCATENATE("g",10+($A196-1)*6))),NA())</f>
        <v>#N/A</v>
      </c>
      <c r="G196" t="e">
        <f ca="1">IF($A196&lt;=TeamNum,IF(INDIRECT(CONCATENATE("h",10+($A196-1)*6))="",NA(),INDIRECT(CONCATENATE("h",10+($A196-1)*6))),NA())</f>
        <v>#N/A</v>
      </c>
      <c r="H196" t="e">
        <f ca="1">IF($A196&lt;=TeamNum,IF(INDIRECT(CONCATENATE("i",10+($A196-1)*6))="",NA(),INDIRECT(CONCATENATE("i",10+($A196-1)*6))),NA())</f>
        <v>#N/A</v>
      </c>
      <c r="I196" t="e">
        <f ca="1">IF($A196&lt;=TeamNum,INDIRECT(CONCATENATE("b",10+($A196-1)*6)),NA())</f>
        <v>#N/A</v>
      </c>
      <c r="J196" t="e">
        <f ca="1">IF($A196&lt;=TeamNum,INDIRECT(CONCATENATE("c",10+($A196-1)*6)),NA())</f>
        <v>#N/A</v>
      </c>
    </row>
    <row r="197" spans="1:10" x14ac:dyDescent="0.25">
      <c r="A197">
        <v>8</v>
      </c>
      <c r="B197" t="e">
        <f ca="1">IF($A197&lt;=TeamNum,INDIRECT(CONCATENATE("a",10+($A197-1)*6)),NA())</f>
        <v>#N/A</v>
      </c>
      <c r="C197" t="e">
        <f ca="1">IF($A197&lt;=TeamNum,IF(INDIRECT(CONCATENATE("d",10+($A197-1)*6))="",NA(),INDIRECT(CONCATENATE("d",10+($A197-1)*6))),NA())</f>
        <v>#N/A</v>
      </c>
      <c r="D197" t="e">
        <f ca="1">IF($A197&lt;=TeamNum,IF(INDIRECT(CONCATENATE("e",10+($A197-1)*6))="",NA(),INDIRECT(CONCATENATE("e",10+($A197-1)*6))),NA())</f>
        <v>#N/A</v>
      </c>
      <c r="E197" t="e">
        <f ca="1">IF($A197&lt;=TeamNum,IF(INDIRECT(CONCATENATE("f",10+($A197-1)*6))="",NA(),INDIRECT(CONCATENATE("f",10+($A197-1)*6))),NA())</f>
        <v>#N/A</v>
      </c>
      <c r="F197" t="e">
        <f ca="1">IF($A197&lt;=TeamNum,IF(INDIRECT(CONCATENATE("g",10+($A197-1)*6))="",NA(),INDIRECT(CONCATENATE("g",10+($A197-1)*6))),NA())</f>
        <v>#N/A</v>
      </c>
      <c r="G197" t="e">
        <f ca="1">IF($A197&lt;=TeamNum,IF(INDIRECT(CONCATENATE("h",10+($A197-1)*6))="",NA(),INDIRECT(CONCATENATE("h",10+($A197-1)*6))),NA())</f>
        <v>#N/A</v>
      </c>
      <c r="H197" t="e">
        <f ca="1">IF($A197&lt;=TeamNum,IF(INDIRECT(CONCATENATE("i",10+($A197-1)*6))="",NA(),INDIRECT(CONCATENATE("i",10+($A197-1)*6))),NA())</f>
        <v>#N/A</v>
      </c>
      <c r="I197" t="e">
        <f ca="1">IF($A197&lt;=TeamNum,INDIRECT(CONCATENATE("b",10+($A197-1)*6)),NA())</f>
        <v>#N/A</v>
      </c>
      <c r="J197" t="e">
        <f ca="1">IF($A197&lt;=TeamNum,INDIRECT(CONCATENATE("c",10+($A197-1)*6)),NA())</f>
        <v>#N/A</v>
      </c>
    </row>
    <row r="198" spans="1:10" x14ac:dyDescent="0.25">
      <c r="A198">
        <v>9</v>
      </c>
      <c r="B198" t="e">
        <f ca="1">IF($A198&lt;=TeamNum,INDIRECT(CONCATENATE("a",10+($A198-1)*6)),NA())</f>
        <v>#N/A</v>
      </c>
      <c r="C198" t="e">
        <f ca="1">IF($A198&lt;=TeamNum,IF(INDIRECT(CONCATENATE("d",10+($A198-1)*6))="",NA(),INDIRECT(CONCATENATE("d",10+($A198-1)*6))),NA())</f>
        <v>#N/A</v>
      </c>
      <c r="D198" t="e">
        <f ca="1">IF($A198&lt;=TeamNum,IF(INDIRECT(CONCATENATE("e",10+($A198-1)*6))="",NA(),INDIRECT(CONCATENATE("e",10+($A198-1)*6))),NA())</f>
        <v>#N/A</v>
      </c>
      <c r="E198" t="e">
        <f ca="1">IF($A198&lt;=TeamNum,IF(INDIRECT(CONCATENATE("f",10+($A198-1)*6))="",NA(),INDIRECT(CONCATENATE("f",10+($A198-1)*6))),NA())</f>
        <v>#N/A</v>
      </c>
      <c r="F198" t="e">
        <f ca="1">IF($A198&lt;=TeamNum,IF(INDIRECT(CONCATENATE("g",10+($A198-1)*6))="",NA(),INDIRECT(CONCATENATE("g",10+($A198-1)*6))),NA())</f>
        <v>#N/A</v>
      </c>
      <c r="G198" t="e">
        <f ca="1">IF($A198&lt;=TeamNum,IF(INDIRECT(CONCATENATE("h",10+($A198-1)*6))="",NA(),INDIRECT(CONCATENATE("h",10+($A198-1)*6))),NA())</f>
        <v>#N/A</v>
      </c>
      <c r="H198" t="e">
        <f ca="1">IF($A198&lt;=TeamNum,IF(INDIRECT(CONCATENATE("i",10+($A198-1)*6))="",NA(),INDIRECT(CONCATENATE("i",10+($A198-1)*6))),NA())</f>
        <v>#N/A</v>
      </c>
      <c r="I198" t="e">
        <f ca="1">IF($A198&lt;=TeamNum,INDIRECT(CONCATENATE("b",10+($A198-1)*6)),NA())</f>
        <v>#N/A</v>
      </c>
      <c r="J198" t="e">
        <f ca="1">IF($A198&lt;=TeamNum,INDIRECT(CONCATENATE("c",10+($A198-1)*6)),NA())</f>
        <v>#N/A</v>
      </c>
    </row>
    <row r="199" spans="1:10" x14ac:dyDescent="0.25">
      <c r="A199">
        <v>10</v>
      </c>
      <c r="B199" t="e">
        <f ca="1">IF($A199&lt;=TeamNum,INDIRECT(CONCATENATE("a",10+($A199-1)*6)),NA())</f>
        <v>#N/A</v>
      </c>
      <c r="C199" t="e">
        <f ca="1">IF($A199&lt;=TeamNum,IF(INDIRECT(CONCATENATE("d",10+($A199-1)*6))="",NA(),INDIRECT(CONCATENATE("d",10+($A199-1)*6))),NA())</f>
        <v>#N/A</v>
      </c>
      <c r="D199" t="e">
        <f ca="1">IF($A199&lt;=TeamNum,IF(INDIRECT(CONCATENATE("e",10+($A199-1)*6))="",NA(),INDIRECT(CONCATENATE("e",10+($A199-1)*6))),NA())</f>
        <v>#N/A</v>
      </c>
      <c r="E199" t="e">
        <f ca="1">IF($A199&lt;=TeamNum,IF(INDIRECT(CONCATENATE("f",10+($A199-1)*6))="",NA(),INDIRECT(CONCATENATE("f",10+($A199-1)*6))),NA())</f>
        <v>#N/A</v>
      </c>
      <c r="F199" t="e">
        <f ca="1">IF($A199&lt;=TeamNum,IF(INDIRECT(CONCATENATE("g",10+($A199-1)*6))="",NA(),INDIRECT(CONCATENATE("g",10+($A199-1)*6))),NA())</f>
        <v>#N/A</v>
      </c>
      <c r="G199" t="e">
        <f ca="1">IF($A199&lt;=TeamNum,IF(INDIRECT(CONCATENATE("h",10+($A199-1)*6))="",NA(),INDIRECT(CONCATENATE("h",10+($A199-1)*6))),NA())</f>
        <v>#N/A</v>
      </c>
      <c r="H199" t="e">
        <f ca="1">IF($A199&lt;=TeamNum,IF(INDIRECT(CONCATENATE("i",10+($A199-1)*6))="",NA(),INDIRECT(CONCATENATE("i",10+($A199-1)*6))),NA())</f>
        <v>#N/A</v>
      </c>
      <c r="I199" t="e">
        <f ca="1">IF($A199&lt;=TeamNum,INDIRECT(CONCATENATE("b",10+($A199-1)*6)),NA())</f>
        <v>#N/A</v>
      </c>
      <c r="J199" t="e">
        <f ca="1">IF($A199&lt;=TeamNum,INDIRECT(CONCATENATE("c",10+($A199-1)*6)),NA())</f>
        <v>#N/A</v>
      </c>
    </row>
    <row r="200" spans="1:10" x14ac:dyDescent="0.25">
      <c r="A200">
        <v>11</v>
      </c>
      <c r="B200" t="e">
        <f ca="1">IF($A200&lt;=TeamNum,INDIRECT(CONCATENATE("a",10+($A200-1)*6)),NA())</f>
        <v>#N/A</v>
      </c>
      <c r="C200" t="e">
        <f ca="1">IF($A200&lt;=TeamNum,IF(INDIRECT(CONCATENATE("d",10+($A200-1)*6))="",NA(),INDIRECT(CONCATENATE("d",10+($A200-1)*6))),NA())</f>
        <v>#N/A</v>
      </c>
      <c r="D200" t="e">
        <f ca="1">IF($A200&lt;=TeamNum,IF(INDIRECT(CONCATENATE("e",10+($A200-1)*6))="",NA(),INDIRECT(CONCATENATE("e",10+($A200-1)*6))),NA())</f>
        <v>#N/A</v>
      </c>
      <c r="E200" t="e">
        <f ca="1">IF($A200&lt;=TeamNum,IF(INDIRECT(CONCATENATE("f",10+($A200-1)*6))="",NA(),INDIRECT(CONCATENATE("f",10+($A200-1)*6))),NA())</f>
        <v>#N/A</v>
      </c>
      <c r="F200" t="e">
        <f ca="1">IF($A200&lt;=TeamNum,IF(INDIRECT(CONCATENATE("g",10+($A200-1)*6))="",NA(),INDIRECT(CONCATENATE("g",10+($A200-1)*6))),NA())</f>
        <v>#N/A</v>
      </c>
      <c r="G200" t="e">
        <f ca="1">IF($A200&lt;=TeamNum,IF(INDIRECT(CONCATENATE("h",10+($A200-1)*6))="",NA(),INDIRECT(CONCATENATE("h",10+($A200-1)*6))),NA())</f>
        <v>#N/A</v>
      </c>
      <c r="H200" t="e">
        <f ca="1">IF($A200&lt;=TeamNum,IF(INDIRECT(CONCATENATE("i",10+($A200-1)*6))="",NA(),INDIRECT(CONCATENATE("i",10+($A200-1)*6))),NA())</f>
        <v>#N/A</v>
      </c>
      <c r="I200" t="e">
        <f ca="1">IF($A200&lt;=TeamNum,INDIRECT(CONCATENATE("b",10+($A200-1)*6)),NA())</f>
        <v>#N/A</v>
      </c>
      <c r="J200" t="e">
        <f ca="1">IF($A200&lt;=TeamNum,INDIRECT(CONCATENATE("c",10+($A200-1)*6)),NA())</f>
        <v>#N/A</v>
      </c>
    </row>
    <row r="201" spans="1:10" x14ac:dyDescent="0.25">
      <c r="A201">
        <v>12</v>
      </c>
      <c r="B201" t="e">
        <f ca="1">IF($A201&lt;=TeamNum,INDIRECT(CONCATENATE("a",10+($A201-1)*6)),NA())</f>
        <v>#N/A</v>
      </c>
      <c r="C201" t="e">
        <f ca="1">IF($A201&lt;=TeamNum,IF(INDIRECT(CONCATENATE("d",10+($A201-1)*6))="",NA(),INDIRECT(CONCATENATE("d",10+($A201-1)*6))),NA())</f>
        <v>#N/A</v>
      </c>
      <c r="D201" t="e">
        <f ca="1">IF($A201&lt;=TeamNum,IF(INDIRECT(CONCATENATE("e",10+($A201-1)*6))="",NA(),INDIRECT(CONCATENATE("e",10+($A201-1)*6))),NA())</f>
        <v>#N/A</v>
      </c>
      <c r="E201" t="e">
        <f ca="1">IF($A201&lt;=TeamNum,IF(INDIRECT(CONCATENATE("f",10+($A201-1)*6))="",NA(),INDIRECT(CONCATENATE("f",10+($A201-1)*6))),NA())</f>
        <v>#N/A</v>
      </c>
      <c r="F201" t="e">
        <f ca="1">IF($A201&lt;=TeamNum,IF(INDIRECT(CONCATENATE("g",10+($A201-1)*6))="",NA(),INDIRECT(CONCATENATE("g",10+($A201-1)*6))),NA())</f>
        <v>#N/A</v>
      </c>
      <c r="G201" t="e">
        <f ca="1">IF($A201&lt;=TeamNum,IF(INDIRECT(CONCATENATE("h",10+($A201-1)*6))="",NA(),INDIRECT(CONCATENATE("h",10+($A201-1)*6))),NA())</f>
        <v>#N/A</v>
      </c>
      <c r="H201" t="e">
        <f ca="1">IF($A201&lt;=TeamNum,IF(INDIRECT(CONCATENATE("i",10+($A201-1)*6))="",NA(),INDIRECT(CONCATENATE("i",10+($A201-1)*6))),NA())</f>
        <v>#N/A</v>
      </c>
      <c r="I201" t="e">
        <f ca="1">IF($A201&lt;=TeamNum,INDIRECT(CONCATENATE("b",10+($A201-1)*6)),NA())</f>
        <v>#N/A</v>
      </c>
      <c r="J201" t="e">
        <f ca="1">IF($A201&lt;=TeamNum,INDIRECT(CONCATENATE("c",10+($A201-1)*6)),NA())</f>
        <v>#N/A</v>
      </c>
    </row>
    <row r="202" spans="1:10" x14ac:dyDescent="0.25">
      <c r="A202">
        <v>13</v>
      </c>
      <c r="B202" t="e">
        <f ca="1">IF($A202&lt;=TeamNum,INDIRECT(CONCATENATE("a",10+($A202-1)*6)),NA())</f>
        <v>#N/A</v>
      </c>
      <c r="C202" t="e">
        <f ca="1">IF($A202&lt;=TeamNum,IF(INDIRECT(CONCATENATE("d",10+($A202-1)*6))="",NA(),INDIRECT(CONCATENATE("d",10+($A202-1)*6))),NA())</f>
        <v>#N/A</v>
      </c>
      <c r="D202" t="e">
        <f ca="1">IF($A202&lt;=TeamNum,IF(INDIRECT(CONCATENATE("e",10+($A202-1)*6))="",NA(),INDIRECT(CONCATENATE("e",10+($A202-1)*6))),NA())</f>
        <v>#N/A</v>
      </c>
      <c r="E202" t="e">
        <f ca="1">IF($A202&lt;=TeamNum,IF(INDIRECT(CONCATENATE("f",10+($A202-1)*6))="",NA(),INDIRECT(CONCATENATE("f",10+($A202-1)*6))),NA())</f>
        <v>#N/A</v>
      </c>
      <c r="F202" t="e">
        <f ca="1">IF($A202&lt;=TeamNum,IF(INDIRECT(CONCATENATE("g",10+($A202-1)*6))="",NA(),INDIRECT(CONCATENATE("g",10+($A202-1)*6))),NA())</f>
        <v>#N/A</v>
      </c>
      <c r="G202" t="e">
        <f ca="1">IF($A202&lt;=TeamNum,IF(INDIRECT(CONCATENATE("h",10+($A202-1)*6))="",NA(),INDIRECT(CONCATENATE("h",10+($A202-1)*6))),NA())</f>
        <v>#N/A</v>
      </c>
      <c r="H202" t="e">
        <f ca="1">IF($A202&lt;=TeamNum,IF(INDIRECT(CONCATENATE("i",10+($A202-1)*6))="",NA(),INDIRECT(CONCATENATE("i",10+($A202-1)*6))),NA())</f>
        <v>#N/A</v>
      </c>
      <c r="I202" t="e">
        <f ca="1">IF($A202&lt;=TeamNum,INDIRECT(CONCATENATE("b",10+($A202-1)*6)),NA())</f>
        <v>#N/A</v>
      </c>
      <c r="J202" t="e">
        <f ca="1">IF($A202&lt;=TeamNum,INDIRECT(CONCATENATE("c",10+($A202-1)*6)),NA())</f>
        <v>#N/A</v>
      </c>
    </row>
    <row r="203" spans="1:10" x14ac:dyDescent="0.25">
      <c r="A203">
        <v>14</v>
      </c>
      <c r="B203" t="e">
        <f ca="1">IF($A203&lt;=TeamNum,INDIRECT(CONCATENATE("a",10+($A203-1)*6)),NA())</f>
        <v>#N/A</v>
      </c>
      <c r="C203" t="e">
        <f ca="1">IF($A203&lt;=TeamNum,IF(INDIRECT(CONCATENATE("d",10+($A203-1)*6))="",NA(),INDIRECT(CONCATENATE("d",10+($A203-1)*6))),NA())</f>
        <v>#N/A</v>
      </c>
      <c r="D203" t="e">
        <f ca="1">IF($A203&lt;=TeamNum,IF(INDIRECT(CONCATENATE("e",10+($A203-1)*6))="",NA(),INDIRECT(CONCATENATE("e",10+($A203-1)*6))),NA())</f>
        <v>#N/A</v>
      </c>
      <c r="E203" t="e">
        <f ca="1">IF($A203&lt;=TeamNum,IF(INDIRECT(CONCATENATE("f",10+($A203-1)*6))="",NA(),INDIRECT(CONCATENATE("f",10+($A203-1)*6))),NA())</f>
        <v>#N/A</v>
      </c>
      <c r="F203" t="e">
        <f ca="1">IF($A203&lt;=TeamNum,IF(INDIRECT(CONCATENATE("g",10+($A203-1)*6))="",NA(),INDIRECT(CONCATENATE("g",10+($A203-1)*6))),NA())</f>
        <v>#N/A</v>
      </c>
      <c r="G203" t="e">
        <f ca="1">IF($A203&lt;=TeamNum,IF(INDIRECT(CONCATENATE("h",10+($A203-1)*6))="",NA(),INDIRECT(CONCATENATE("h",10+($A203-1)*6))),NA())</f>
        <v>#N/A</v>
      </c>
      <c r="H203" t="e">
        <f ca="1">IF($A203&lt;=TeamNum,IF(INDIRECT(CONCATENATE("i",10+($A203-1)*6))="",NA(),INDIRECT(CONCATENATE("i",10+($A203-1)*6))),NA())</f>
        <v>#N/A</v>
      </c>
      <c r="I203" t="e">
        <f ca="1">IF($A203&lt;=TeamNum,INDIRECT(CONCATENATE("b",10+($A203-1)*6)),NA())</f>
        <v>#N/A</v>
      </c>
      <c r="J203" t="e">
        <f ca="1">IF($A203&lt;=TeamNum,INDIRECT(CONCATENATE("c",10+($A203-1)*6)),NA())</f>
        <v>#N/A</v>
      </c>
    </row>
    <row r="204" spans="1:10" x14ac:dyDescent="0.25">
      <c r="A204">
        <v>15</v>
      </c>
      <c r="B204" t="e">
        <f ca="1">IF($A204&lt;=TeamNum,INDIRECT(CONCATENATE("a",10+($A204-1)*6)),NA())</f>
        <v>#N/A</v>
      </c>
      <c r="C204" t="e">
        <f ca="1">IF($A204&lt;=TeamNum,IF(INDIRECT(CONCATENATE("d",10+($A204-1)*6))="",NA(),INDIRECT(CONCATENATE("d",10+($A204-1)*6))),NA())</f>
        <v>#N/A</v>
      </c>
      <c r="D204" t="e">
        <f ca="1">IF($A204&lt;=TeamNum,IF(INDIRECT(CONCATENATE("e",10+($A204-1)*6))="",NA(),INDIRECT(CONCATENATE("e",10+($A204-1)*6))),NA())</f>
        <v>#N/A</v>
      </c>
      <c r="E204" t="e">
        <f ca="1">IF($A204&lt;=TeamNum,IF(INDIRECT(CONCATENATE("f",10+($A204-1)*6))="",NA(),INDIRECT(CONCATENATE("f",10+($A204-1)*6))),NA())</f>
        <v>#N/A</v>
      </c>
      <c r="F204" t="e">
        <f ca="1">IF($A204&lt;=TeamNum,IF(INDIRECT(CONCATENATE("g",10+($A204-1)*6))="",NA(),INDIRECT(CONCATENATE("g",10+($A204-1)*6))),NA())</f>
        <v>#N/A</v>
      </c>
      <c r="G204" t="e">
        <f ca="1">IF($A204&lt;=TeamNum,IF(INDIRECT(CONCATENATE("h",10+($A204-1)*6))="",NA(),INDIRECT(CONCATENATE("h",10+($A204-1)*6))),NA())</f>
        <v>#N/A</v>
      </c>
      <c r="H204" t="e">
        <f ca="1">IF($A204&lt;=TeamNum,IF(INDIRECT(CONCATENATE("i",10+($A204-1)*6))="",NA(),INDIRECT(CONCATENATE("i",10+($A204-1)*6))),NA())</f>
        <v>#N/A</v>
      </c>
      <c r="I204" t="e">
        <f ca="1">IF($A204&lt;=TeamNum,INDIRECT(CONCATENATE("b",10+($A204-1)*6)),NA())</f>
        <v>#N/A</v>
      </c>
      <c r="J204" t="e">
        <f ca="1">IF($A204&lt;=TeamNum,INDIRECT(CONCATENATE("c",10+($A204-1)*6)),NA())</f>
        <v>#N/A</v>
      </c>
    </row>
    <row r="205" spans="1:10" x14ac:dyDescent="0.25">
      <c r="A205">
        <v>16</v>
      </c>
      <c r="B205" t="e">
        <f ca="1">IF($A205&lt;=TeamNum,INDIRECT(CONCATENATE("a",10+($A205-1)*6)),NA())</f>
        <v>#N/A</v>
      </c>
      <c r="C205" t="e">
        <f ca="1">IF($A205&lt;=TeamNum,IF(INDIRECT(CONCATENATE("d",10+($A205-1)*6))="",NA(),INDIRECT(CONCATENATE("d",10+($A205-1)*6))),NA())</f>
        <v>#N/A</v>
      </c>
      <c r="D205" t="e">
        <f ca="1">IF($A205&lt;=TeamNum,IF(INDIRECT(CONCATENATE("e",10+($A205-1)*6))="",NA(),INDIRECT(CONCATENATE("e",10+($A205-1)*6))),NA())</f>
        <v>#N/A</v>
      </c>
      <c r="E205" t="e">
        <f ca="1">IF($A205&lt;=TeamNum,IF(INDIRECT(CONCATENATE("f",10+($A205-1)*6))="",NA(),INDIRECT(CONCATENATE("f",10+($A205-1)*6))),NA())</f>
        <v>#N/A</v>
      </c>
      <c r="F205" t="e">
        <f ca="1">IF($A205&lt;=TeamNum,IF(INDIRECT(CONCATENATE("g",10+($A205-1)*6))="",NA(),INDIRECT(CONCATENATE("g",10+($A205-1)*6))),NA())</f>
        <v>#N/A</v>
      </c>
      <c r="G205" t="e">
        <f ca="1">IF($A205&lt;=TeamNum,IF(INDIRECT(CONCATENATE("h",10+($A205-1)*6))="",NA(),INDIRECT(CONCATENATE("h",10+($A205-1)*6))),NA())</f>
        <v>#N/A</v>
      </c>
      <c r="H205" t="e">
        <f ca="1">IF($A205&lt;=TeamNum,IF(INDIRECT(CONCATENATE("i",10+($A205-1)*6))="",NA(),INDIRECT(CONCATENATE("i",10+($A205-1)*6))),NA())</f>
        <v>#N/A</v>
      </c>
      <c r="I205" t="e">
        <f ca="1">IF($A205&lt;=TeamNum,INDIRECT(CONCATENATE("b",10+($A205-1)*6)),NA())</f>
        <v>#N/A</v>
      </c>
      <c r="J205" t="e">
        <f ca="1">IF($A205&lt;=TeamNum,INDIRECT(CONCATENATE("c",10+($A205-1)*6)),NA())</f>
        <v>#N/A</v>
      </c>
    </row>
    <row r="206" spans="1:10" x14ac:dyDescent="0.25">
      <c r="A206">
        <v>17</v>
      </c>
      <c r="B206" t="e">
        <f ca="1">IF($A206&lt;=TeamNum,INDIRECT(CONCATENATE("a",10+($A206-1)*6)),NA())</f>
        <v>#N/A</v>
      </c>
      <c r="C206" t="e">
        <f ca="1">IF($A206&lt;=TeamNum,IF(INDIRECT(CONCATENATE("d",10+($A206-1)*6))="",NA(),INDIRECT(CONCATENATE("d",10+($A206-1)*6))),NA())</f>
        <v>#N/A</v>
      </c>
      <c r="D206" t="e">
        <f ca="1">IF($A206&lt;=TeamNum,IF(INDIRECT(CONCATENATE("e",10+($A206-1)*6))="",NA(),INDIRECT(CONCATENATE("e",10+($A206-1)*6))),NA())</f>
        <v>#N/A</v>
      </c>
      <c r="E206" t="e">
        <f ca="1">IF($A206&lt;=TeamNum,IF(INDIRECT(CONCATENATE("f",10+($A206-1)*6))="",NA(),INDIRECT(CONCATENATE("f",10+($A206-1)*6))),NA())</f>
        <v>#N/A</v>
      </c>
      <c r="F206" t="e">
        <f ca="1">IF($A206&lt;=TeamNum,IF(INDIRECT(CONCATENATE("g",10+($A206-1)*6))="",NA(),INDIRECT(CONCATENATE("g",10+($A206-1)*6))),NA())</f>
        <v>#N/A</v>
      </c>
      <c r="G206" t="e">
        <f ca="1">IF($A206&lt;=TeamNum,IF(INDIRECT(CONCATENATE("h",10+($A206-1)*6))="",NA(),INDIRECT(CONCATENATE("h",10+($A206-1)*6))),NA())</f>
        <v>#N/A</v>
      </c>
      <c r="H206" t="e">
        <f ca="1">IF($A206&lt;=TeamNum,IF(INDIRECT(CONCATENATE("i",10+($A206-1)*6))="",NA(),INDIRECT(CONCATENATE("i",10+($A206-1)*6))),NA())</f>
        <v>#N/A</v>
      </c>
      <c r="I206" t="e">
        <f ca="1">IF($A206&lt;=TeamNum,INDIRECT(CONCATENATE("b",10+($A206-1)*6)),NA())</f>
        <v>#N/A</v>
      </c>
      <c r="J206" t="e">
        <f ca="1">IF($A206&lt;=TeamNum,INDIRECT(CONCATENATE("c",10+($A206-1)*6)),NA())</f>
        <v>#N/A</v>
      </c>
    </row>
    <row r="207" spans="1:10" x14ac:dyDescent="0.25">
      <c r="A207">
        <v>18</v>
      </c>
      <c r="B207" t="e">
        <f ca="1">IF($A207&lt;=TeamNum,INDIRECT(CONCATENATE("a",10+($A207-1)*6)),NA())</f>
        <v>#N/A</v>
      </c>
      <c r="C207" t="e">
        <f ca="1">IF($A207&lt;=TeamNum,IF(INDIRECT(CONCATENATE("d",10+($A207-1)*6))="",NA(),INDIRECT(CONCATENATE("d",10+($A207-1)*6))),NA())</f>
        <v>#N/A</v>
      </c>
      <c r="D207" t="e">
        <f ca="1">IF($A207&lt;=TeamNum,IF(INDIRECT(CONCATENATE("e",10+($A207-1)*6))="",NA(),INDIRECT(CONCATENATE("e",10+($A207-1)*6))),NA())</f>
        <v>#N/A</v>
      </c>
      <c r="E207" t="e">
        <f ca="1">IF($A207&lt;=TeamNum,IF(INDIRECT(CONCATENATE("f",10+($A207-1)*6))="",NA(),INDIRECT(CONCATENATE("f",10+($A207-1)*6))),NA())</f>
        <v>#N/A</v>
      </c>
      <c r="F207" t="e">
        <f ca="1">IF($A207&lt;=TeamNum,IF(INDIRECT(CONCATENATE("g",10+($A207-1)*6))="",NA(),INDIRECT(CONCATENATE("g",10+($A207-1)*6))),NA())</f>
        <v>#N/A</v>
      </c>
      <c r="G207" t="e">
        <f ca="1">IF($A207&lt;=TeamNum,IF(INDIRECT(CONCATENATE("h",10+($A207-1)*6))="",NA(),INDIRECT(CONCATENATE("h",10+($A207-1)*6))),NA())</f>
        <v>#N/A</v>
      </c>
      <c r="H207" t="e">
        <f ca="1">IF($A207&lt;=TeamNum,IF(INDIRECT(CONCATENATE("i",10+($A207-1)*6))="",NA(),INDIRECT(CONCATENATE("i",10+($A207-1)*6))),NA())</f>
        <v>#N/A</v>
      </c>
      <c r="I207" t="e">
        <f ca="1">IF($A207&lt;=TeamNum,INDIRECT(CONCATENATE("b",10+($A207-1)*6)),NA())</f>
        <v>#N/A</v>
      </c>
      <c r="J207" t="e">
        <f ca="1">IF($A207&lt;=TeamNum,INDIRECT(CONCATENATE("c",10+($A207-1)*6)),NA())</f>
        <v>#N/A</v>
      </c>
    </row>
    <row r="208" spans="1:10" x14ac:dyDescent="0.25">
      <c r="A208">
        <v>19</v>
      </c>
      <c r="B208" t="e">
        <f ca="1">IF($A208&lt;=TeamNum,INDIRECT(CONCATENATE("a",10+($A208-1)*6)),NA())</f>
        <v>#N/A</v>
      </c>
      <c r="C208" t="e">
        <f ca="1">IF($A208&lt;=TeamNum,IF(INDIRECT(CONCATENATE("d",10+($A208-1)*6))="",NA(),INDIRECT(CONCATENATE("d",10+($A208-1)*6))),NA())</f>
        <v>#N/A</v>
      </c>
      <c r="D208" t="e">
        <f ca="1">IF($A208&lt;=TeamNum,IF(INDIRECT(CONCATENATE("e",10+($A208-1)*6))="",NA(),INDIRECT(CONCATENATE("e",10+($A208-1)*6))),NA())</f>
        <v>#N/A</v>
      </c>
      <c r="E208" t="e">
        <f ca="1">IF($A208&lt;=TeamNum,IF(INDIRECT(CONCATENATE("f",10+($A208-1)*6))="",NA(),INDIRECT(CONCATENATE("f",10+($A208-1)*6))),NA())</f>
        <v>#N/A</v>
      </c>
      <c r="F208" t="e">
        <f ca="1">IF($A208&lt;=TeamNum,IF(INDIRECT(CONCATENATE("g",10+($A208-1)*6))="",NA(),INDIRECT(CONCATENATE("g",10+($A208-1)*6))),NA())</f>
        <v>#N/A</v>
      </c>
      <c r="G208" t="e">
        <f ca="1">IF($A208&lt;=TeamNum,IF(INDIRECT(CONCATENATE("h",10+($A208-1)*6))="",NA(),INDIRECT(CONCATENATE("h",10+($A208-1)*6))),NA())</f>
        <v>#N/A</v>
      </c>
      <c r="H208" t="e">
        <f ca="1">IF($A208&lt;=TeamNum,IF(INDIRECT(CONCATENATE("i",10+($A208-1)*6))="",NA(),INDIRECT(CONCATENATE("i",10+($A208-1)*6))),NA())</f>
        <v>#N/A</v>
      </c>
      <c r="I208" t="e">
        <f ca="1">IF($A208&lt;=TeamNum,INDIRECT(CONCATENATE("b",10+($A208-1)*6)),NA())</f>
        <v>#N/A</v>
      </c>
      <c r="J208" t="e">
        <f ca="1">IF($A208&lt;=TeamNum,INDIRECT(CONCATENATE("c",10+($A208-1)*6)),NA())</f>
        <v>#N/A</v>
      </c>
    </row>
    <row r="209" spans="1:10" x14ac:dyDescent="0.25">
      <c r="A209">
        <v>20</v>
      </c>
      <c r="B209" t="e">
        <f ca="1">IF($A209&lt;=TeamNum,INDIRECT(CONCATENATE("a",10+($A209-1)*6)),NA())</f>
        <v>#N/A</v>
      </c>
      <c r="C209" t="e">
        <f ca="1">IF($A209&lt;=TeamNum,IF(INDIRECT(CONCATENATE("d",10+($A209-1)*6))="",NA(),INDIRECT(CONCATENATE("d",10+($A209-1)*6))),NA())</f>
        <v>#N/A</v>
      </c>
      <c r="D209" t="e">
        <f ca="1">IF($A209&lt;=TeamNum,IF(INDIRECT(CONCATENATE("e",10+($A209-1)*6))="",NA(),INDIRECT(CONCATENATE("e",10+($A209-1)*6))),NA())</f>
        <v>#N/A</v>
      </c>
      <c r="E209" t="e">
        <f ca="1">IF($A209&lt;=TeamNum,IF(INDIRECT(CONCATENATE("f",10+($A209-1)*6))="",NA(),INDIRECT(CONCATENATE("f",10+($A209-1)*6))),NA())</f>
        <v>#N/A</v>
      </c>
      <c r="F209" t="e">
        <f ca="1">IF($A209&lt;=TeamNum,IF(INDIRECT(CONCATENATE("g",10+($A209-1)*6))="",NA(),INDIRECT(CONCATENATE("g",10+($A209-1)*6))),NA())</f>
        <v>#N/A</v>
      </c>
      <c r="G209" t="e">
        <f ca="1">IF($A209&lt;=TeamNum,IF(INDIRECT(CONCATENATE("h",10+($A209-1)*6))="",NA(),INDIRECT(CONCATENATE("h",10+($A209-1)*6))),NA())</f>
        <v>#N/A</v>
      </c>
      <c r="H209" t="e">
        <f ca="1">IF($A209&lt;=TeamNum,IF(INDIRECT(CONCATENATE("i",10+($A209-1)*6))="",NA(),INDIRECT(CONCATENATE("i",10+($A209-1)*6))),NA())</f>
        <v>#N/A</v>
      </c>
      <c r="I209" t="e">
        <f ca="1">IF($A209&lt;=TeamNum,INDIRECT(CONCATENATE("b",10+($A209-1)*6)),NA())</f>
        <v>#N/A</v>
      </c>
      <c r="J209" t="e">
        <f ca="1">IF($A209&lt;=TeamNum,INDIRECT(CONCATENATE("c",10+($A209-1)*6)),NA())</f>
        <v>#N/A</v>
      </c>
    </row>
    <row r="210" spans="1:10" x14ac:dyDescent="0.25">
      <c r="A210" s="19"/>
      <c r="B210" s="19" t="s">
        <v>10</v>
      </c>
      <c r="C210" s="19">
        <v>287</v>
      </c>
      <c r="D210" s="19">
        <f>($H$210-$C$210)/5+C210</f>
        <v>275.60000000000002</v>
      </c>
      <c r="E210" s="19">
        <f>($H$210-$C$210)/5+D210</f>
        <v>264.20000000000005</v>
      </c>
      <c r="F210" s="19">
        <f>($H$210-$C$210)/5+E210</f>
        <v>252.80000000000004</v>
      </c>
      <c r="G210" s="19">
        <f>($H$210-$C$210)/5+F210</f>
        <v>241.40000000000003</v>
      </c>
      <c r="H210" s="19">
        <v>230</v>
      </c>
      <c r="I210" s="19"/>
      <c r="J210" s="19"/>
    </row>
    <row r="212" spans="1:10" x14ac:dyDescent="0.25">
      <c r="A212" s="15"/>
    </row>
  </sheetData>
  <mergeCells count="20">
    <mergeCell ref="A41:I41"/>
    <mergeCell ref="A47:I47"/>
    <mergeCell ref="A53:I53"/>
    <mergeCell ref="A59:I59"/>
    <mergeCell ref="A5:I5"/>
    <mergeCell ref="A11:I11"/>
    <mergeCell ref="A17:I17"/>
    <mergeCell ref="A23:I23"/>
    <mergeCell ref="A29:I29"/>
    <mergeCell ref="A35:I35"/>
    <mergeCell ref="A65:I65"/>
    <mergeCell ref="A71:I71"/>
    <mergeCell ref="A77:I77"/>
    <mergeCell ref="A83:I83"/>
    <mergeCell ref="A89:I89"/>
    <mergeCell ref="A95:I95"/>
    <mergeCell ref="A101:I101"/>
    <mergeCell ref="A107:I107"/>
    <mergeCell ref="A113:I113"/>
    <mergeCell ref="A119:I119"/>
  </mergeCells>
  <conditionalFormatting sqref="A2">
    <cfRule type="expression" dxfId="0" priority="1">
      <formula>OR($A$2="Fill In",$A$2="")</formula>
    </cfRule>
  </conditionalFormatting>
  <dataValidations count="1">
    <dataValidation type="list" allowBlank="1" showInputMessage="1" showErrorMessage="1" sqref="A2">
      <formula1>"1,2,3,4,5,6,7,8,9,10,11,12,13,14,15,16,17,18,19,20"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Sheet1</vt:lpstr>
      <vt:lpstr>Customer Bills</vt:lpstr>
      <vt:lpstr>Earnings per Share</vt:lpstr>
      <vt:lpstr>CO2 Emissions Rate</vt:lpstr>
      <vt:lpstr>Reliability</vt:lpstr>
      <vt:lpstr>Team1</vt:lpstr>
      <vt:lpstr>Team10</vt:lpstr>
      <vt:lpstr>Team11</vt:lpstr>
      <vt:lpstr>Team12</vt:lpstr>
      <vt:lpstr>Team13</vt:lpstr>
      <vt:lpstr>Team14</vt:lpstr>
      <vt:lpstr>Team15</vt:lpstr>
      <vt:lpstr>Team16</vt:lpstr>
      <vt:lpstr>Team17</vt:lpstr>
      <vt:lpstr>Team18</vt:lpstr>
      <vt:lpstr>Team19</vt:lpstr>
      <vt:lpstr>Team2</vt:lpstr>
      <vt:lpstr>Team20</vt:lpstr>
      <vt:lpstr>Team3</vt:lpstr>
      <vt:lpstr>Team4</vt:lpstr>
      <vt:lpstr>Team5</vt:lpstr>
      <vt:lpstr>Team6</vt:lpstr>
      <vt:lpstr>Team7</vt:lpstr>
      <vt:lpstr>Team8</vt:lpstr>
      <vt:lpstr>Team9</vt:lpstr>
      <vt:lpstr>TeamNum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</dc:creator>
  <cp:lastModifiedBy>Robbie Orvis</cp:lastModifiedBy>
  <dcterms:created xsi:type="dcterms:W3CDTF">2016-10-20T18:13:05Z</dcterms:created>
  <dcterms:modified xsi:type="dcterms:W3CDTF">2019-06-26T23:01:56Z</dcterms:modified>
</cp:coreProperties>
</file>