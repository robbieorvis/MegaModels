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386A7D53-83CE-4898-B76A-5B75F711FAC1}" xr6:coauthVersionLast="47" xr6:coauthVersionMax="47" xr10:uidLastSave="{00000000-0000-0000-0000-000000000000}"/>
  <bookViews>
    <workbookView xWindow="-120" yWindow="-120" windowWidth="29040" windowHeight="17640" activeTab="3" xr2:uid="{00000000-000D-0000-FFFF-FFFF00000000}"/>
  </bookViews>
  <sheets>
    <sheet name="Initial Setup" sheetId="10" r:id="rId1"/>
    <sheet name="Gameplay" sheetId="15" r:id="rId2"/>
    <sheet name="Event Tracker" sheetId="14" r:id="rId3"/>
    <sheet name="Game Properties" sheetId="1" r:id="rId4"/>
    <sheet name="Customer Bills" sheetId="5" r:id="rId5"/>
    <sheet name="Utility Revenue" sheetId="8" r:id="rId6"/>
    <sheet name="Environmental Performance" sheetId="6" r:id="rId7"/>
    <sheet name="Reliability" sheetId="7" r:id="rId8"/>
    <sheet name="Game Assumptions" sheetId="11" r:id="rId9"/>
    <sheet name="Resource Mix and Demand" sheetId="2" r:id="rId10"/>
    <sheet name="Dispatch" sheetId="9" r:id="rId11"/>
    <sheet name="Policy Page" sheetId="13" r:id="rId12"/>
    <sheet name="Graphs" sheetId="26" r:id="rId13"/>
    <sheet name="Override" sheetId="27" r:id="rId14"/>
    <sheet name="Questions" sheetId="12" state="hidden" r:id="rId15"/>
  </sheets>
  <definedNames>
    <definedName name="Current_Round">'Event Tracker'!$P$1</definedName>
    <definedName name="solver_adj" localSheetId="5" hidden="1">'Game Assumptions'!$B$2</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'Utility Revenue'!$B$149</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-100000000</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 i="8" l="1"/>
  <c r="B22" i="8"/>
  <c r="B18" i="8"/>
  <c r="C9" i="8"/>
  <c r="D9" i="8"/>
  <c r="E9" i="8"/>
  <c r="F9" i="8"/>
  <c r="G9" i="8"/>
  <c r="H9" i="8"/>
  <c r="I9" i="8"/>
  <c r="J9" i="8"/>
  <c r="K9" i="8"/>
  <c r="L9" i="8"/>
  <c r="C10" i="8"/>
  <c r="D10" i="8"/>
  <c r="E10" i="8"/>
  <c r="F10" i="8"/>
  <c r="G10" i="8"/>
  <c r="H10" i="8"/>
  <c r="I10" i="8"/>
  <c r="J10" i="8"/>
  <c r="K10" i="8"/>
  <c r="L10" i="8"/>
  <c r="C11" i="8"/>
  <c r="D11" i="8"/>
  <c r="E11" i="8"/>
  <c r="F11" i="8"/>
  <c r="G11" i="8"/>
  <c r="H11" i="8"/>
  <c r="I11" i="8"/>
  <c r="J11" i="8"/>
  <c r="K11" i="8"/>
  <c r="L11" i="8"/>
  <c r="B11" i="8"/>
  <c r="B10" i="8"/>
  <c r="B9" i="8"/>
  <c r="B27" i="14"/>
  <c r="B19" i="14"/>
  <c r="B25" i="14" s="1"/>
  <c r="B20" i="14"/>
  <c r="B21" i="14"/>
  <c r="B22" i="14"/>
  <c r="B18" i="14"/>
  <c r="B26" i="14" l="1"/>
  <c r="C39" i="7"/>
  <c r="D39" i="7"/>
  <c r="E39" i="7"/>
  <c r="F39" i="7"/>
  <c r="G39" i="7"/>
  <c r="H39" i="7"/>
  <c r="I39" i="7"/>
  <c r="J39" i="7"/>
  <c r="K39" i="7"/>
  <c r="L39" i="7"/>
  <c r="C13" i="7"/>
  <c r="C25" i="8" s="1"/>
  <c r="D25" i="8" s="1"/>
  <c r="E25" i="8" s="1"/>
  <c r="F25" i="8" s="1"/>
  <c r="G25" i="8" s="1"/>
  <c r="H25" i="8" s="1"/>
  <c r="I25" i="8" s="1"/>
  <c r="J25" i="8" s="1"/>
  <c r="K25" i="8" s="1"/>
  <c r="L25" i="8" s="1"/>
  <c r="D13" i="7"/>
  <c r="E13" i="7"/>
  <c r="F13" i="7"/>
  <c r="G13" i="7"/>
  <c r="H13" i="7"/>
  <c r="I13" i="7"/>
  <c r="J13" i="7"/>
  <c r="K13" i="7"/>
  <c r="L13" i="7"/>
  <c r="C12" i="7"/>
  <c r="D12" i="7"/>
  <c r="E12" i="7"/>
  <c r="F12" i="7"/>
  <c r="G12" i="7"/>
  <c r="H12" i="7"/>
  <c r="I12" i="7"/>
  <c r="J12" i="7"/>
  <c r="K12" i="7"/>
  <c r="L12" i="7"/>
  <c r="C11" i="7"/>
  <c r="C22" i="8" s="1"/>
  <c r="D22" i="8" s="1"/>
  <c r="E22" i="8" s="1"/>
  <c r="F22" i="8" s="1"/>
  <c r="G22" i="8" s="1"/>
  <c r="H22" i="8" s="1"/>
  <c r="I22" i="8" s="1"/>
  <c r="J22" i="8" s="1"/>
  <c r="K22" i="8" s="1"/>
  <c r="L22" i="8" s="1"/>
  <c r="D11" i="7"/>
  <c r="E11" i="7"/>
  <c r="F11" i="7"/>
  <c r="G11" i="7"/>
  <c r="H11" i="7"/>
  <c r="I11" i="7"/>
  <c r="J11" i="7"/>
  <c r="K11" i="7"/>
  <c r="L11" i="7"/>
  <c r="C10" i="7"/>
  <c r="D10" i="7"/>
  <c r="E10" i="7"/>
  <c r="F10" i="7"/>
  <c r="G10" i="7"/>
  <c r="H10" i="7"/>
  <c r="I10" i="7"/>
  <c r="J10" i="7"/>
  <c r="K10" i="7"/>
  <c r="L10" i="7"/>
  <c r="C9" i="7"/>
  <c r="D9" i="7"/>
  <c r="E9" i="7"/>
  <c r="F9" i="7"/>
  <c r="G9" i="7"/>
  <c r="H9" i="7"/>
  <c r="I9" i="7"/>
  <c r="J9" i="7"/>
  <c r="K9" i="7"/>
  <c r="L9" i="7"/>
  <c r="C8" i="2"/>
  <c r="D8" i="2"/>
  <c r="E8" i="2"/>
  <c r="F8" i="2"/>
  <c r="G8" i="2"/>
  <c r="H8" i="2"/>
  <c r="I8" i="2"/>
  <c r="J8" i="2"/>
  <c r="K8" i="2"/>
  <c r="L8" i="2"/>
  <c r="C7" i="2"/>
  <c r="C18" i="8" s="1"/>
  <c r="D18" i="8" s="1"/>
  <c r="E18" i="8" s="1"/>
  <c r="F18" i="8" s="1"/>
  <c r="G18" i="8" s="1"/>
  <c r="H18" i="8" s="1"/>
  <c r="I18" i="8" s="1"/>
  <c r="J18" i="8" s="1"/>
  <c r="K18" i="8" s="1"/>
  <c r="L18" i="8" s="1"/>
  <c r="D7" i="2"/>
  <c r="E7" i="2"/>
  <c r="F7" i="2"/>
  <c r="G7" i="2"/>
  <c r="H7" i="2"/>
  <c r="I7" i="2"/>
  <c r="J7" i="2"/>
  <c r="K7" i="2"/>
  <c r="L7" i="2"/>
  <c r="C6" i="2"/>
  <c r="D6" i="2"/>
  <c r="E6" i="2"/>
  <c r="F6" i="2"/>
  <c r="G6" i="2"/>
  <c r="H6" i="2"/>
  <c r="I6" i="2"/>
  <c r="J6" i="2"/>
  <c r="K6" i="2"/>
  <c r="L6" i="2"/>
  <c r="C5" i="2"/>
  <c r="D5" i="2"/>
  <c r="E5" i="2"/>
  <c r="F5" i="2"/>
  <c r="G5" i="2"/>
  <c r="H5" i="2"/>
  <c r="I5" i="2"/>
  <c r="J5" i="2"/>
  <c r="K5" i="2"/>
  <c r="L5" i="2"/>
  <c r="C4" i="2"/>
  <c r="D4" i="2"/>
  <c r="E4" i="2"/>
  <c r="F4" i="2"/>
  <c r="G4" i="2"/>
  <c r="H4" i="2"/>
  <c r="I4" i="2"/>
  <c r="J4" i="2"/>
  <c r="K4" i="2"/>
  <c r="L4" i="2"/>
  <c r="C3" i="2"/>
  <c r="D3" i="2"/>
  <c r="E3" i="2"/>
  <c r="F3" i="2"/>
  <c r="G3" i="2"/>
  <c r="H3" i="2"/>
  <c r="I3" i="2"/>
  <c r="J3" i="2"/>
  <c r="K3" i="2"/>
  <c r="L3" i="2"/>
  <c r="C2" i="2"/>
  <c r="D2" i="2"/>
  <c r="E2" i="2"/>
  <c r="F2" i="2"/>
  <c r="G2" i="2"/>
  <c r="H2" i="2"/>
  <c r="I2" i="2"/>
  <c r="J2" i="2"/>
  <c r="K2" i="2"/>
  <c r="L2" i="2"/>
  <c r="B60" i="2"/>
  <c r="C60" i="2"/>
  <c r="D60" i="2"/>
  <c r="E60" i="2"/>
  <c r="F60" i="2"/>
  <c r="G60" i="2"/>
  <c r="H60" i="2"/>
  <c r="I60" i="2"/>
  <c r="J60" i="2"/>
  <c r="K60" i="2"/>
  <c r="L60" i="2"/>
  <c r="D9" i="2" l="1"/>
  <c r="E9" i="2"/>
  <c r="F9" i="2"/>
  <c r="G9" i="2"/>
  <c r="H9" i="2"/>
  <c r="I9" i="2"/>
  <c r="J9" i="2"/>
  <c r="K9" i="2"/>
  <c r="L9" i="2"/>
  <c r="C9" i="2"/>
  <c r="D156" i="11"/>
  <c r="E156" i="11"/>
  <c r="I156" i="11"/>
  <c r="L156" i="11"/>
  <c r="L155" i="11"/>
  <c r="K155" i="11"/>
  <c r="K156" i="11" s="1"/>
  <c r="J155" i="11"/>
  <c r="J156" i="11" s="1"/>
  <c r="I155" i="11"/>
  <c r="H155" i="11"/>
  <c r="H156" i="11" s="1"/>
  <c r="G155" i="11"/>
  <c r="G156" i="11" s="1"/>
  <c r="F155" i="11"/>
  <c r="F156" i="11" s="1"/>
  <c r="E155" i="11"/>
  <c r="D155" i="11"/>
  <c r="C155" i="11"/>
  <c r="C156" i="11" s="1"/>
  <c r="B155" i="11"/>
  <c r="B156" i="11" s="1"/>
  <c r="L57" i="2"/>
  <c r="K57" i="2"/>
  <c r="J57" i="2"/>
  <c r="I57" i="2"/>
  <c r="H57" i="2"/>
  <c r="G57" i="2"/>
  <c r="F57" i="2"/>
  <c r="E57" i="2"/>
  <c r="D57" i="2"/>
  <c r="C57" i="2"/>
  <c r="B57" i="2"/>
  <c r="D52" i="7" l="1"/>
  <c r="E52" i="7"/>
  <c r="F52" i="7"/>
  <c r="G52" i="7"/>
  <c r="H52" i="7"/>
  <c r="I52" i="7"/>
  <c r="J52" i="7"/>
  <c r="K52" i="7"/>
  <c r="L52" i="7"/>
  <c r="C52" i="7"/>
  <c r="B52" i="7"/>
  <c r="B17" i="11" l="1"/>
  <c r="C34" i="8" l="1"/>
  <c r="B131" i="8"/>
  <c r="B11" i="9"/>
  <c r="C131" i="8" l="1"/>
  <c r="D131" i="8" s="1"/>
  <c r="E131" i="8" s="1"/>
  <c r="F131" i="8" s="1"/>
  <c r="G131" i="8" s="1"/>
  <c r="H131" i="8" s="1"/>
  <c r="I131" i="8" s="1"/>
  <c r="J131" i="8" s="1"/>
  <c r="K131" i="8" s="1"/>
  <c r="L131" i="8" s="1"/>
  <c r="C63" i="7"/>
  <c r="D63" i="7"/>
  <c r="E63" i="7"/>
  <c r="F63" i="7"/>
  <c r="G63" i="7"/>
  <c r="H63" i="7"/>
  <c r="I63" i="7"/>
  <c r="J63" i="7"/>
  <c r="K63" i="7"/>
  <c r="L63" i="7"/>
  <c r="B63" i="7"/>
  <c r="B95" i="7" l="1"/>
  <c r="L82" i="11" l="1"/>
  <c r="C82" i="11"/>
  <c r="D82" i="11"/>
  <c r="E82" i="11"/>
  <c r="F82" i="11"/>
  <c r="G82" i="11"/>
  <c r="H82" i="11"/>
  <c r="I82" i="11"/>
  <c r="J82" i="11"/>
  <c r="K82" i="11"/>
  <c r="B81" i="8" l="1"/>
  <c r="B82" i="8"/>
  <c r="B56" i="8"/>
  <c r="B57" i="8"/>
  <c r="G34" i="11" l="1"/>
  <c r="B19" i="8" s="1"/>
  <c r="C19" i="8" l="1"/>
  <c r="C81" i="8"/>
  <c r="C82" i="8"/>
  <c r="C56" i="8"/>
  <c r="C57" i="8"/>
  <c r="C10" i="2"/>
  <c r="G38" i="11"/>
  <c r="B23" i="8" s="1"/>
  <c r="C23" i="8" s="1"/>
  <c r="D23" i="8" s="1"/>
  <c r="E23" i="8" s="1"/>
  <c r="F23" i="8" s="1"/>
  <c r="G23" i="8" s="1"/>
  <c r="H23" i="8" s="1"/>
  <c r="I23" i="8" s="1"/>
  <c r="J23" i="8" s="1"/>
  <c r="K23" i="8" s="1"/>
  <c r="L23" i="8" s="1"/>
  <c r="B51" i="11"/>
  <c r="D19" i="8" l="1"/>
  <c r="D82" i="8"/>
  <c r="D81" i="8"/>
  <c r="D56" i="8"/>
  <c r="D57" i="8"/>
  <c r="D10" i="2"/>
  <c r="G36" i="11"/>
  <c r="B21" i="8" s="1"/>
  <c r="C21" i="8" s="1"/>
  <c r="D21" i="8" s="1"/>
  <c r="E21" i="8" s="1"/>
  <c r="F21" i="8" s="1"/>
  <c r="G21" i="8" s="1"/>
  <c r="H21" i="8" s="1"/>
  <c r="I21" i="8" s="1"/>
  <c r="J21" i="8" s="1"/>
  <c r="K21" i="8" s="1"/>
  <c r="L21" i="8" s="1"/>
  <c r="G32" i="11"/>
  <c r="G31" i="11"/>
  <c r="G30" i="11"/>
  <c r="B15" i="8" s="1"/>
  <c r="C15" i="8" s="1"/>
  <c r="D15" i="8" s="1"/>
  <c r="E15" i="8" s="1"/>
  <c r="F15" i="8" s="1"/>
  <c r="G15" i="8" s="1"/>
  <c r="H15" i="8" s="1"/>
  <c r="I15" i="8" s="1"/>
  <c r="J15" i="8" s="1"/>
  <c r="K15" i="8" s="1"/>
  <c r="L15" i="8" s="1"/>
  <c r="G29" i="11"/>
  <c r="B14" i="8" s="1"/>
  <c r="C14" i="8" s="1"/>
  <c r="D14" i="8" s="1"/>
  <c r="E14" i="8" s="1"/>
  <c r="F14" i="8" s="1"/>
  <c r="G14" i="8" s="1"/>
  <c r="H14" i="8" s="1"/>
  <c r="I14" i="8" s="1"/>
  <c r="J14" i="8" s="1"/>
  <c r="K14" i="8" s="1"/>
  <c r="L14" i="8" s="1"/>
  <c r="G28" i="11"/>
  <c r="B13" i="8" s="1"/>
  <c r="C13" i="8" s="1"/>
  <c r="D13" i="8" s="1"/>
  <c r="E13" i="8" s="1"/>
  <c r="F13" i="8" s="1"/>
  <c r="G13" i="8" s="1"/>
  <c r="H13" i="8" s="1"/>
  <c r="I13" i="8" s="1"/>
  <c r="J13" i="8" s="1"/>
  <c r="K13" i="8" s="1"/>
  <c r="L13" i="8" s="1"/>
  <c r="G35" i="11"/>
  <c r="B20" i="8" s="1"/>
  <c r="C20" i="8" s="1"/>
  <c r="D20" i="8" s="1"/>
  <c r="E20" i="8" s="1"/>
  <c r="F20" i="8" s="1"/>
  <c r="G20" i="8" s="1"/>
  <c r="H20" i="8" s="1"/>
  <c r="I20" i="8" s="1"/>
  <c r="J20" i="8" s="1"/>
  <c r="K20" i="8" s="1"/>
  <c r="L20" i="8" s="1"/>
  <c r="B48" i="11"/>
  <c r="B2" i="8"/>
  <c r="B48" i="10" l="1"/>
  <c r="B49" i="10" s="1"/>
  <c r="B50" i="10" s="1"/>
  <c r="B51" i="10" s="1"/>
  <c r="B52" i="10" s="1"/>
  <c r="B53" i="10" s="1"/>
  <c r="B54" i="10" s="1"/>
  <c r="B55" i="10" s="1"/>
  <c r="B56" i="10" s="1"/>
  <c r="B57" i="10" s="1"/>
  <c r="B58" i="10" s="1"/>
  <c r="B16" i="8"/>
  <c r="C16" i="8" s="1"/>
  <c r="D16" i="8" s="1"/>
  <c r="E16" i="8" s="1"/>
  <c r="F16" i="8" s="1"/>
  <c r="G16" i="8" s="1"/>
  <c r="H16" i="8" s="1"/>
  <c r="I16" i="8" s="1"/>
  <c r="J16" i="8" s="1"/>
  <c r="K16" i="8" s="1"/>
  <c r="L16" i="8" s="1"/>
  <c r="C48" i="10"/>
  <c r="C49" i="10" s="1"/>
  <c r="C50" i="10" s="1"/>
  <c r="C51" i="10" s="1"/>
  <c r="C52" i="10" s="1"/>
  <c r="C53" i="10" s="1"/>
  <c r="C54" i="10" s="1"/>
  <c r="C55" i="10" s="1"/>
  <c r="C56" i="10" s="1"/>
  <c r="C57" i="10" s="1"/>
  <c r="C58" i="10" s="1"/>
  <c r="B17" i="8"/>
  <c r="C17" i="8" s="1"/>
  <c r="D17" i="8" s="1"/>
  <c r="E17" i="8" s="1"/>
  <c r="F17" i="8" s="1"/>
  <c r="G17" i="8" s="1"/>
  <c r="H17" i="8" s="1"/>
  <c r="I17" i="8" s="1"/>
  <c r="J17" i="8" s="1"/>
  <c r="K17" i="8" s="1"/>
  <c r="L17" i="8" s="1"/>
  <c r="E19" i="8"/>
  <c r="E50" i="8" s="1"/>
  <c r="B125" i="8"/>
  <c r="L125" i="8"/>
  <c r="K125" i="8"/>
  <c r="F125" i="8"/>
  <c r="H125" i="8"/>
  <c r="G125" i="8"/>
  <c r="D125" i="8"/>
  <c r="E125" i="8"/>
  <c r="C125" i="8"/>
  <c r="I125" i="8"/>
  <c r="J125" i="8"/>
  <c r="E82" i="8"/>
  <c r="E79" i="8"/>
  <c r="E81" i="8"/>
  <c r="E57" i="8"/>
  <c r="E56" i="8"/>
  <c r="E54" i="8"/>
  <c r="E10" i="2"/>
  <c r="C115" i="8"/>
  <c r="G115" i="8"/>
  <c r="K115" i="8"/>
  <c r="E116" i="8"/>
  <c r="I116" i="8"/>
  <c r="C117" i="8"/>
  <c r="G117" i="8"/>
  <c r="K117" i="8"/>
  <c r="B115" i="8"/>
  <c r="D115" i="8"/>
  <c r="H115" i="8"/>
  <c r="L115" i="8"/>
  <c r="F116" i="8"/>
  <c r="J116" i="8"/>
  <c r="D117" i="8"/>
  <c r="H117" i="8"/>
  <c r="L117" i="8"/>
  <c r="E115" i="8"/>
  <c r="I115" i="8"/>
  <c r="C116" i="8"/>
  <c r="G116" i="8"/>
  <c r="K116" i="8"/>
  <c r="E117" i="8"/>
  <c r="I117" i="8"/>
  <c r="B116" i="8"/>
  <c r="F115" i="8"/>
  <c r="J115" i="8"/>
  <c r="D116" i="8"/>
  <c r="H116" i="8"/>
  <c r="L116" i="8"/>
  <c r="F117" i="8"/>
  <c r="J117" i="8"/>
  <c r="B117" i="8"/>
  <c r="B128" i="8"/>
  <c r="C128" i="8" s="1"/>
  <c r="D128" i="8" s="1"/>
  <c r="E128" i="8" s="1"/>
  <c r="F128" i="8" s="1"/>
  <c r="G128" i="8" s="1"/>
  <c r="H128" i="8" s="1"/>
  <c r="I128" i="8" s="1"/>
  <c r="J128" i="8" s="1"/>
  <c r="K128" i="8" s="1"/>
  <c r="L128" i="8" s="1"/>
  <c r="B129" i="8"/>
  <c r="C129" i="8" s="1"/>
  <c r="D129" i="8" s="1"/>
  <c r="E129" i="8" s="1"/>
  <c r="F129" i="8" s="1"/>
  <c r="G129" i="8" s="1"/>
  <c r="H129" i="8" s="1"/>
  <c r="I129" i="8" s="1"/>
  <c r="J129" i="8" s="1"/>
  <c r="K129" i="8" s="1"/>
  <c r="L129" i="8" s="1"/>
  <c r="B127" i="8"/>
  <c r="C127" i="8" s="1"/>
  <c r="D127" i="8" s="1"/>
  <c r="E127" i="8" s="1"/>
  <c r="F127" i="8" s="1"/>
  <c r="G127" i="8" s="1"/>
  <c r="H127" i="8" s="1"/>
  <c r="I127" i="8" s="1"/>
  <c r="J127" i="8" s="1"/>
  <c r="K127" i="8" s="1"/>
  <c r="L127" i="8" s="1"/>
  <c r="B126" i="8"/>
  <c r="C126" i="8" s="1"/>
  <c r="D126" i="8" s="1"/>
  <c r="E126" i="8" s="1"/>
  <c r="F126" i="8" s="1"/>
  <c r="G126" i="8" s="1"/>
  <c r="H126" i="8" s="1"/>
  <c r="I126" i="8" s="1"/>
  <c r="J126" i="8" s="1"/>
  <c r="K126" i="8" s="1"/>
  <c r="L126" i="8" s="1"/>
  <c r="B121" i="8"/>
  <c r="B124" i="8"/>
  <c r="B120" i="8"/>
  <c r="B123" i="8"/>
  <c r="B119" i="8"/>
  <c r="B122" i="8"/>
  <c r="B66" i="7"/>
  <c r="D23" i="9"/>
  <c r="D27" i="9" s="1"/>
  <c r="E23" i="9"/>
  <c r="E27" i="9" s="1"/>
  <c r="B23" i="9"/>
  <c r="B27" i="9" s="1"/>
  <c r="C23" i="9"/>
  <c r="A1" i="15"/>
  <c r="F19" i="8" l="1"/>
  <c r="B47" i="8"/>
  <c r="B72" i="8"/>
  <c r="B74" i="8"/>
  <c r="B49" i="8"/>
  <c r="B78" i="8"/>
  <c r="B53" i="8"/>
  <c r="B76" i="8"/>
  <c r="B51" i="8"/>
  <c r="D79" i="8"/>
  <c r="D54" i="8"/>
  <c r="B54" i="8"/>
  <c r="B79" i="8"/>
  <c r="B48" i="8"/>
  <c r="B73" i="8"/>
  <c r="B69" i="8"/>
  <c r="B44" i="8"/>
  <c r="B46" i="8"/>
  <c r="B71" i="8"/>
  <c r="B70" i="8"/>
  <c r="B45" i="8"/>
  <c r="B52" i="8"/>
  <c r="B77" i="8"/>
  <c r="B50" i="8"/>
  <c r="B75" i="8"/>
  <c r="C54" i="8"/>
  <c r="C79" i="8"/>
  <c r="F79" i="8"/>
  <c r="F82" i="8"/>
  <c r="F75" i="8"/>
  <c r="F81" i="8"/>
  <c r="C50" i="8"/>
  <c r="C75" i="8"/>
  <c r="E75" i="8"/>
  <c r="D50" i="8"/>
  <c r="D75" i="8"/>
  <c r="F56" i="8"/>
  <c r="F57" i="8"/>
  <c r="F54" i="8"/>
  <c r="F50" i="8"/>
  <c r="F10" i="2"/>
  <c r="F23" i="9"/>
  <c r="F27" i="9" s="1"/>
  <c r="C121" i="8"/>
  <c r="D121" i="8" s="1"/>
  <c r="E121" i="8" s="1"/>
  <c r="F121" i="8" s="1"/>
  <c r="G121" i="8" s="1"/>
  <c r="H121" i="8" s="1"/>
  <c r="I121" i="8" s="1"/>
  <c r="J121" i="8" s="1"/>
  <c r="K121" i="8" s="1"/>
  <c r="L121" i="8" s="1"/>
  <c r="C122" i="8"/>
  <c r="D122" i="8" s="1"/>
  <c r="E122" i="8" s="1"/>
  <c r="F122" i="8" s="1"/>
  <c r="G122" i="8" s="1"/>
  <c r="H122" i="8" s="1"/>
  <c r="I122" i="8" s="1"/>
  <c r="J122" i="8" s="1"/>
  <c r="K122" i="8" s="1"/>
  <c r="L122" i="8" s="1"/>
  <c r="C119" i="8"/>
  <c r="C120" i="8"/>
  <c r="D120" i="8" s="1"/>
  <c r="E120" i="8" s="1"/>
  <c r="F120" i="8" s="1"/>
  <c r="G120" i="8" s="1"/>
  <c r="H120" i="8" s="1"/>
  <c r="I120" i="8" s="1"/>
  <c r="J120" i="8" s="1"/>
  <c r="K120" i="8" s="1"/>
  <c r="L120" i="8" s="1"/>
  <c r="C11" i="9"/>
  <c r="D11" i="9" s="1"/>
  <c r="E11" i="9" s="1"/>
  <c r="F11" i="9" s="1"/>
  <c r="C27" i="9"/>
  <c r="P1" i="14" a="1"/>
  <c r="P1" i="14" s="1"/>
  <c r="F1" i="27" s="1"/>
  <c r="F2" i="27" s="1"/>
  <c r="B25" i="2"/>
  <c r="B26" i="2"/>
  <c r="B27" i="2"/>
  <c r="C27" i="2" s="1"/>
  <c r="D27" i="2" s="1"/>
  <c r="E27" i="2" s="1"/>
  <c r="F27" i="2" s="1"/>
  <c r="G27" i="2" s="1"/>
  <c r="H27" i="2" s="1"/>
  <c r="I27" i="2" s="1"/>
  <c r="J27" i="2" s="1"/>
  <c r="K27" i="2" s="1"/>
  <c r="L27" i="2" s="1"/>
  <c r="B28" i="2"/>
  <c r="C28" i="2" s="1"/>
  <c r="D28" i="2" s="1"/>
  <c r="E28" i="2" s="1"/>
  <c r="F28" i="2" s="1"/>
  <c r="G28" i="2" s="1"/>
  <c r="H28" i="2" s="1"/>
  <c r="I28" i="2" s="1"/>
  <c r="J28" i="2" s="1"/>
  <c r="K28" i="2" s="1"/>
  <c r="L28" i="2" s="1"/>
  <c r="B29" i="2"/>
  <c r="B30" i="2"/>
  <c r="B31" i="2"/>
  <c r="C31" i="2" s="1"/>
  <c r="D31" i="2" s="1"/>
  <c r="E31" i="2" s="1"/>
  <c r="F31" i="2" s="1"/>
  <c r="G31" i="2" s="1"/>
  <c r="H31" i="2" s="1"/>
  <c r="I31" i="2" s="1"/>
  <c r="J31" i="2" s="1"/>
  <c r="K31" i="2" s="1"/>
  <c r="L31" i="2" s="1"/>
  <c r="B32" i="2"/>
  <c r="B24" i="2"/>
  <c r="D64" i="2"/>
  <c r="D66" i="7" s="1"/>
  <c r="E64" i="2"/>
  <c r="E66" i="7" s="1"/>
  <c r="F64" i="2"/>
  <c r="F66" i="7" s="1"/>
  <c r="C64" i="2"/>
  <c r="C66" i="7" s="1"/>
  <c r="C93" i="11"/>
  <c r="D93" i="11"/>
  <c r="E93" i="11"/>
  <c r="F93" i="11"/>
  <c r="B93" i="11"/>
  <c r="C51" i="7"/>
  <c r="D51" i="7"/>
  <c r="E51" i="7"/>
  <c r="F51" i="7"/>
  <c r="B51" i="7"/>
  <c r="B24" i="7" l="1"/>
  <c r="C30" i="2"/>
  <c r="D30" i="2" s="1"/>
  <c r="E30" i="2" s="1"/>
  <c r="F30" i="2" s="1"/>
  <c r="G30" i="2" s="1"/>
  <c r="H30" i="2" s="1"/>
  <c r="I30" i="2" s="1"/>
  <c r="J30" i="2" s="1"/>
  <c r="K30" i="2" s="1"/>
  <c r="L30" i="2" s="1"/>
  <c r="B71" i="7"/>
  <c r="C26" i="2"/>
  <c r="D26" i="2" s="1"/>
  <c r="E26" i="2" s="1"/>
  <c r="F26" i="2" s="1"/>
  <c r="G26" i="2" s="1"/>
  <c r="H26" i="2" s="1"/>
  <c r="I26" i="2" s="1"/>
  <c r="J26" i="2" s="1"/>
  <c r="K26" i="2" s="1"/>
  <c r="L26" i="2" s="1"/>
  <c r="B69" i="7"/>
  <c r="C24" i="2"/>
  <c r="B70" i="7"/>
  <c r="C25" i="2"/>
  <c r="D25" i="2" s="1"/>
  <c r="E25" i="2" s="1"/>
  <c r="F25" i="2" s="1"/>
  <c r="G25" i="2" s="1"/>
  <c r="H25" i="2" s="1"/>
  <c r="I25" i="2" s="1"/>
  <c r="J25" i="2" s="1"/>
  <c r="K25" i="2" s="1"/>
  <c r="L25" i="2" s="1"/>
  <c r="B74" i="7"/>
  <c r="C29" i="2"/>
  <c r="D29" i="2" s="1"/>
  <c r="E29" i="2" s="1"/>
  <c r="F29" i="2" s="1"/>
  <c r="G29" i="2" s="1"/>
  <c r="H29" i="2" s="1"/>
  <c r="I29" i="2" s="1"/>
  <c r="J29" i="2" s="1"/>
  <c r="K29" i="2" s="1"/>
  <c r="L29" i="2" s="1"/>
  <c r="B60" i="7"/>
  <c r="C32" i="2"/>
  <c r="D32" i="2" s="1"/>
  <c r="E32" i="2" s="1"/>
  <c r="F32" i="2"/>
  <c r="G19" i="8"/>
  <c r="B59" i="7"/>
  <c r="A113" i="26"/>
  <c r="A111" i="26"/>
  <c r="A109" i="26"/>
  <c r="B83" i="7"/>
  <c r="B78" i="7"/>
  <c r="B26" i="7"/>
  <c r="C25" i="7"/>
  <c r="B25" i="7"/>
  <c r="A2" i="15"/>
  <c r="O1" i="6"/>
  <c r="O1" i="26"/>
  <c r="A97" i="26" s="1"/>
  <c r="O1" i="2"/>
  <c r="C10" i="15"/>
  <c r="C11" i="15"/>
  <c r="C13" i="15"/>
  <c r="C8" i="15"/>
  <c r="C12" i="15"/>
  <c r="C9" i="15"/>
  <c r="E2" i="1"/>
  <c r="G75" i="8"/>
  <c r="G79" i="8"/>
  <c r="G81" i="8"/>
  <c r="G82" i="8"/>
  <c r="C45" i="8"/>
  <c r="C70" i="8"/>
  <c r="C46" i="8"/>
  <c r="C71" i="8"/>
  <c r="C51" i="8"/>
  <c r="C76" i="8"/>
  <c r="C47" i="8"/>
  <c r="C72" i="8"/>
  <c r="C44" i="8"/>
  <c r="C69" i="8"/>
  <c r="C52" i="8"/>
  <c r="C77" i="8"/>
  <c r="C53" i="8"/>
  <c r="C78" i="8"/>
  <c r="G57" i="8"/>
  <c r="G56" i="8"/>
  <c r="G54" i="8"/>
  <c r="G50" i="8"/>
  <c r="G10" i="2"/>
  <c r="G32" i="2" s="1"/>
  <c r="G23" i="9"/>
  <c r="G27" i="9" s="1"/>
  <c r="G11" i="9"/>
  <c r="G64" i="2"/>
  <c r="G66" i="7" s="1"/>
  <c r="G51" i="7"/>
  <c r="C123" i="8"/>
  <c r="D123" i="8" s="1"/>
  <c r="E123" i="8" s="1"/>
  <c r="F123" i="8" s="1"/>
  <c r="G123" i="8" s="1"/>
  <c r="H123" i="8" s="1"/>
  <c r="I123" i="8" s="1"/>
  <c r="J123" i="8" s="1"/>
  <c r="K123" i="8" s="1"/>
  <c r="L123" i="8" s="1"/>
  <c r="D119" i="8"/>
  <c r="G93" i="11"/>
  <c r="B37" i="2"/>
  <c r="B48" i="2" s="1"/>
  <c r="B35" i="2"/>
  <c r="B46" i="2" s="1"/>
  <c r="B40" i="2"/>
  <c r="B51" i="2" s="1"/>
  <c r="B36" i="2"/>
  <c r="B47" i="2" s="1"/>
  <c r="B39" i="2"/>
  <c r="N1" i="9"/>
  <c r="B42" i="2"/>
  <c r="B53" i="2" s="1"/>
  <c r="B38" i="2"/>
  <c r="B43" i="2"/>
  <c r="B41" i="2"/>
  <c r="B52" i="2" s="1"/>
  <c r="C90" i="11"/>
  <c r="D90" i="11"/>
  <c r="E90" i="11"/>
  <c r="F90" i="11"/>
  <c r="C91" i="11"/>
  <c r="D91" i="11"/>
  <c r="E91" i="11"/>
  <c r="F91" i="11"/>
  <c r="C92" i="11"/>
  <c r="D92" i="11"/>
  <c r="E92" i="11"/>
  <c r="F92" i="11"/>
  <c r="B91" i="11"/>
  <c r="B92" i="11"/>
  <c r="B90" i="11"/>
  <c r="D24" i="2" l="1"/>
  <c r="H19" i="8"/>
  <c r="H75" i="8" s="1"/>
  <c r="C43" i="2"/>
  <c r="C60" i="7"/>
  <c r="C26" i="7"/>
  <c r="D42" i="2"/>
  <c r="D53" i="2" s="1"/>
  <c r="C42" i="2"/>
  <c r="C53" i="2" s="1"/>
  <c r="B84" i="7"/>
  <c r="B79" i="7"/>
  <c r="C51" i="26"/>
  <c r="C79" i="7"/>
  <c r="C84" i="7"/>
  <c r="H79" i="8"/>
  <c r="H81" i="8"/>
  <c r="H82" i="8"/>
  <c r="D46" i="8"/>
  <c r="D71" i="8"/>
  <c r="D51" i="8"/>
  <c r="D76" i="8"/>
  <c r="C48" i="8"/>
  <c r="C73" i="8"/>
  <c r="D52" i="8"/>
  <c r="D77" i="8"/>
  <c r="D44" i="8"/>
  <c r="D69" i="8"/>
  <c r="E52" i="8"/>
  <c r="E77" i="8"/>
  <c r="D53" i="8"/>
  <c r="D78" i="8"/>
  <c r="D47" i="8"/>
  <c r="D72" i="8"/>
  <c r="D45" i="8"/>
  <c r="D70" i="8"/>
  <c r="H56" i="8"/>
  <c r="H57" i="8"/>
  <c r="H54" i="8"/>
  <c r="H50" i="8"/>
  <c r="H10" i="2"/>
  <c r="H32" i="2" s="1"/>
  <c r="H23" i="9"/>
  <c r="H27" i="9" s="1"/>
  <c r="H11" i="9"/>
  <c r="H51" i="7"/>
  <c r="H64" i="2"/>
  <c r="H66" i="7" s="1"/>
  <c r="C124" i="8"/>
  <c r="D124" i="8" s="1"/>
  <c r="E124" i="8" s="1"/>
  <c r="F124" i="8" s="1"/>
  <c r="G124" i="8" s="1"/>
  <c r="H124" i="8" s="1"/>
  <c r="I124" i="8" s="1"/>
  <c r="J124" i="8" s="1"/>
  <c r="K124" i="8" s="1"/>
  <c r="L124" i="8" s="1"/>
  <c r="O1" i="5"/>
  <c r="O1" i="7"/>
  <c r="B1" i="8"/>
  <c r="E119" i="8"/>
  <c r="G91" i="11"/>
  <c r="G90" i="11"/>
  <c r="G92" i="11"/>
  <c r="E24" i="2" l="1"/>
  <c r="I19" i="8"/>
  <c r="E25" i="7"/>
  <c r="D43" i="2"/>
  <c r="D60" i="7"/>
  <c r="D25" i="7"/>
  <c r="D84" i="7" s="1"/>
  <c r="E26" i="7"/>
  <c r="D26" i="7"/>
  <c r="K16" i="7"/>
  <c r="E16" i="7"/>
  <c r="D16" i="7"/>
  <c r="I16" i="7"/>
  <c r="H16" i="7"/>
  <c r="B16" i="7"/>
  <c r="C16" i="7"/>
  <c r="G16" i="7"/>
  <c r="J16" i="7"/>
  <c r="L16" i="7"/>
  <c r="F16" i="7"/>
  <c r="I82" i="8"/>
  <c r="I75" i="8"/>
  <c r="I79" i="8"/>
  <c r="I81" i="8"/>
  <c r="E51" i="8"/>
  <c r="E76" i="8"/>
  <c r="D48" i="8"/>
  <c r="D73" i="8"/>
  <c r="F52" i="8"/>
  <c r="F77" i="8"/>
  <c r="C49" i="8"/>
  <c r="C74" i="8"/>
  <c r="E45" i="8"/>
  <c r="E70" i="8"/>
  <c r="E47" i="8"/>
  <c r="E72" i="8"/>
  <c r="E53" i="8"/>
  <c r="E78" i="8"/>
  <c r="E46" i="8"/>
  <c r="E71" i="8"/>
  <c r="E44" i="8"/>
  <c r="E69" i="8"/>
  <c r="I56" i="8"/>
  <c r="I57" i="8"/>
  <c r="I54" i="8"/>
  <c r="I50" i="8"/>
  <c r="I10" i="2"/>
  <c r="I32" i="2" s="1"/>
  <c r="I23" i="9"/>
  <c r="I27" i="9" s="1"/>
  <c r="I11" i="9"/>
  <c r="I64" i="2"/>
  <c r="I66" i="7" s="1"/>
  <c r="I51" i="7"/>
  <c r="F119" i="8"/>
  <c r="F24" i="2" l="1"/>
  <c r="J19" i="8"/>
  <c r="E42" i="2"/>
  <c r="E53" i="2" s="1"/>
  <c r="D79" i="7"/>
  <c r="E43" i="2"/>
  <c r="E60" i="7"/>
  <c r="B20" i="7"/>
  <c r="C20" i="7" s="1"/>
  <c r="C76" i="7" s="1"/>
  <c r="E84" i="7"/>
  <c r="E79" i="7"/>
  <c r="B22" i="7"/>
  <c r="B19" i="7"/>
  <c r="B21" i="7"/>
  <c r="C21" i="7" s="1"/>
  <c r="C77" i="7" s="1"/>
  <c r="J75" i="8"/>
  <c r="J82" i="8"/>
  <c r="J79" i="8"/>
  <c r="J81" i="8"/>
  <c r="F47" i="8"/>
  <c r="F72" i="8"/>
  <c r="D49" i="8"/>
  <c r="D74" i="8"/>
  <c r="F46" i="8"/>
  <c r="F71" i="8"/>
  <c r="F51" i="8"/>
  <c r="F76" i="8"/>
  <c r="F53" i="8"/>
  <c r="F78" i="8"/>
  <c r="E48" i="8"/>
  <c r="E73" i="8"/>
  <c r="G52" i="8"/>
  <c r="G77" i="8"/>
  <c r="F44" i="8"/>
  <c r="F69" i="8"/>
  <c r="F45" i="8"/>
  <c r="F70" i="8"/>
  <c r="J57" i="8"/>
  <c r="J56" i="8"/>
  <c r="J54" i="8"/>
  <c r="J50" i="8"/>
  <c r="J10" i="2"/>
  <c r="J32" i="2" s="1"/>
  <c r="J23" i="9"/>
  <c r="J27" i="9" s="1"/>
  <c r="J11" i="9"/>
  <c r="J64" i="2"/>
  <c r="J66" i="7" s="1"/>
  <c r="J51" i="7"/>
  <c r="G119" i="8"/>
  <c r="F34" i="8"/>
  <c r="B117" i="11"/>
  <c r="B93" i="8"/>
  <c r="C163" i="9"/>
  <c r="C165" i="9" s="1"/>
  <c r="D163" i="9"/>
  <c r="E163" i="9"/>
  <c r="F163" i="9"/>
  <c r="G163" i="9"/>
  <c r="H163" i="9"/>
  <c r="I163" i="9"/>
  <c r="J163" i="9"/>
  <c r="B163" i="9"/>
  <c r="B165" i="9" s="1"/>
  <c r="B111" i="11"/>
  <c r="B24" i="8" s="1"/>
  <c r="C24" i="8" s="1"/>
  <c r="D24" i="8" s="1"/>
  <c r="E24" i="8" s="1"/>
  <c r="F24" i="8" s="1"/>
  <c r="G24" i="8" s="1"/>
  <c r="H24" i="8" s="1"/>
  <c r="I24" i="8" s="1"/>
  <c r="J24" i="8" s="1"/>
  <c r="K24" i="8" s="1"/>
  <c r="L24" i="8" s="1"/>
  <c r="C19" i="7" l="1"/>
  <c r="B29" i="8"/>
  <c r="G24" i="2"/>
  <c r="K19" i="8"/>
  <c r="F25" i="7"/>
  <c r="F79" i="7" s="1"/>
  <c r="F42" i="2"/>
  <c r="F53" i="2" s="1"/>
  <c r="G60" i="7"/>
  <c r="F60" i="7"/>
  <c r="F26" i="7"/>
  <c r="C22" i="7"/>
  <c r="D22" i="7" s="1"/>
  <c r="E22" i="7" s="1"/>
  <c r="F22" i="7" s="1"/>
  <c r="G22" i="7" s="1"/>
  <c r="H22" i="7" s="1"/>
  <c r="I22" i="7" s="1"/>
  <c r="J22" i="7" s="1"/>
  <c r="K22" i="7" s="1"/>
  <c r="L22" i="7" s="1"/>
  <c r="F43" i="2"/>
  <c r="G42" i="2"/>
  <c r="G53" i="2" s="1"/>
  <c r="G25" i="7"/>
  <c r="G26" i="7"/>
  <c r="C80" i="8"/>
  <c r="B80" i="8"/>
  <c r="B55" i="8"/>
  <c r="K75" i="8"/>
  <c r="K79" i="8"/>
  <c r="K81" i="8"/>
  <c r="K82" i="8"/>
  <c r="G44" i="8"/>
  <c r="G69" i="8"/>
  <c r="H51" i="8"/>
  <c r="H76" i="8"/>
  <c r="G47" i="8"/>
  <c r="G72" i="8"/>
  <c r="G46" i="8"/>
  <c r="G71" i="8"/>
  <c r="G45" i="8"/>
  <c r="G70" i="8"/>
  <c r="F48" i="8"/>
  <c r="F73" i="8"/>
  <c r="E49" i="8"/>
  <c r="E74" i="8"/>
  <c r="H52" i="8"/>
  <c r="H77" i="8"/>
  <c r="G53" i="8"/>
  <c r="G78" i="8"/>
  <c r="G51" i="8"/>
  <c r="G76" i="8"/>
  <c r="K57" i="8"/>
  <c r="K56" i="8"/>
  <c r="K54" i="8"/>
  <c r="K50" i="8"/>
  <c r="H71" i="8"/>
  <c r="H70" i="8"/>
  <c r="H69" i="8"/>
  <c r="K10" i="2"/>
  <c r="K32" i="2" s="1"/>
  <c r="K23" i="9"/>
  <c r="K27" i="9" s="1"/>
  <c r="K11" i="9"/>
  <c r="K16" i="9" s="1"/>
  <c r="K64" i="2"/>
  <c r="K66" i="7" s="1"/>
  <c r="K51" i="7"/>
  <c r="K163" i="9"/>
  <c r="D19" i="7"/>
  <c r="D20" i="7"/>
  <c r="D21" i="7"/>
  <c r="H119" i="8"/>
  <c r="B34" i="8"/>
  <c r="I34" i="8"/>
  <c r="E34" i="8"/>
  <c r="L34" i="8"/>
  <c r="L141" i="8" s="1"/>
  <c r="H34" i="8"/>
  <c r="D34" i="8"/>
  <c r="K34" i="8"/>
  <c r="K90" i="8" s="1"/>
  <c r="G34" i="8"/>
  <c r="C90" i="8"/>
  <c r="B130" i="8"/>
  <c r="J34" i="8"/>
  <c r="J90" i="8" s="1"/>
  <c r="F90" i="8"/>
  <c r="F141" i="8"/>
  <c r="C72" i="7"/>
  <c r="C73" i="7"/>
  <c r="B48" i="7"/>
  <c r="B36" i="7"/>
  <c r="C36" i="7" s="1"/>
  <c r="B29" i="7"/>
  <c r="B30" i="7"/>
  <c r="B31" i="7"/>
  <c r="C31" i="7" s="1"/>
  <c r="D31" i="7" s="1"/>
  <c r="E31" i="7" s="1"/>
  <c r="F31" i="7" s="1"/>
  <c r="G31" i="7" s="1"/>
  <c r="H31" i="7" s="1"/>
  <c r="I31" i="7" s="1"/>
  <c r="J31" i="7" s="1"/>
  <c r="K31" i="7" s="1"/>
  <c r="L31" i="7" s="1"/>
  <c r="B32" i="7"/>
  <c r="C32" i="7" s="1"/>
  <c r="D32" i="7" s="1"/>
  <c r="E32" i="7" s="1"/>
  <c r="F32" i="7" s="1"/>
  <c r="G32" i="7" s="1"/>
  <c r="H32" i="7" s="1"/>
  <c r="I32" i="7" s="1"/>
  <c r="J32" i="7" s="1"/>
  <c r="K32" i="7" s="1"/>
  <c r="L32" i="7" s="1"/>
  <c r="B76" i="7"/>
  <c r="B77" i="7"/>
  <c r="B85" i="7"/>
  <c r="B75" i="7"/>
  <c r="B26" i="9"/>
  <c r="B14" i="9"/>
  <c r="B15" i="9"/>
  <c r="B28" i="9"/>
  <c r="B16" i="9"/>
  <c r="B29" i="9"/>
  <c r="B17" i="9"/>
  <c r="B30" i="9"/>
  <c r="B18" i="9"/>
  <c r="B31" i="9"/>
  <c r="B19" i="9"/>
  <c r="B32" i="9"/>
  <c r="B41" i="9" s="1"/>
  <c r="C14" i="9"/>
  <c r="D14" i="9"/>
  <c r="E14" i="9"/>
  <c r="F14" i="9"/>
  <c r="G14" i="9"/>
  <c r="H14" i="9"/>
  <c r="I14" i="9"/>
  <c r="J14" i="9"/>
  <c r="C15" i="9"/>
  <c r="C36" i="9" s="1"/>
  <c r="D15" i="9"/>
  <c r="D36" i="9" s="1"/>
  <c r="E15" i="9"/>
  <c r="E36" i="9" s="1"/>
  <c r="F15" i="9"/>
  <c r="F36" i="9" s="1"/>
  <c r="G15" i="9"/>
  <c r="G36" i="9" s="1"/>
  <c r="H15" i="9"/>
  <c r="H36" i="9" s="1"/>
  <c r="I15" i="9"/>
  <c r="I36" i="9" s="1"/>
  <c r="J15" i="9"/>
  <c r="J36" i="9" s="1"/>
  <c r="C16" i="9"/>
  <c r="D16" i="9"/>
  <c r="E16" i="9"/>
  <c r="F16" i="9"/>
  <c r="G16" i="9"/>
  <c r="H16" i="9"/>
  <c r="I16" i="9"/>
  <c r="J16" i="9"/>
  <c r="C17" i="9"/>
  <c r="D17" i="9"/>
  <c r="E17" i="9"/>
  <c r="F17" i="9"/>
  <c r="G17" i="9"/>
  <c r="H17" i="9"/>
  <c r="I17" i="9"/>
  <c r="J17" i="9"/>
  <c r="C18" i="9"/>
  <c r="D18" i="9"/>
  <c r="E18" i="9"/>
  <c r="F18" i="9"/>
  <c r="G18" i="9"/>
  <c r="H18" i="9"/>
  <c r="I18" i="9"/>
  <c r="J18" i="9"/>
  <c r="C19" i="9"/>
  <c r="D19" i="9"/>
  <c r="E19" i="9"/>
  <c r="F19" i="9"/>
  <c r="G19" i="9"/>
  <c r="H19" i="9"/>
  <c r="I19" i="9"/>
  <c r="J19" i="9"/>
  <c r="C26" i="9"/>
  <c r="D26" i="9"/>
  <c r="E26" i="9"/>
  <c r="F26" i="9"/>
  <c r="G26" i="9"/>
  <c r="H26" i="9"/>
  <c r="I26" i="9"/>
  <c r="J26" i="9"/>
  <c r="K26" i="9"/>
  <c r="L26" i="9"/>
  <c r="C28" i="9"/>
  <c r="D28" i="9"/>
  <c r="E28" i="9"/>
  <c r="F28" i="9"/>
  <c r="G28" i="9"/>
  <c r="H28" i="9"/>
  <c r="I28" i="9"/>
  <c r="J28" i="9"/>
  <c r="K28" i="9"/>
  <c r="L28" i="9"/>
  <c r="C29" i="9"/>
  <c r="D29" i="9"/>
  <c r="E29" i="9"/>
  <c r="F29" i="9"/>
  <c r="G29" i="9"/>
  <c r="H29" i="9"/>
  <c r="I29" i="9"/>
  <c r="J29" i="9"/>
  <c r="K29" i="9"/>
  <c r="L29" i="9"/>
  <c r="C30" i="9"/>
  <c r="D30" i="9"/>
  <c r="E30" i="9"/>
  <c r="F30" i="9"/>
  <c r="G30" i="9"/>
  <c r="H30" i="9"/>
  <c r="I30" i="9"/>
  <c r="J30" i="9"/>
  <c r="K30" i="9"/>
  <c r="L30" i="9"/>
  <c r="C31" i="9"/>
  <c r="D31" i="9"/>
  <c r="E31" i="9"/>
  <c r="F31" i="9"/>
  <c r="G31" i="9"/>
  <c r="H31" i="9"/>
  <c r="I31" i="9"/>
  <c r="J31" i="9"/>
  <c r="K31" i="9"/>
  <c r="L31" i="9"/>
  <c r="C32" i="9"/>
  <c r="C41" i="9" s="1"/>
  <c r="D32" i="9"/>
  <c r="D41" i="9" s="1"/>
  <c r="E32" i="9"/>
  <c r="E41" i="9" s="1"/>
  <c r="F32" i="9"/>
  <c r="F41" i="9" s="1"/>
  <c r="G32" i="9"/>
  <c r="G41" i="9" s="1"/>
  <c r="H32" i="9"/>
  <c r="H41" i="9" s="1"/>
  <c r="I32" i="9"/>
  <c r="I41" i="9" s="1"/>
  <c r="J32" i="9"/>
  <c r="J41" i="9" s="1"/>
  <c r="K32" i="9"/>
  <c r="K41" i="9" s="1"/>
  <c r="L32" i="9"/>
  <c r="L41" i="9" s="1"/>
  <c r="C98" i="8"/>
  <c r="D98" i="8"/>
  <c r="E98" i="8"/>
  <c r="E93" i="8" s="1"/>
  <c r="F98" i="8"/>
  <c r="G98" i="8"/>
  <c r="H98" i="8"/>
  <c r="I98" i="8"/>
  <c r="I93" i="8" s="1"/>
  <c r="J98" i="8"/>
  <c r="K98" i="8"/>
  <c r="L98" i="8"/>
  <c r="C10" i="5"/>
  <c r="D10" i="5"/>
  <c r="E10" i="5"/>
  <c r="F10" i="5"/>
  <c r="G10" i="5"/>
  <c r="H10" i="5"/>
  <c r="I10" i="5"/>
  <c r="J10" i="5"/>
  <c r="K10" i="5"/>
  <c r="L10" i="5"/>
  <c r="B82" i="11"/>
  <c r="B58" i="8" s="1"/>
  <c r="B10" i="5"/>
  <c r="H24" i="2" l="1"/>
  <c r="C58" i="8"/>
  <c r="C75" i="7"/>
  <c r="C29" i="8"/>
  <c r="D29" i="8"/>
  <c r="E90" i="8"/>
  <c r="G141" i="8"/>
  <c r="D141" i="8"/>
  <c r="I90" i="8"/>
  <c r="H90" i="8"/>
  <c r="B141" i="8"/>
  <c r="L19" i="8"/>
  <c r="G43" i="2"/>
  <c r="H60" i="7"/>
  <c r="F84" i="7"/>
  <c r="C59" i="7"/>
  <c r="C30" i="7"/>
  <c r="C85" i="7"/>
  <c r="G79" i="7"/>
  <c r="G84" i="7"/>
  <c r="H25" i="7"/>
  <c r="H42" i="2"/>
  <c r="H53" i="2" s="1"/>
  <c r="H43" i="2"/>
  <c r="C55" i="8"/>
  <c r="D80" i="8"/>
  <c r="E20" i="7"/>
  <c r="D76" i="7"/>
  <c r="E19" i="7"/>
  <c r="D75" i="7"/>
  <c r="E21" i="7"/>
  <c r="D77" i="7"/>
  <c r="D85" i="7"/>
  <c r="L75" i="8"/>
  <c r="L79" i="8"/>
  <c r="L81" i="8"/>
  <c r="L82" i="8"/>
  <c r="I51" i="8"/>
  <c r="I76" i="8"/>
  <c r="H53" i="8"/>
  <c r="H78" i="8"/>
  <c r="G48" i="8"/>
  <c r="G73" i="8"/>
  <c r="I52" i="8"/>
  <c r="I77" i="8"/>
  <c r="F49" i="8"/>
  <c r="F74" i="8"/>
  <c r="H47" i="8"/>
  <c r="H72" i="8"/>
  <c r="L56" i="8"/>
  <c r="L57" i="8"/>
  <c r="L54" i="8"/>
  <c r="H44" i="8"/>
  <c r="H46" i="8"/>
  <c r="H45" i="8"/>
  <c r="L10" i="2"/>
  <c r="L32" i="2" s="1"/>
  <c r="K19" i="9"/>
  <c r="K40" i="9" s="1"/>
  <c r="K15" i="9"/>
  <c r="K36" i="9" s="1"/>
  <c r="J35" i="9"/>
  <c r="F35" i="9"/>
  <c r="H35" i="9"/>
  <c r="D35" i="9"/>
  <c r="K17" i="9"/>
  <c r="K38" i="9" s="1"/>
  <c r="K18" i="9"/>
  <c r="K39" i="9" s="1"/>
  <c r="K14" i="9"/>
  <c r="K35" i="9" s="1"/>
  <c r="G35" i="9"/>
  <c r="C35" i="9"/>
  <c r="I35" i="9"/>
  <c r="E35" i="9"/>
  <c r="L23" i="9"/>
  <c r="L27" i="9" s="1"/>
  <c r="L11" i="9"/>
  <c r="A29" i="15" s="1"/>
  <c r="L64" i="2"/>
  <c r="L66" i="7" s="1"/>
  <c r="L51" i="7"/>
  <c r="L163" i="9"/>
  <c r="C141" i="8"/>
  <c r="H141" i="8"/>
  <c r="B90" i="8"/>
  <c r="C130" i="8"/>
  <c r="I119" i="8"/>
  <c r="D90" i="8"/>
  <c r="I141" i="8"/>
  <c r="G40" i="9"/>
  <c r="C40" i="9"/>
  <c r="I39" i="9"/>
  <c r="E39" i="9"/>
  <c r="G38" i="9"/>
  <c r="C38" i="9"/>
  <c r="I37" i="9"/>
  <c r="E37" i="9"/>
  <c r="H40" i="9"/>
  <c r="D40" i="9"/>
  <c r="J39" i="9"/>
  <c r="F39" i="9"/>
  <c r="H38" i="9"/>
  <c r="D38" i="9"/>
  <c r="J37" i="9"/>
  <c r="F37" i="9"/>
  <c r="J40" i="9"/>
  <c r="F40" i="9"/>
  <c r="H39" i="9"/>
  <c r="D39" i="9"/>
  <c r="J38" i="9"/>
  <c r="F38" i="9"/>
  <c r="H37" i="9"/>
  <c r="D37" i="9"/>
  <c r="I40" i="9"/>
  <c r="E40" i="9"/>
  <c r="G39" i="9"/>
  <c r="C39" i="9"/>
  <c r="I38" i="9"/>
  <c r="E38" i="9"/>
  <c r="K37" i="9"/>
  <c r="G37" i="9"/>
  <c r="C37" i="9"/>
  <c r="C39" i="2"/>
  <c r="C38" i="2"/>
  <c r="F67" i="8"/>
  <c r="J42" i="8"/>
  <c r="G67" i="8"/>
  <c r="K42" i="8"/>
  <c r="I42" i="8"/>
  <c r="D67" i="8"/>
  <c r="H42" i="8"/>
  <c r="L42" i="8"/>
  <c r="E67" i="8"/>
  <c r="C67" i="8"/>
  <c r="G66" i="8"/>
  <c r="E40" i="8"/>
  <c r="C70" i="7"/>
  <c r="B55" i="7"/>
  <c r="D92" i="8"/>
  <c r="E92" i="8"/>
  <c r="I92" i="8"/>
  <c r="L92" i="8"/>
  <c r="B92" i="8"/>
  <c r="B95" i="8" s="1"/>
  <c r="B6" i="7"/>
  <c r="F62" i="2"/>
  <c r="F63" i="2" s="1"/>
  <c r="J62" i="2"/>
  <c r="J63" i="2" s="1"/>
  <c r="H92" i="8"/>
  <c r="C74" i="7"/>
  <c r="C24" i="7"/>
  <c r="L90" i="8"/>
  <c r="E141" i="8"/>
  <c r="G90" i="8"/>
  <c r="J141" i="8"/>
  <c r="B39" i="9"/>
  <c r="K141" i="8"/>
  <c r="C6" i="5"/>
  <c r="B99" i="8"/>
  <c r="B36" i="9"/>
  <c r="B35" i="9"/>
  <c r="B40" i="8"/>
  <c r="B65" i="8"/>
  <c r="B66" i="8"/>
  <c r="B41" i="8"/>
  <c r="D42" i="8"/>
  <c r="C40" i="8"/>
  <c r="C65" i="8"/>
  <c r="B42" i="8"/>
  <c r="B60" i="8" s="1"/>
  <c r="B67" i="8"/>
  <c r="D65" i="8"/>
  <c r="D40" i="8"/>
  <c r="B40" i="9"/>
  <c r="B38" i="9"/>
  <c r="B37" i="9"/>
  <c r="D93" i="8"/>
  <c r="G93" i="8"/>
  <c r="L93" i="8"/>
  <c r="H93" i="8"/>
  <c r="J93" i="8"/>
  <c r="B42" i="7"/>
  <c r="D36" i="7"/>
  <c r="C29" i="7"/>
  <c r="D72" i="7"/>
  <c r="B62" i="2"/>
  <c r="B63" i="2" s="1"/>
  <c r="E62" i="2"/>
  <c r="E63" i="2" s="1"/>
  <c r="I62" i="2"/>
  <c r="I63" i="2" s="1"/>
  <c r="C92" i="8"/>
  <c r="J92" i="8"/>
  <c r="F92" i="8"/>
  <c r="L62" i="2"/>
  <c r="L63" i="2" s="1"/>
  <c r="H62" i="2"/>
  <c r="H63" i="2" s="1"/>
  <c r="D62" i="2"/>
  <c r="D63" i="2" s="1"/>
  <c r="C71" i="7"/>
  <c r="G92" i="8"/>
  <c r="K62" i="2"/>
  <c r="K63" i="2" s="1"/>
  <c r="G62" i="2"/>
  <c r="G63" i="2" s="1"/>
  <c r="C62" i="2"/>
  <c r="C63" i="2" s="1"/>
  <c r="K92" i="8"/>
  <c r="D73" i="7"/>
  <c r="E29" i="8" l="1"/>
  <c r="F93" i="8"/>
  <c r="F95" i="8"/>
  <c r="E95" i="8"/>
  <c r="D95" i="8"/>
  <c r="K93" i="8"/>
  <c r="D58" i="8"/>
  <c r="C60" i="8"/>
  <c r="C93" i="8"/>
  <c r="C95" i="8"/>
  <c r="G95" i="8"/>
  <c r="B59" i="8"/>
  <c r="I24" i="2"/>
  <c r="L50" i="8"/>
  <c r="I60" i="7"/>
  <c r="H26" i="7"/>
  <c r="B23" i="7"/>
  <c r="B56" i="7" s="1"/>
  <c r="B54" i="2" s="1"/>
  <c r="C6" i="7"/>
  <c r="D6" i="7" s="1"/>
  <c r="E6" i="7" s="1"/>
  <c r="F6" i="7" s="1"/>
  <c r="G6" i="7" s="1"/>
  <c r="H6" i="7" s="1"/>
  <c r="I6" i="7" s="1"/>
  <c r="J6" i="7" s="1"/>
  <c r="K6" i="7" s="1"/>
  <c r="L6" i="7" s="1"/>
  <c r="B73" i="7"/>
  <c r="B72" i="7"/>
  <c r="B50" i="2"/>
  <c r="B6" i="9" s="1"/>
  <c r="B49" i="2"/>
  <c r="B5" i="9" s="1"/>
  <c r="D59" i="7"/>
  <c r="D30" i="7"/>
  <c r="A28" i="15"/>
  <c r="I42" i="2"/>
  <c r="I53" i="2" s="1"/>
  <c r="I25" i="7"/>
  <c r="I43" i="2"/>
  <c r="I26" i="7"/>
  <c r="J60" i="7"/>
  <c r="H84" i="7"/>
  <c r="H79" i="7"/>
  <c r="C83" i="7"/>
  <c r="C78" i="7"/>
  <c r="B2" i="9"/>
  <c r="B3" i="9"/>
  <c r="B4" i="9"/>
  <c r="B8" i="9"/>
  <c r="B62" i="9" s="1"/>
  <c r="D55" i="8"/>
  <c r="E80" i="8"/>
  <c r="F21" i="7"/>
  <c r="E77" i="7"/>
  <c r="E85" i="7"/>
  <c r="F19" i="7"/>
  <c r="F29" i="8" s="1"/>
  <c r="E75" i="7"/>
  <c r="F20" i="7"/>
  <c r="E76" i="7"/>
  <c r="D74" i="7"/>
  <c r="D70" i="7"/>
  <c r="C37" i="2"/>
  <c r="C48" i="2" s="1"/>
  <c r="B101" i="8"/>
  <c r="J51" i="8"/>
  <c r="J76" i="8"/>
  <c r="I47" i="8"/>
  <c r="I72" i="8"/>
  <c r="I45" i="8"/>
  <c r="I70" i="8"/>
  <c r="I53" i="8"/>
  <c r="I78" i="8"/>
  <c r="J52" i="8"/>
  <c r="J77" i="8"/>
  <c r="H48" i="8"/>
  <c r="H73" i="8"/>
  <c r="I44" i="8"/>
  <c r="I69" i="8"/>
  <c r="G49" i="8"/>
  <c r="G74" i="8"/>
  <c r="I46" i="8"/>
  <c r="I71" i="8"/>
  <c r="L14" i="9"/>
  <c r="L35" i="9" s="1"/>
  <c r="L16" i="9"/>
  <c r="L37" i="9" s="1"/>
  <c r="L18" i="9"/>
  <c r="L39" i="9" s="1"/>
  <c r="L15" i="9"/>
  <c r="L36" i="9" s="1"/>
  <c r="L17" i="9"/>
  <c r="L38" i="9" s="1"/>
  <c r="L19" i="9"/>
  <c r="L40" i="9" s="1"/>
  <c r="D130" i="8"/>
  <c r="J119" i="8"/>
  <c r="G44" i="9"/>
  <c r="C42" i="7"/>
  <c r="C49" i="9"/>
  <c r="I48" i="9"/>
  <c r="F45" i="9"/>
  <c r="F47" i="9"/>
  <c r="H44" i="9"/>
  <c r="F44" i="9"/>
  <c r="F48" i="9"/>
  <c r="F46" i="9"/>
  <c r="F49" i="9"/>
  <c r="F50" i="9"/>
  <c r="D48" i="9"/>
  <c r="J44" i="9"/>
  <c r="D45" i="9"/>
  <c r="J47" i="9"/>
  <c r="J45" i="9"/>
  <c r="J46" i="9"/>
  <c r="D44" i="9"/>
  <c r="D49" i="9"/>
  <c r="E49" i="9"/>
  <c r="H48" i="9"/>
  <c r="D50" i="9"/>
  <c r="J50" i="9"/>
  <c r="J48" i="9"/>
  <c r="D47" i="9"/>
  <c r="D46" i="9"/>
  <c r="J49" i="9"/>
  <c r="K44" i="9"/>
  <c r="C50" i="9"/>
  <c r="I49" i="9"/>
  <c r="H47" i="9"/>
  <c r="E50" i="9"/>
  <c r="C44" i="9"/>
  <c r="I46" i="9"/>
  <c r="I44" i="9"/>
  <c r="C48" i="9"/>
  <c r="C45" i="9"/>
  <c r="H50" i="9"/>
  <c r="H45" i="9"/>
  <c r="I50" i="9"/>
  <c r="C47" i="9"/>
  <c r="E45" i="9"/>
  <c r="C46" i="9"/>
  <c r="I45" i="9"/>
  <c r="H49" i="9"/>
  <c r="E44" i="9"/>
  <c r="E46" i="9"/>
  <c r="H46" i="9"/>
  <c r="I47" i="9"/>
  <c r="E48" i="9"/>
  <c r="I67" i="8"/>
  <c r="I95" i="8" s="1"/>
  <c r="K48" i="9"/>
  <c r="K47" i="9"/>
  <c r="G49" i="9"/>
  <c r="K46" i="9"/>
  <c r="E47" i="9"/>
  <c r="K45" i="9"/>
  <c r="G45" i="9"/>
  <c r="G48" i="9"/>
  <c r="K49" i="9"/>
  <c r="K50" i="9"/>
  <c r="G47" i="9"/>
  <c r="G46" i="9"/>
  <c r="G50" i="9"/>
  <c r="L67" i="8"/>
  <c r="J66" i="8"/>
  <c r="J67" i="8"/>
  <c r="J95" i="8" s="1"/>
  <c r="C42" i="8"/>
  <c r="I66" i="8"/>
  <c r="H66" i="8"/>
  <c r="E42" i="8"/>
  <c r="F42" i="8"/>
  <c r="I41" i="8"/>
  <c r="H41" i="8"/>
  <c r="F41" i="8"/>
  <c r="E41" i="8"/>
  <c r="C66" i="8"/>
  <c r="K66" i="8"/>
  <c r="L66" i="8"/>
  <c r="D41" i="8"/>
  <c r="J41" i="8"/>
  <c r="G41" i="8"/>
  <c r="H67" i="8"/>
  <c r="H95" i="8" s="1"/>
  <c r="D66" i="8"/>
  <c r="G42" i="8"/>
  <c r="F66" i="8"/>
  <c r="E65" i="8"/>
  <c r="L41" i="8"/>
  <c r="K41" i="8"/>
  <c r="C36" i="2"/>
  <c r="C47" i="2" s="1"/>
  <c r="D38" i="2"/>
  <c r="C41" i="2"/>
  <c r="C52" i="2" s="1"/>
  <c r="D39" i="2"/>
  <c r="C40" i="2"/>
  <c r="C51" i="2" s="1"/>
  <c r="E66" i="8"/>
  <c r="K67" i="8"/>
  <c r="C41" i="8"/>
  <c r="C59" i="8" s="1"/>
  <c r="B135" i="8"/>
  <c r="D24" i="7"/>
  <c r="B7" i="9"/>
  <c r="B50" i="9"/>
  <c r="C99" i="8"/>
  <c r="B47" i="9"/>
  <c r="B48" i="9"/>
  <c r="B85" i="8"/>
  <c r="B33" i="8"/>
  <c r="B46" i="9"/>
  <c r="B44" i="9"/>
  <c r="B45" i="9"/>
  <c r="B49" i="9"/>
  <c r="E36" i="7"/>
  <c r="D29" i="7"/>
  <c r="E72" i="7"/>
  <c r="D71" i="7"/>
  <c r="B98" i="8"/>
  <c r="E73" i="7"/>
  <c r="D59" i="8" l="1"/>
  <c r="E58" i="8"/>
  <c r="D60" i="8"/>
  <c r="J24" i="2"/>
  <c r="B80" i="7"/>
  <c r="B89" i="7" s="1"/>
  <c r="C83" i="26" s="1"/>
  <c r="E59" i="7"/>
  <c r="E30" i="7"/>
  <c r="C58" i="9"/>
  <c r="E58" i="9"/>
  <c r="C23" i="7"/>
  <c r="C56" i="7" s="1"/>
  <c r="J25" i="7"/>
  <c r="J42" i="2"/>
  <c r="J53" i="2" s="1"/>
  <c r="B12" i="15"/>
  <c r="J43" i="2"/>
  <c r="J26" i="7"/>
  <c r="I84" i="7"/>
  <c r="I79" i="7"/>
  <c r="D78" i="7"/>
  <c r="D83" i="7"/>
  <c r="B86" i="7"/>
  <c r="B92" i="7" s="1"/>
  <c r="B58" i="9"/>
  <c r="B58" i="2"/>
  <c r="B73" i="9" s="1"/>
  <c r="B76" i="9" s="1"/>
  <c r="B61" i="2"/>
  <c r="B106" i="9" s="1"/>
  <c r="B109" i="9" s="1"/>
  <c r="D9" i="5"/>
  <c r="D11" i="5" s="1"/>
  <c r="F80" i="8"/>
  <c r="E55" i="8"/>
  <c r="E71" i="7"/>
  <c r="G20" i="7"/>
  <c r="F76" i="7"/>
  <c r="F85" i="7"/>
  <c r="E24" i="7"/>
  <c r="D40" i="2"/>
  <c r="D51" i="2" s="1"/>
  <c r="G19" i="7"/>
  <c r="G29" i="8" s="1"/>
  <c r="F75" i="7"/>
  <c r="G21" i="7"/>
  <c r="F77" i="7"/>
  <c r="E74" i="7"/>
  <c r="C45" i="7"/>
  <c r="C48" i="7" s="1"/>
  <c r="C55" i="7" s="1"/>
  <c r="E70" i="7"/>
  <c r="D36" i="2"/>
  <c r="D47" i="2" s="1"/>
  <c r="F59" i="9"/>
  <c r="K51" i="8"/>
  <c r="K76" i="8"/>
  <c r="J47" i="8"/>
  <c r="J72" i="8"/>
  <c r="J44" i="8"/>
  <c r="J69" i="8"/>
  <c r="J53" i="8"/>
  <c r="J78" i="8"/>
  <c r="H49" i="8"/>
  <c r="H74" i="8"/>
  <c r="K53" i="8"/>
  <c r="K78" i="8"/>
  <c r="J46" i="8"/>
  <c r="J71" i="8"/>
  <c r="I48" i="8"/>
  <c r="I73" i="8"/>
  <c r="C101" i="8"/>
  <c r="K52" i="8"/>
  <c r="K77" i="8"/>
  <c r="K95" i="8" s="1"/>
  <c r="J45" i="8"/>
  <c r="J70" i="8"/>
  <c r="H58" i="9"/>
  <c r="K58" i="9"/>
  <c r="J58" i="9"/>
  <c r="D59" i="9"/>
  <c r="L49" i="9"/>
  <c r="L45" i="9"/>
  <c r="L48" i="9"/>
  <c r="L50" i="9"/>
  <c r="L46" i="9"/>
  <c r="L44" i="9"/>
  <c r="L47" i="9"/>
  <c r="K119" i="8"/>
  <c r="E130" i="8"/>
  <c r="G59" i="9"/>
  <c r="F58" i="9"/>
  <c r="H59" i="9"/>
  <c r="J54" i="9"/>
  <c r="F55" i="9"/>
  <c r="F54" i="9"/>
  <c r="C59" i="9"/>
  <c r="F57" i="9"/>
  <c r="K59" i="9"/>
  <c r="E59" i="9"/>
  <c r="F56" i="9"/>
  <c r="D58" i="9"/>
  <c r="D54" i="9"/>
  <c r="D57" i="9"/>
  <c r="J59" i="9"/>
  <c r="J57" i="9"/>
  <c r="J55" i="9"/>
  <c r="J56" i="9"/>
  <c r="D55" i="9"/>
  <c r="D56" i="9"/>
  <c r="E54" i="9"/>
  <c r="I56" i="9"/>
  <c r="G58" i="9"/>
  <c r="I58" i="9"/>
  <c r="I57" i="9"/>
  <c r="C57" i="9"/>
  <c r="E57" i="9"/>
  <c r="E55" i="9"/>
  <c r="K54" i="9"/>
  <c r="H55" i="9"/>
  <c r="C55" i="9"/>
  <c r="H56" i="9"/>
  <c r="H57" i="9"/>
  <c r="I54" i="9"/>
  <c r="I55" i="9"/>
  <c r="I59" i="9"/>
  <c r="K55" i="9"/>
  <c r="H54" i="9"/>
  <c r="C54" i="9"/>
  <c r="C56" i="9"/>
  <c r="K57" i="9"/>
  <c r="K56" i="9"/>
  <c r="G56" i="9"/>
  <c r="G54" i="9"/>
  <c r="E56" i="9"/>
  <c r="G55" i="9"/>
  <c r="G57" i="9"/>
  <c r="D37" i="2"/>
  <c r="D48" i="2" s="1"/>
  <c r="E38" i="2"/>
  <c r="E39" i="2"/>
  <c r="D41" i="2"/>
  <c r="D52" i="2" s="1"/>
  <c r="C135" i="8"/>
  <c r="F40" i="8"/>
  <c r="F65" i="8"/>
  <c r="D99" i="8"/>
  <c r="D6" i="5"/>
  <c r="B89" i="8"/>
  <c r="B140" i="8"/>
  <c r="C85" i="8"/>
  <c r="B9" i="5"/>
  <c r="B11" i="5" s="1"/>
  <c r="B55" i="9"/>
  <c r="B57" i="9"/>
  <c r="B59" i="9"/>
  <c r="B54" i="9"/>
  <c r="B63" i="9" s="1"/>
  <c r="B56" i="9"/>
  <c r="D42" i="7"/>
  <c r="C33" i="8"/>
  <c r="F36" i="7"/>
  <c r="E29" i="7"/>
  <c r="F72" i="7"/>
  <c r="B6" i="5"/>
  <c r="F73" i="7"/>
  <c r="K24" i="2" l="1"/>
  <c r="F58" i="8"/>
  <c r="E60" i="8"/>
  <c r="E59" i="8"/>
  <c r="E9" i="5" s="1"/>
  <c r="E11" i="5" s="1"/>
  <c r="C54" i="2"/>
  <c r="C80" i="7"/>
  <c r="B13" i="15"/>
  <c r="K60" i="7"/>
  <c r="C50" i="2"/>
  <c r="C6" i="9" s="1"/>
  <c r="C49" i="2"/>
  <c r="C5" i="9" s="1"/>
  <c r="F59" i="7"/>
  <c r="F30" i="7"/>
  <c r="D23" i="7"/>
  <c r="D56" i="7" s="1"/>
  <c r="K25" i="7"/>
  <c r="K42" i="2"/>
  <c r="K53" i="2" s="1"/>
  <c r="K43" i="2"/>
  <c r="K26" i="7"/>
  <c r="L60" i="7"/>
  <c r="J79" i="7"/>
  <c r="J84" i="7"/>
  <c r="E78" i="7"/>
  <c r="E83" i="7"/>
  <c r="C86" i="7"/>
  <c r="C92" i="7" s="1"/>
  <c r="C95" i="7" s="1"/>
  <c r="C7" i="9"/>
  <c r="C8" i="9"/>
  <c r="C62" i="9" s="1"/>
  <c r="C3" i="9"/>
  <c r="C4" i="9"/>
  <c r="D101" i="8"/>
  <c r="G80" i="8"/>
  <c r="F55" i="8"/>
  <c r="F59" i="8" s="1"/>
  <c r="E41" i="2"/>
  <c r="E52" i="2" s="1"/>
  <c r="B110" i="9"/>
  <c r="B77" i="9"/>
  <c r="E37" i="2"/>
  <c r="E48" i="2" s="1"/>
  <c r="F74" i="7"/>
  <c r="H20" i="7"/>
  <c r="G76" i="7"/>
  <c r="H21" i="7"/>
  <c r="G77" i="7"/>
  <c r="G85" i="7"/>
  <c r="H19" i="7"/>
  <c r="G75" i="7"/>
  <c r="E40" i="2"/>
  <c r="E51" i="2" s="1"/>
  <c r="E135" i="8"/>
  <c r="F70" i="7"/>
  <c r="E36" i="2"/>
  <c r="E47" i="2" s="1"/>
  <c r="I49" i="8"/>
  <c r="I74" i="8"/>
  <c r="J48" i="8"/>
  <c r="J73" i="8"/>
  <c r="K44" i="8"/>
  <c r="K69" i="8"/>
  <c r="K46" i="8"/>
  <c r="K71" i="8"/>
  <c r="K47" i="8"/>
  <c r="K72" i="8"/>
  <c r="L51" i="8"/>
  <c r="L76" i="8"/>
  <c r="L53" i="8"/>
  <c r="L78" i="8"/>
  <c r="L52" i="8"/>
  <c r="L77" i="8"/>
  <c r="L95" i="8" s="1"/>
  <c r="K45" i="8"/>
  <c r="K70" i="8"/>
  <c r="B91" i="9"/>
  <c r="B102" i="9" s="1"/>
  <c r="L58" i="9"/>
  <c r="A147" i="9" s="1"/>
  <c r="C147" i="9" s="1"/>
  <c r="E147" i="9" s="1"/>
  <c r="L59" i="9"/>
  <c r="L55" i="9"/>
  <c r="L54" i="9"/>
  <c r="A140" i="9" s="1"/>
  <c r="C140" i="9" s="1"/>
  <c r="E140" i="9" s="1"/>
  <c r="L56" i="9"/>
  <c r="A144" i="9" s="1"/>
  <c r="C144" i="9" s="1"/>
  <c r="E144" i="9" s="1"/>
  <c r="L57" i="9"/>
  <c r="F130" i="8"/>
  <c r="L119" i="8"/>
  <c r="A150" i="9"/>
  <c r="C150" i="9" s="1"/>
  <c r="E150" i="9" s="1"/>
  <c r="A141" i="9"/>
  <c r="C141" i="9" s="1"/>
  <c r="E141" i="9" s="1"/>
  <c r="A145" i="9"/>
  <c r="C145" i="9" s="1"/>
  <c r="E145" i="9" s="1"/>
  <c r="C9" i="5"/>
  <c r="C11" i="5" s="1"/>
  <c r="A139" i="9"/>
  <c r="C139" i="9" s="1"/>
  <c r="E139" i="9" s="1"/>
  <c r="A146" i="9"/>
  <c r="C146" i="9" s="1"/>
  <c r="E146" i="9" s="1"/>
  <c r="F38" i="2"/>
  <c r="F39" i="2"/>
  <c r="A142" i="9"/>
  <c r="C142" i="9" s="1"/>
  <c r="E142" i="9" s="1"/>
  <c r="D135" i="8"/>
  <c r="G40" i="8"/>
  <c r="G65" i="8"/>
  <c r="D85" i="8"/>
  <c r="E99" i="8"/>
  <c r="E6" i="5"/>
  <c r="G72" i="7"/>
  <c r="B124" i="9"/>
  <c r="C89" i="8"/>
  <c r="C140" i="8"/>
  <c r="A149" i="9"/>
  <c r="C149" i="9" s="1"/>
  <c r="E149" i="9" s="1"/>
  <c r="E42" i="7"/>
  <c r="D33" i="8"/>
  <c r="D45" i="7"/>
  <c r="D48" i="7" s="1"/>
  <c r="A137" i="9"/>
  <c r="C137" i="9" s="1"/>
  <c r="E137" i="9" s="1"/>
  <c r="A138" i="9"/>
  <c r="G36" i="7"/>
  <c r="F29" i="7"/>
  <c r="G73" i="7"/>
  <c r="G58" i="8" l="1"/>
  <c r="F60" i="8"/>
  <c r="H29" i="8"/>
  <c r="L24" i="2"/>
  <c r="E101" i="8"/>
  <c r="F9" i="5"/>
  <c r="F11" i="5" s="1"/>
  <c r="F37" i="2"/>
  <c r="F48" i="2" s="1"/>
  <c r="F71" i="7"/>
  <c r="D54" i="2"/>
  <c r="D80" i="7"/>
  <c r="G59" i="7"/>
  <c r="G30" i="7"/>
  <c r="A148" i="9"/>
  <c r="C148" i="9" s="1"/>
  <c r="E148" i="9" s="1"/>
  <c r="A143" i="9"/>
  <c r="C143" i="9" s="1"/>
  <c r="E143" i="9" s="1"/>
  <c r="E23" i="7"/>
  <c r="E56" i="7" s="1"/>
  <c r="C52" i="26"/>
  <c r="L42" i="2"/>
  <c r="L53" i="2" s="1"/>
  <c r="L25" i="7"/>
  <c r="L43" i="2"/>
  <c r="L26" i="7"/>
  <c r="K79" i="7"/>
  <c r="K84" i="7"/>
  <c r="F41" i="2"/>
  <c r="F52" i="2" s="1"/>
  <c r="F24" i="7"/>
  <c r="D86" i="7"/>
  <c r="D92" i="7" s="1"/>
  <c r="D95" i="7" s="1"/>
  <c r="C53" i="26" s="1"/>
  <c r="G55" i="8"/>
  <c r="H80" i="8"/>
  <c r="C63" i="9"/>
  <c r="C64" i="9" s="1"/>
  <c r="C61" i="2"/>
  <c r="C106" i="9" s="1"/>
  <c r="C109" i="9" s="1"/>
  <c r="C124" i="9" s="1"/>
  <c r="C133" i="9" s="1"/>
  <c r="C58" i="2"/>
  <c r="C73" i="9" s="1"/>
  <c r="C76" i="9" s="1"/>
  <c r="C91" i="9" s="1"/>
  <c r="C102" i="9" s="1"/>
  <c r="G24" i="7"/>
  <c r="G71" i="7"/>
  <c r="F40" i="2"/>
  <c r="F51" i="2" s="1"/>
  <c r="G74" i="7"/>
  <c r="F85" i="8"/>
  <c r="H77" i="7"/>
  <c r="I21" i="7"/>
  <c r="G70" i="7"/>
  <c r="H75" i="7"/>
  <c r="I19" i="7"/>
  <c r="H85" i="7"/>
  <c r="H76" i="7"/>
  <c r="I20" i="7"/>
  <c r="E85" i="8"/>
  <c r="F36" i="2"/>
  <c r="F47" i="2" s="1"/>
  <c r="J49" i="8"/>
  <c r="J74" i="8"/>
  <c r="L47" i="8"/>
  <c r="L72" i="8"/>
  <c r="L44" i="8"/>
  <c r="L69" i="8"/>
  <c r="L46" i="8"/>
  <c r="L71" i="8"/>
  <c r="K48" i="8"/>
  <c r="K73" i="8"/>
  <c r="L45" i="8"/>
  <c r="L70" i="8"/>
  <c r="B88" i="9"/>
  <c r="B99" i="9" s="1"/>
  <c r="G130" i="8"/>
  <c r="G39" i="2"/>
  <c r="G38" i="2"/>
  <c r="H65" i="8"/>
  <c r="H40" i="8"/>
  <c r="D55" i="7"/>
  <c r="F99" i="8"/>
  <c r="F101" i="8" s="1"/>
  <c r="F6" i="5"/>
  <c r="B64" i="9"/>
  <c r="B111" i="9" s="1"/>
  <c r="H72" i="7"/>
  <c r="B121" i="9"/>
  <c r="B133" i="9"/>
  <c r="D89" i="8"/>
  <c r="D140" i="8"/>
  <c r="C138" i="9"/>
  <c r="E138" i="9" s="1"/>
  <c r="F42" i="7"/>
  <c r="E33" i="8"/>
  <c r="E45" i="7"/>
  <c r="E48" i="7" s="1"/>
  <c r="H36" i="7"/>
  <c r="G29" i="7"/>
  <c r="H73" i="7"/>
  <c r="I29" i="8" l="1"/>
  <c r="H58" i="8"/>
  <c r="G60" i="8"/>
  <c r="G59" i="8"/>
  <c r="G9" i="5" s="1"/>
  <c r="G11" i="5" s="1"/>
  <c r="E54" i="2"/>
  <c r="E80" i="7"/>
  <c r="D49" i="2"/>
  <c r="D5" i="9" s="1"/>
  <c r="D50" i="2"/>
  <c r="D6" i="9" s="1"/>
  <c r="H59" i="7"/>
  <c r="H30" i="7"/>
  <c r="D51" i="26"/>
  <c r="D52" i="26"/>
  <c r="L84" i="7"/>
  <c r="L79" i="7"/>
  <c r="F83" i="7"/>
  <c r="F23" i="7" s="1"/>
  <c r="F56" i="7" s="1"/>
  <c r="F78" i="7"/>
  <c r="G83" i="7"/>
  <c r="G78" i="7"/>
  <c r="E86" i="7"/>
  <c r="E92" i="7" s="1"/>
  <c r="E95" i="7" s="1"/>
  <c r="C54" i="26" s="1"/>
  <c r="I80" i="8"/>
  <c r="H55" i="8"/>
  <c r="G37" i="2"/>
  <c r="G48" i="2" s="1"/>
  <c r="H71" i="7"/>
  <c r="C111" i="9"/>
  <c r="C122" i="9" s="1"/>
  <c r="C77" i="9"/>
  <c r="C88" i="9" s="1"/>
  <c r="C99" i="9" s="1"/>
  <c r="C85" i="26"/>
  <c r="D3" i="9"/>
  <c r="D7" i="9"/>
  <c r="D4" i="9"/>
  <c r="D8" i="9"/>
  <c r="D62" i="9" s="1"/>
  <c r="C110" i="9"/>
  <c r="C121" i="9" s="1"/>
  <c r="C130" i="9" s="1"/>
  <c r="G41" i="2"/>
  <c r="G52" i="2" s="1"/>
  <c r="H24" i="7"/>
  <c r="H70" i="7"/>
  <c r="H74" i="7"/>
  <c r="F135" i="8"/>
  <c r="G40" i="2"/>
  <c r="G51" i="2" s="1"/>
  <c r="G135" i="8"/>
  <c r="I85" i="7"/>
  <c r="G36" i="2"/>
  <c r="G47" i="2" s="1"/>
  <c r="J20" i="7"/>
  <c r="I76" i="7"/>
  <c r="I75" i="7"/>
  <c r="J19" i="7"/>
  <c r="J21" i="7"/>
  <c r="I77" i="7"/>
  <c r="L48" i="8"/>
  <c r="L73" i="8"/>
  <c r="K49" i="8"/>
  <c r="K74" i="8"/>
  <c r="C78" i="9"/>
  <c r="C89" i="9" s="1"/>
  <c r="C100" i="9" s="1"/>
  <c r="B78" i="9"/>
  <c r="B89" i="9" s="1"/>
  <c r="B100" i="9" s="1"/>
  <c r="C65" i="9"/>
  <c r="C112" i="9" s="1"/>
  <c r="H130" i="8"/>
  <c r="H39" i="2"/>
  <c r="H38" i="2"/>
  <c r="I72" i="7"/>
  <c r="I65" i="8"/>
  <c r="I40" i="8"/>
  <c r="E55" i="7"/>
  <c r="B130" i="9"/>
  <c r="G99" i="8"/>
  <c r="G6" i="5"/>
  <c r="B122" i="9"/>
  <c r="B65" i="9"/>
  <c r="E89" i="8"/>
  <c r="E140" i="8"/>
  <c r="G42" i="7"/>
  <c r="F33" i="8"/>
  <c r="F45" i="7"/>
  <c r="F48" i="7" s="1"/>
  <c r="H29" i="7"/>
  <c r="I36" i="7"/>
  <c r="I73" i="7"/>
  <c r="I58" i="8" l="1"/>
  <c r="H60" i="8"/>
  <c r="J29" i="8"/>
  <c r="G101" i="8"/>
  <c r="H59" i="8"/>
  <c r="H9" i="5" s="1"/>
  <c r="H11" i="5" s="1"/>
  <c r="F54" i="2"/>
  <c r="F80" i="7"/>
  <c r="E50" i="2"/>
  <c r="E6" i="9" s="1"/>
  <c r="E49" i="2"/>
  <c r="E5" i="9" s="1"/>
  <c r="J72" i="7"/>
  <c r="I59" i="7"/>
  <c r="I30" i="7"/>
  <c r="D53" i="26"/>
  <c r="G23" i="7"/>
  <c r="G56" i="7" s="1"/>
  <c r="H78" i="7"/>
  <c r="H83" i="7"/>
  <c r="F86" i="7"/>
  <c r="F92" i="7" s="1"/>
  <c r="F95" i="7" s="1"/>
  <c r="C55" i="26" s="1"/>
  <c r="I55" i="8"/>
  <c r="I59" i="8" s="1"/>
  <c r="J80" i="8"/>
  <c r="H37" i="2"/>
  <c r="H48" i="2" s="1"/>
  <c r="I71" i="7"/>
  <c r="D63" i="9"/>
  <c r="H41" i="2"/>
  <c r="H52" i="2" s="1"/>
  <c r="D58" i="2"/>
  <c r="D73" i="9" s="1"/>
  <c r="D61" i="2"/>
  <c r="D106" i="9" s="1"/>
  <c r="E8" i="9"/>
  <c r="E62" i="9" s="1"/>
  <c r="E4" i="9"/>
  <c r="E3" i="9"/>
  <c r="E7" i="9"/>
  <c r="I24" i="7"/>
  <c r="I74" i="7"/>
  <c r="I70" i="7"/>
  <c r="G85" i="8"/>
  <c r="H40" i="2"/>
  <c r="H51" i="2" s="1"/>
  <c r="H135" i="8"/>
  <c r="H36" i="2"/>
  <c r="H47" i="2" s="1"/>
  <c r="K21" i="7"/>
  <c r="B19" i="15" s="1"/>
  <c r="J77" i="7"/>
  <c r="K20" i="7"/>
  <c r="B18" i="15" s="1"/>
  <c r="J76" i="7"/>
  <c r="C86" i="26"/>
  <c r="K19" i="7"/>
  <c r="J75" i="7"/>
  <c r="B20" i="15"/>
  <c r="J85" i="7"/>
  <c r="L49" i="8"/>
  <c r="L74" i="8"/>
  <c r="B79" i="9"/>
  <c r="B90" i="9" s="1"/>
  <c r="B101" i="9" s="1"/>
  <c r="B112" i="9"/>
  <c r="B123" i="9" s="1"/>
  <c r="C66" i="9"/>
  <c r="C79" i="9"/>
  <c r="C90" i="9" s="1"/>
  <c r="C101" i="9" s="1"/>
  <c r="C123" i="9"/>
  <c r="C132" i="9" s="1"/>
  <c r="C131" i="9"/>
  <c r="I130" i="8"/>
  <c r="I39" i="2"/>
  <c r="I38" i="2"/>
  <c r="J40" i="8"/>
  <c r="J65" i="8"/>
  <c r="F55" i="7"/>
  <c r="H99" i="8"/>
  <c r="H101" i="8" s="1"/>
  <c r="H6" i="5"/>
  <c r="B66" i="9"/>
  <c r="B131" i="9"/>
  <c r="F89" i="8"/>
  <c r="F140" i="8"/>
  <c r="H42" i="7"/>
  <c r="G33" i="8"/>
  <c r="G45" i="7"/>
  <c r="G48" i="7" s="1"/>
  <c r="I29" i="7"/>
  <c r="J36" i="7"/>
  <c r="J73" i="7"/>
  <c r="B17" i="15" l="1"/>
  <c r="K29" i="8"/>
  <c r="J58" i="8"/>
  <c r="I60" i="8"/>
  <c r="I9" i="5"/>
  <c r="I11" i="5" s="1"/>
  <c r="J38" i="2"/>
  <c r="K72" i="7"/>
  <c r="G54" i="2"/>
  <c r="G80" i="7"/>
  <c r="F50" i="2"/>
  <c r="F6" i="9" s="1"/>
  <c r="F49" i="2"/>
  <c r="F5" i="9" s="1"/>
  <c r="B8" i="15"/>
  <c r="J59" i="7"/>
  <c r="J30" i="7"/>
  <c r="D76" i="9"/>
  <c r="D91" i="9" s="1"/>
  <c r="D102" i="9" s="1"/>
  <c r="D54" i="26"/>
  <c r="D85" i="26"/>
  <c r="H23" i="7"/>
  <c r="H56" i="7" s="1"/>
  <c r="I78" i="7"/>
  <c r="I83" i="7"/>
  <c r="G86" i="7"/>
  <c r="G92" i="7" s="1"/>
  <c r="G95" i="7" s="1"/>
  <c r="C56" i="26" s="1"/>
  <c r="J71" i="7"/>
  <c r="K80" i="8"/>
  <c r="J55" i="8"/>
  <c r="I37" i="2"/>
  <c r="I48" i="2" s="1"/>
  <c r="D77" i="9"/>
  <c r="D88" i="9" s="1"/>
  <c r="D99" i="9" s="1"/>
  <c r="D64" i="9"/>
  <c r="D78" i="9" s="1"/>
  <c r="D89" i="9" s="1"/>
  <c r="D100" i="9" s="1"/>
  <c r="D110" i="9"/>
  <c r="D121" i="9" s="1"/>
  <c r="D130" i="9" s="1"/>
  <c r="J24" i="7"/>
  <c r="I41" i="2"/>
  <c r="I52" i="2" s="1"/>
  <c r="D109" i="9"/>
  <c r="D124" i="9" s="1"/>
  <c r="E63" i="9"/>
  <c r="E64" i="9" s="1"/>
  <c r="F4" i="9"/>
  <c r="F8" i="9"/>
  <c r="F62" i="9" s="1"/>
  <c r="F3" i="9"/>
  <c r="F7" i="9"/>
  <c r="E61" i="2"/>
  <c r="E106" i="9" s="1"/>
  <c r="E58" i="2"/>
  <c r="E73" i="9" s="1"/>
  <c r="E76" i="9" s="1"/>
  <c r="E91" i="9" s="1"/>
  <c r="E102" i="9" s="1"/>
  <c r="J74" i="7"/>
  <c r="J70" i="7"/>
  <c r="I36" i="2"/>
  <c r="I47" i="2" s="1"/>
  <c r="I40" i="2"/>
  <c r="I51" i="2" s="1"/>
  <c r="I135" i="8"/>
  <c r="H85" i="8"/>
  <c r="L85" i="7"/>
  <c r="K85" i="7"/>
  <c r="K75" i="7"/>
  <c r="L19" i="7"/>
  <c r="L20" i="7"/>
  <c r="L76" i="7" s="1"/>
  <c r="K76" i="7"/>
  <c r="C87" i="26"/>
  <c r="L21" i="7"/>
  <c r="L77" i="7" s="1"/>
  <c r="K77" i="7"/>
  <c r="C80" i="9"/>
  <c r="C87" i="9" s="1"/>
  <c r="C98" i="9" s="1"/>
  <c r="C113" i="9"/>
  <c r="C120" i="9" s="1"/>
  <c r="C129" i="9" s="1"/>
  <c r="B80" i="9"/>
  <c r="B87" i="9" s="1"/>
  <c r="B98" i="9" s="1"/>
  <c r="B113" i="9"/>
  <c r="B120" i="9" s="1"/>
  <c r="J130" i="8"/>
  <c r="J39" i="2"/>
  <c r="K38" i="2"/>
  <c r="K65" i="8"/>
  <c r="K40" i="8"/>
  <c r="G55" i="7"/>
  <c r="I99" i="8"/>
  <c r="I101" i="8" s="1"/>
  <c r="I6" i="5"/>
  <c r="B67" i="9"/>
  <c r="B132" i="9"/>
  <c r="G89" i="8"/>
  <c r="G140" i="8"/>
  <c r="I42" i="7"/>
  <c r="H33" i="8"/>
  <c r="H45" i="7"/>
  <c r="H48" i="7" s="1"/>
  <c r="K36" i="7"/>
  <c r="J29" i="7"/>
  <c r="K73" i="7"/>
  <c r="L72" i="7"/>
  <c r="K58" i="8" l="1"/>
  <c r="J60" i="8"/>
  <c r="L75" i="7"/>
  <c r="L29" i="8"/>
  <c r="J9" i="5"/>
  <c r="J11" i="5" s="1"/>
  <c r="J59" i="8"/>
  <c r="H54" i="2"/>
  <c r="H80" i="7"/>
  <c r="G50" i="2"/>
  <c r="G6" i="9" s="1"/>
  <c r="G49" i="2"/>
  <c r="G5" i="9" s="1"/>
  <c r="K59" i="7"/>
  <c r="K30" i="7"/>
  <c r="B9" i="15"/>
  <c r="B5" i="15"/>
  <c r="D55" i="26"/>
  <c r="D86" i="26"/>
  <c r="I23" i="7"/>
  <c r="I56" i="7" s="1"/>
  <c r="J83" i="7"/>
  <c r="J78" i="7"/>
  <c r="H86" i="7"/>
  <c r="H92" i="7" s="1"/>
  <c r="H95" i="7" s="1"/>
  <c r="C57" i="26" s="1"/>
  <c r="J37" i="2"/>
  <c r="J48" i="2" s="1"/>
  <c r="K71" i="7"/>
  <c r="L80" i="8"/>
  <c r="K55" i="8"/>
  <c r="D133" i="9"/>
  <c r="D65" i="9"/>
  <c r="D79" i="9" s="1"/>
  <c r="D90" i="9" s="1"/>
  <c r="D101" i="9" s="1"/>
  <c r="D111" i="9"/>
  <c r="D122" i="9" s="1"/>
  <c r="D131" i="9" s="1"/>
  <c r="J41" i="2"/>
  <c r="J52" i="2" s="1"/>
  <c r="K70" i="7"/>
  <c r="E110" i="9"/>
  <c r="E121" i="9" s="1"/>
  <c r="E130" i="9" s="1"/>
  <c r="E111" i="9"/>
  <c r="E122" i="9" s="1"/>
  <c r="E131" i="9" s="1"/>
  <c r="E77" i="9"/>
  <c r="E88" i="9" s="1"/>
  <c r="E99" i="9" s="1"/>
  <c r="E109" i="9"/>
  <c r="E124" i="9" s="1"/>
  <c r="J36" i="2"/>
  <c r="J47" i="2" s="1"/>
  <c r="F63" i="9"/>
  <c r="F64" i="9" s="1"/>
  <c r="K74" i="7"/>
  <c r="J85" i="8"/>
  <c r="J40" i="2"/>
  <c r="J51" i="2" s="1"/>
  <c r="G3" i="9"/>
  <c r="G7" i="9"/>
  <c r="G4" i="9"/>
  <c r="G8" i="9"/>
  <c r="F61" i="2"/>
  <c r="F106" i="9" s="1"/>
  <c r="F58" i="2"/>
  <c r="F73" i="9" s="1"/>
  <c r="I85" i="8"/>
  <c r="C88" i="26"/>
  <c r="B81" i="9"/>
  <c r="B85" i="9" s="1"/>
  <c r="B96" i="9" s="1"/>
  <c r="B114" i="9"/>
  <c r="B118" i="9" s="1"/>
  <c r="E78" i="9"/>
  <c r="E89" i="9" s="1"/>
  <c r="E100" i="9" s="1"/>
  <c r="E65" i="9"/>
  <c r="K130" i="8"/>
  <c r="L38" i="2"/>
  <c r="K39" i="2"/>
  <c r="L65" i="8"/>
  <c r="L40" i="8"/>
  <c r="H55" i="7"/>
  <c r="J99" i="8"/>
  <c r="J101" i="8" s="1"/>
  <c r="J6" i="5"/>
  <c r="B68" i="9"/>
  <c r="B129" i="9"/>
  <c r="H89" i="8"/>
  <c r="H140" i="8"/>
  <c r="J42" i="7"/>
  <c r="I33" i="8"/>
  <c r="I45" i="7"/>
  <c r="I48" i="7" s="1"/>
  <c r="L36" i="7"/>
  <c r="K29" i="7"/>
  <c r="L58" i="8" l="1"/>
  <c r="L60" i="8" s="1"/>
  <c r="K60" i="8"/>
  <c r="K59" i="8"/>
  <c r="K9" i="5" s="1"/>
  <c r="K11" i="5" s="1"/>
  <c r="L59" i="7"/>
  <c r="L73" i="7"/>
  <c r="I54" i="2"/>
  <c r="I80" i="7"/>
  <c r="H50" i="2"/>
  <c r="H49" i="2"/>
  <c r="H5" i="9" s="1"/>
  <c r="L30" i="7"/>
  <c r="K24" i="7"/>
  <c r="K83" i="7" s="1"/>
  <c r="B11" i="15"/>
  <c r="B10" i="15"/>
  <c r="B7" i="15"/>
  <c r="B6" i="15"/>
  <c r="F76" i="9"/>
  <c r="F91" i="9" s="1"/>
  <c r="F102" i="9" s="1"/>
  <c r="D56" i="26"/>
  <c r="D87" i="26"/>
  <c r="J23" i="7"/>
  <c r="J56" i="7" s="1"/>
  <c r="K37" i="2"/>
  <c r="K48" i="2" s="1"/>
  <c r="L71" i="7"/>
  <c r="I86" i="7"/>
  <c r="I92" i="7" s="1"/>
  <c r="I95" i="7" s="1"/>
  <c r="L55" i="8"/>
  <c r="L70" i="7"/>
  <c r="E133" i="9"/>
  <c r="F110" i="9"/>
  <c r="F121" i="9" s="1"/>
  <c r="F130" i="9" s="1"/>
  <c r="D66" i="9"/>
  <c r="D113" i="9" s="1"/>
  <c r="D120" i="9" s="1"/>
  <c r="K36" i="2"/>
  <c r="K47" i="2" s="1"/>
  <c r="D112" i="9"/>
  <c r="D123" i="9" s="1"/>
  <c r="D132" i="9" s="1"/>
  <c r="L24" i="7"/>
  <c r="K41" i="2"/>
  <c r="K52" i="2" s="1"/>
  <c r="K135" i="8"/>
  <c r="J135" i="8"/>
  <c r="F77" i="9"/>
  <c r="F88" i="9" s="1"/>
  <c r="F99" i="9" s="1"/>
  <c r="K40" i="2"/>
  <c r="K51" i="2" s="1"/>
  <c r="L74" i="7"/>
  <c r="F109" i="9"/>
  <c r="F124" i="9" s="1"/>
  <c r="F133" i="9" s="1"/>
  <c r="C89" i="26"/>
  <c r="H6" i="9"/>
  <c r="H3" i="9"/>
  <c r="H7" i="9"/>
  <c r="H4" i="9"/>
  <c r="H8" i="9"/>
  <c r="H62" i="9" s="1"/>
  <c r="G61" i="2"/>
  <c r="G106" i="9" s="1"/>
  <c r="G58" i="2"/>
  <c r="G73" i="9" s="1"/>
  <c r="G62" i="9"/>
  <c r="F78" i="9"/>
  <c r="F89" i="9" s="1"/>
  <c r="F100" i="9" s="1"/>
  <c r="F111" i="9"/>
  <c r="F122" i="9" s="1"/>
  <c r="F131" i="9" s="1"/>
  <c r="E79" i="9"/>
  <c r="E90" i="9" s="1"/>
  <c r="E101" i="9" s="1"/>
  <c r="E112" i="9"/>
  <c r="E123" i="9" s="1"/>
  <c r="E132" i="9" s="1"/>
  <c r="B82" i="9"/>
  <c r="B86" i="9" s="1"/>
  <c r="B97" i="9" s="1"/>
  <c r="B115" i="9"/>
  <c r="B119" i="9" s="1"/>
  <c r="B30" i="8" s="1"/>
  <c r="F65" i="9"/>
  <c r="F112" i="9" s="1"/>
  <c r="E66" i="9"/>
  <c r="E113" i="9" s="1"/>
  <c r="L130" i="8"/>
  <c r="L39" i="2"/>
  <c r="I55" i="7"/>
  <c r="K99" i="8"/>
  <c r="K6" i="5"/>
  <c r="B127" i="9"/>
  <c r="I89" i="8"/>
  <c r="I140" i="8"/>
  <c r="K42" i="7"/>
  <c r="B21" i="15" s="1"/>
  <c r="J33" i="8"/>
  <c r="J45" i="7"/>
  <c r="J48" i="7" s="1"/>
  <c r="L29" i="7"/>
  <c r="K101" i="8" l="1"/>
  <c r="L59" i="8"/>
  <c r="L9" i="5" s="1"/>
  <c r="L11" i="5" s="1"/>
  <c r="J54" i="2"/>
  <c r="J80" i="7"/>
  <c r="I50" i="2"/>
  <c r="I6" i="9" s="1"/>
  <c r="I49" i="2"/>
  <c r="I5" i="9" s="1"/>
  <c r="K78" i="7"/>
  <c r="C58" i="26"/>
  <c r="C19" i="26"/>
  <c r="D88" i="26"/>
  <c r="K23" i="7"/>
  <c r="L36" i="2"/>
  <c r="L47" i="2" s="1"/>
  <c r="L37" i="2"/>
  <c r="L48" i="2" s="1"/>
  <c r="L78" i="7"/>
  <c r="L83" i="7"/>
  <c r="L23" i="7" s="1"/>
  <c r="L56" i="7" s="1"/>
  <c r="J86" i="7"/>
  <c r="J92" i="7" s="1"/>
  <c r="J95" i="7" s="1"/>
  <c r="C59" i="26" s="1"/>
  <c r="D80" i="9"/>
  <c r="D87" i="9" s="1"/>
  <c r="D98" i="9" s="1"/>
  <c r="L41" i="2"/>
  <c r="L52" i="2" s="1"/>
  <c r="L85" i="8"/>
  <c r="K85" i="8"/>
  <c r="L40" i="2"/>
  <c r="L51" i="2" s="1"/>
  <c r="H63" i="9"/>
  <c r="H64" i="9" s="1"/>
  <c r="G109" i="9"/>
  <c r="G124" i="9" s="1"/>
  <c r="G133" i="9" s="1"/>
  <c r="G76" i="9"/>
  <c r="G91" i="9" s="1"/>
  <c r="G102" i="9" s="1"/>
  <c r="H58" i="2"/>
  <c r="H73" i="9" s="1"/>
  <c r="H61" i="2"/>
  <c r="H106" i="9" s="1"/>
  <c r="H109" i="9" s="1"/>
  <c r="H124" i="9" s="1"/>
  <c r="H133" i="9" s="1"/>
  <c r="C90" i="26"/>
  <c r="I3" i="9"/>
  <c r="I7" i="9"/>
  <c r="I4" i="9"/>
  <c r="I8" i="9"/>
  <c r="I62" i="9" s="1"/>
  <c r="G63" i="9"/>
  <c r="D129" i="9"/>
  <c r="E120" i="9"/>
  <c r="E129" i="9" s="1"/>
  <c r="E80" i="9"/>
  <c r="E87" i="9" s="1"/>
  <c r="E98" i="9" s="1"/>
  <c r="F123" i="9"/>
  <c r="F132" i="9" s="1"/>
  <c r="F79" i="9"/>
  <c r="F90" i="9" s="1"/>
  <c r="F101" i="9" s="1"/>
  <c r="F66" i="9"/>
  <c r="B170" i="9"/>
  <c r="B171" i="9"/>
  <c r="J55" i="7"/>
  <c r="L99" i="8"/>
  <c r="L101" i="8" s="1"/>
  <c r="L6" i="5"/>
  <c r="B164" i="9"/>
  <c r="B166" i="9" s="1"/>
  <c r="B167" i="9" s="1"/>
  <c r="B104" i="8" s="1"/>
  <c r="B128" i="9"/>
  <c r="B31" i="8" s="1"/>
  <c r="B2" i="6"/>
  <c r="B3" i="6" s="1"/>
  <c r="C18" i="26" s="1"/>
  <c r="J89" i="8"/>
  <c r="J140" i="8"/>
  <c r="L42" i="7"/>
  <c r="K33" i="8"/>
  <c r="K45" i="7"/>
  <c r="K48" i="7" s="1"/>
  <c r="B36" i="8" l="1"/>
  <c r="B35" i="8"/>
  <c r="L54" i="2"/>
  <c r="L80" i="7"/>
  <c r="J50" i="2"/>
  <c r="J6" i="9" s="1"/>
  <c r="J49" i="2"/>
  <c r="J5" i="9" s="1"/>
  <c r="B22" i="15"/>
  <c r="K56" i="7"/>
  <c r="D58" i="26"/>
  <c r="D57" i="26"/>
  <c r="D89" i="26"/>
  <c r="H76" i="9"/>
  <c r="H91" i="9" s="1"/>
  <c r="H102" i="9" s="1"/>
  <c r="D18" i="26"/>
  <c r="L86" i="7"/>
  <c r="L92" i="7" s="1"/>
  <c r="L95" i="7" s="1"/>
  <c r="C61" i="26" s="1"/>
  <c r="K86" i="7"/>
  <c r="K92" i="7" s="1"/>
  <c r="K95" i="7" s="1"/>
  <c r="C60" i="26" s="1"/>
  <c r="D60" i="26" s="1"/>
  <c r="L135" i="8"/>
  <c r="H111" i="9"/>
  <c r="H122" i="9" s="1"/>
  <c r="H131" i="9" s="1"/>
  <c r="I63" i="9"/>
  <c r="I64" i="9" s="1"/>
  <c r="H77" i="9"/>
  <c r="H88" i="9" s="1"/>
  <c r="H99" i="9" s="1"/>
  <c r="G110" i="9"/>
  <c r="G121" i="9" s="1"/>
  <c r="G77" i="9"/>
  <c r="G88" i="9" s="1"/>
  <c r="G99" i="9" s="1"/>
  <c r="G64" i="9"/>
  <c r="H110" i="9"/>
  <c r="H121" i="9" s="1"/>
  <c r="H130" i="9" s="1"/>
  <c r="C91" i="26"/>
  <c r="J4" i="9"/>
  <c r="J8" i="9"/>
  <c r="J62" i="9" s="1"/>
  <c r="J7" i="9"/>
  <c r="J3" i="9"/>
  <c r="I58" i="2"/>
  <c r="I73" i="9" s="1"/>
  <c r="I61" i="2"/>
  <c r="I106" i="9" s="1"/>
  <c r="F80" i="9"/>
  <c r="F87" i="9" s="1"/>
  <c r="F98" i="9" s="1"/>
  <c r="F113" i="9"/>
  <c r="F120" i="9" s="1"/>
  <c r="F129" i="9" s="1"/>
  <c r="H78" i="9"/>
  <c r="H89" i="9" s="1"/>
  <c r="H100" i="9" s="1"/>
  <c r="B138" i="8"/>
  <c r="H65" i="9"/>
  <c r="H112" i="9" s="1"/>
  <c r="K55" i="7"/>
  <c r="B137" i="8"/>
  <c r="B87" i="8"/>
  <c r="B136" i="8"/>
  <c r="B86" i="8"/>
  <c r="K89" i="8"/>
  <c r="K140" i="8"/>
  <c r="L33" i="8"/>
  <c r="L45" i="7"/>
  <c r="L48" i="7" s="1"/>
  <c r="B91" i="8" l="1"/>
  <c r="K54" i="2"/>
  <c r="K80" i="7"/>
  <c r="K49" i="2"/>
  <c r="K5" i="9" s="1"/>
  <c r="K50" i="2"/>
  <c r="K6" i="9" s="1"/>
  <c r="D61" i="26"/>
  <c r="A107" i="26"/>
  <c r="D59" i="26"/>
  <c r="B107" i="26"/>
  <c r="I16" i="15"/>
  <c r="D90" i="26"/>
  <c r="I76" i="9"/>
  <c r="I91" i="9" s="1"/>
  <c r="I102" i="9" s="1"/>
  <c r="I110" i="9"/>
  <c r="I121" i="9" s="1"/>
  <c r="I130" i="9" s="1"/>
  <c r="G130" i="9"/>
  <c r="I77" i="9"/>
  <c r="I88" i="9" s="1"/>
  <c r="I99" i="9" s="1"/>
  <c r="J63" i="9"/>
  <c r="J64" i="9" s="1"/>
  <c r="G111" i="9"/>
  <c r="G122" i="9" s="1"/>
  <c r="G65" i="9"/>
  <c r="G78" i="9"/>
  <c r="G89" i="9" s="1"/>
  <c r="G100" i="9" s="1"/>
  <c r="I109" i="9"/>
  <c r="I124" i="9" s="1"/>
  <c r="C92" i="26"/>
  <c r="K3" i="9"/>
  <c r="K7" i="9"/>
  <c r="K4" i="9"/>
  <c r="K8" i="9"/>
  <c r="K62" i="9" s="1"/>
  <c r="J58" i="2"/>
  <c r="J73" i="9" s="1"/>
  <c r="J61" i="2"/>
  <c r="J106" i="9" s="1"/>
  <c r="I78" i="9"/>
  <c r="I89" i="9" s="1"/>
  <c r="I100" i="9" s="1"/>
  <c r="I111" i="9"/>
  <c r="I122" i="9" s="1"/>
  <c r="I131" i="9" s="1"/>
  <c r="H79" i="9"/>
  <c r="H90" i="9" s="1"/>
  <c r="H101" i="9" s="1"/>
  <c r="I65" i="9"/>
  <c r="I112" i="9" s="1"/>
  <c r="B142" i="8"/>
  <c r="H123" i="9"/>
  <c r="H132" i="9" s="1"/>
  <c r="H66" i="9"/>
  <c r="H113" i="9" s="1"/>
  <c r="L55" i="7"/>
  <c r="L89" i="8"/>
  <c r="L140" i="8"/>
  <c r="A119" i="26" l="1"/>
  <c r="L49" i="2"/>
  <c r="L5" i="9" s="1"/>
  <c r="L50" i="2"/>
  <c r="L6" i="9" s="1"/>
  <c r="A117" i="26"/>
  <c r="D91" i="26"/>
  <c r="J76" i="9"/>
  <c r="J91" i="9" s="1"/>
  <c r="J102" i="9" s="1"/>
  <c r="C20" i="26"/>
  <c r="B94" i="8"/>
  <c r="I133" i="9"/>
  <c r="G131" i="9"/>
  <c r="J110" i="9"/>
  <c r="J121" i="9" s="1"/>
  <c r="J130" i="9" s="1"/>
  <c r="J77" i="9"/>
  <c r="J88" i="9" s="1"/>
  <c r="J99" i="9" s="1"/>
  <c r="J111" i="9"/>
  <c r="J122" i="9" s="1"/>
  <c r="J131" i="9" s="1"/>
  <c r="K63" i="9"/>
  <c r="K64" i="9" s="1"/>
  <c r="J109" i="9"/>
  <c r="J124" i="9" s="1"/>
  <c r="J133" i="9" s="1"/>
  <c r="C93" i="26"/>
  <c r="D93" i="26" s="1"/>
  <c r="L3" i="9"/>
  <c r="L7" i="9"/>
  <c r="L4" i="9"/>
  <c r="L8" i="9"/>
  <c r="L62" i="9" s="1"/>
  <c r="K58" i="2"/>
  <c r="K73" i="9" s="1"/>
  <c r="K76" i="9" s="1"/>
  <c r="K91" i="9" s="1"/>
  <c r="K102" i="9" s="1"/>
  <c r="K61" i="2"/>
  <c r="K106" i="9" s="1"/>
  <c r="G112" i="9"/>
  <c r="G123" i="9" s="1"/>
  <c r="G79" i="9"/>
  <c r="G90" i="9" s="1"/>
  <c r="G101" i="9" s="1"/>
  <c r="G66" i="9"/>
  <c r="D165" i="9"/>
  <c r="I66" i="9"/>
  <c r="I113" i="9" s="1"/>
  <c r="I120" i="9" s="1"/>
  <c r="I129" i="9" s="1"/>
  <c r="J78" i="9"/>
  <c r="J89" i="9" s="1"/>
  <c r="J100" i="9" s="1"/>
  <c r="H80" i="9"/>
  <c r="H87" i="9" s="1"/>
  <c r="H98" i="9" s="1"/>
  <c r="I123" i="9"/>
  <c r="I132" i="9" s="1"/>
  <c r="I79" i="9"/>
  <c r="I90" i="9" s="1"/>
  <c r="I101" i="9" s="1"/>
  <c r="H120" i="9"/>
  <c r="H129" i="9" s="1"/>
  <c r="J65" i="9"/>
  <c r="J112" i="9" s="1"/>
  <c r="B100" i="8" l="1"/>
  <c r="B110" i="8" s="1"/>
  <c r="B138" i="9"/>
  <c r="B139" i="9" s="1"/>
  <c r="B140" i="9" s="1"/>
  <c r="B141" i="9" s="1"/>
  <c r="B142" i="9" s="1"/>
  <c r="B143" i="9" s="1"/>
  <c r="B144" i="9" s="1"/>
  <c r="B145" i="9" s="1"/>
  <c r="B146" i="9" s="1"/>
  <c r="B147" i="9" s="1"/>
  <c r="B148" i="9" s="1"/>
  <c r="B149" i="9" s="1"/>
  <c r="B150" i="9" s="1"/>
  <c r="D92" i="26"/>
  <c r="D19" i="26"/>
  <c r="D20" i="26"/>
  <c r="B3" i="5"/>
  <c r="B5" i="5"/>
  <c r="B4" i="5"/>
  <c r="G132" i="9"/>
  <c r="K110" i="9"/>
  <c r="K121" i="9" s="1"/>
  <c r="K130" i="9" s="1"/>
  <c r="L63" i="9"/>
  <c r="L64" i="9" s="1"/>
  <c r="K77" i="9"/>
  <c r="K88" i="9" s="1"/>
  <c r="K99" i="9" s="1"/>
  <c r="K111" i="9"/>
  <c r="K122" i="9" s="1"/>
  <c r="K131" i="9" s="1"/>
  <c r="G113" i="9"/>
  <c r="G120" i="9" s="1"/>
  <c r="G80" i="9"/>
  <c r="G87" i="9" s="1"/>
  <c r="G98" i="9" s="1"/>
  <c r="K109" i="9"/>
  <c r="K124" i="9" s="1"/>
  <c r="K133" i="9" s="1"/>
  <c r="L58" i="2"/>
  <c r="L73" i="9" s="1"/>
  <c r="L76" i="9" s="1"/>
  <c r="L91" i="9" s="1"/>
  <c r="L102" i="9" s="1"/>
  <c r="L61" i="2"/>
  <c r="L106" i="9" s="1"/>
  <c r="L109" i="9" s="1"/>
  <c r="L124" i="9" s="1"/>
  <c r="L133" i="9" s="1"/>
  <c r="E165" i="9"/>
  <c r="I80" i="9"/>
  <c r="I87" i="9" s="1"/>
  <c r="I98" i="9" s="1"/>
  <c r="K78" i="9"/>
  <c r="K89" i="9" s="1"/>
  <c r="K100" i="9" s="1"/>
  <c r="J123" i="9"/>
  <c r="J132" i="9" s="1"/>
  <c r="J79" i="9"/>
  <c r="J90" i="9" s="1"/>
  <c r="J101" i="9" s="1"/>
  <c r="J66" i="9"/>
  <c r="K65" i="9"/>
  <c r="K112" i="9" s="1"/>
  <c r="D148" i="9" l="1"/>
  <c r="D142" i="9"/>
  <c r="D143" i="9"/>
  <c r="D137" i="9"/>
  <c r="D146" i="9"/>
  <c r="D139" i="9"/>
  <c r="D150" i="9"/>
  <c r="D138" i="9"/>
  <c r="D149" i="9"/>
  <c r="D140" i="9"/>
  <c r="D145" i="9"/>
  <c r="D144" i="9"/>
  <c r="D141" i="9"/>
  <c r="D147" i="9"/>
  <c r="B159" i="9"/>
  <c r="C22" i="26"/>
  <c r="B7" i="5"/>
  <c r="B12" i="5" s="1"/>
  <c r="C3" i="26" s="1"/>
  <c r="C4" i="26"/>
  <c r="F165" i="9"/>
  <c r="G129" i="9"/>
  <c r="L77" i="9"/>
  <c r="L88" i="9" s="1"/>
  <c r="L99" i="9" s="1"/>
  <c r="L111" i="9"/>
  <c r="L122" i="9" s="1"/>
  <c r="L110" i="9"/>
  <c r="L121" i="9" s="1"/>
  <c r="L130" i="9" s="1"/>
  <c r="G165" i="9"/>
  <c r="J80" i="9"/>
  <c r="J87" i="9" s="1"/>
  <c r="J98" i="9" s="1"/>
  <c r="J113" i="9"/>
  <c r="J120" i="9" s="1"/>
  <c r="J129" i="9" s="1"/>
  <c r="L78" i="9"/>
  <c r="L89" i="9" s="1"/>
  <c r="L100" i="9" s="1"/>
  <c r="K79" i="9"/>
  <c r="K90" i="9" s="1"/>
  <c r="K101" i="9" s="1"/>
  <c r="L65" i="9"/>
  <c r="K66" i="9"/>
  <c r="K113" i="9" s="1"/>
  <c r="K123" i="9"/>
  <c r="K132" i="9" s="1"/>
  <c r="B143" i="8"/>
  <c r="B144" i="8" s="1"/>
  <c r="C34" i="26" s="1"/>
  <c r="B156" i="9" l="1"/>
  <c r="B69" i="26" s="1"/>
  <c r="C35" i="26"/>
  <c r="D3" i="26"/>
  <c r="H165" i="9"/>
  <c r="I165" i="9" s="1"/>
  <c r="L79" i="9"/>
  <c r="L90" i="9" s="1"/>
  <c r="L101" i="9" s="1"/>
  <c r="L112" i="9"/>
  <c r="L123" i="9" s="1"/>
  <c r="L132" i="9" s="1"/>
  <c r="K120" i="9"/>
  <c r="K129" i="9" s="1"/>
  <c r="K80" i="9"/>
  <c r="K87" i="9" s="1"/>
  <c r="K98" i="9" s="1"/>
  <c r="L66" i="9"/>
  <c r="L113" i="9" s="1"/>
  <c r="L131" i="9"/>
  <c r="B157" i="9"/>
  <c r="B70" i="26" s="1"/>
  <c r="B158" i="9" l="1"/>
  <c r="B71" i="26" s="1"/>
  <c r="D35" i="26"/>
  <c r="D34" i="26"/>
  <c r="J165" i="9"/>
  <c r="K165" i="9" s="1"/>
  <c r="L165" i="9" s="1"/>
  <c r="L120" i="9"/>
  <c r="L129" i="9" s="1"/>
  <c r="L80" i="9"/>
  <c r="L87" i="9" s="1"/>
  <c r="L98" i="9" s="1"/>
  <c r="I4" i="15" l="1"/>
  <c r="C5" i="26"/>
  <c r="B155" i="9"/>
  <c r="B68" i="26" s="1"/>
  <c r="C23" i="26"/>
  <c r="A27" i="15"/>
  <c r="D4" i="26" l="1"/>
  <c r="D22" i="26"/>
  <c r="D23" i="26"/>
  <c r="C6" i="26"/>
  <c r="B153" i="9"/>
  <c r="B66" i="26" s="1"/>
  <c r="B154" i="9" l="1"/>
  <c r="B67" i="26" s="1"/>
  <c r="C26" i="26"/>
  <c r="C7" i="26"/>
  <c r="F4" i="15" s="1"/>
  <c r="D5" i="26"/>
  <c r="A26" i="15" l="1"/>
  <c r="D26" i="26"/>
  <c r="D6" i="26"/>
  <c r="C28" i="26" l="1"/>
  <c r="C41" i="26"/>
  <c r="D28" i="26" l="1"/>
  <c r="A103" i="26"/>
  <c r="B103" i="26"/>
  <c r="D41" i="26"/>
  <c r="C10" i="26"/>
  <c r="C8" i="26"/>
  <c r="A105" i="26" l="1"/>
  <c r="B105" i="26"/>
  <c r="C11" i="26"/>
  <c r="D8" i="26"/>
  <c r="D7" i="26"/>
  <c r="C12" i="26" l="1"/>
  <c r="D12" i="26" s="1"/>
  <c r="D10" i="26"/>
  <c r="A101" i="26" l="1"/>
  <c r="B101" i="26"/>
  <c r="D11" i="26"/>
  <c r="C13" i="26" l="1"/>
  <c r="D13" i="26" s="1"/>
  <c r="C43" i="26"/>
  <c r="D43" i="26" s="1"/>
  <c r="C9" i="26"/>
  <c r="D9" i="26" s="1"/>
  <c r="C44" i="26"/>
  <c r="D44" i="26" s="1"/>
  <c r="C27" i="26"/>
  <c r="D27" i="26" s="1"/>
  <c r="C40" i="26"/>
  <c r="D40" i="26" s="1"/>
  <c r="C42" i="26"/>
  <c r="D42" i="26" s="1"/>
  <c r="C39" i="26"/>
  <c r="D39" i="26" s="1"/>
  <c r="C25" i="26"/>
  <c r="D25" i="26" s="1"/>
  <c r="C38" i="26"/>
  <c r="D38" i="26" s="1"/>
  <c r="E138" i="8"/>
  <c r="C24" i="26"/>
  <c r="D24" i="26" s="1"/>
  <c r="C36" i="26"/>
  <c r="D36" i="26" s="1"/>
  <c r="C37" i="26"/>
  <c r="D37" i="26" s="1"/>
  <c r="C138" i="8"/>
  <c r="C21" i="26"/>
  <c r="D21" i="26" s="1"/>
  <c r="C84" i="26"/>
  <c r="D84" i="26" s="1"/>
  <c r="G138" i="8" l="1"/>
  <c r="I138" i="8"/>
  <c r="J138" i="8"/>
  <c r="D138" i="8"/>
  <c r="D83" i="26"/>
  <c r="F138" i="8"/>
  <c r="L138" i="8"/>
  <c r="H138" i="8"/>
  <c r="K138" i="8"/>
  <c r="C69" i="7" l="1"/>
  <c r="C89" i="7" s="1"/>
  <c r="D69" i="7"/>
  <c r="D89" i="7" s="1"/>
  <c r="E35" i="2"/>
  <c r="E46" i="2" s="1"/>
  <c r="E2" i="9" s="1"/>
  <c r="E67" i="9" s="1"/>
  <c r="C35" i="2"/>
  <c r="C46" i="2" s="1"/>
  <c r="C2" i="9" s="1"/>
  <c r="C67" i="9" s="1"/>
  <c r="F35" i="2" l="1"/>
  <c r="F46" i="2" s="1"/>
  <c r="F2" i="9" s="1"/>
  <c r="F67" i="9" s="1"/>
  <c r="C68" i="9"/>
  <c r="C114" i="9"/>
  <c r="C118" i="9" s="1"/>
  <c r="C81" i="9"/>
  <c r="C85" i="9" s="1"/>
  <c r="C96" i="9" s="1"/>
  <c r="F81" i="9"/>
  <c r="F85" i="9" s="1"/>
  <c r="F96" i="9" s="1"/>
  <c r="F68" i="9"/>
  <c r="F114" i="9"/>
  <c r="F118" i="9" s="1"/>
  <c r="E114" i="9"/>
  <c r="E118" i="9" s="1"/>
  <c r="E81" i="9"/>
  <c r="E85" i="9" s="1"/>
  <c r="E96" i="9" s="1"/>
  <c r="E68" i="9"/>
  <c r="D35" i="2"/>
  <c r="D46" i="2" s="1"/>
  <c r="D2" i="9" s="1"/>
  <c r="D67" i="9" s="1"/>
  <c r="E69" i="7"/>
  <c r="E89" i="7" s="1"/>
  <c r="F69" i="7"/>
  <c r="F89" i="7" s="1"/>
  <c r="E127" i="9" l="1"/>
  <c r="F127" i="9"/>
  <c r="D81" i="9"/>
  <c r="D85" i="9" s="1"/>
  <c r="D96" i="9" s="1"/>
  <c r="D114" i="9"/>
  <c r="D118" i="9" s="1"/>
  <c r="D68" i="9"/>
  <c r="C127" i="9"/>
  <c r="G35" i="2"/>
  <c r="G46" i="2" s="1"/>
  <c r="G2" i="9" s="1"/>
  <c r="G67" i="9" s="1"/>
  <c r="G69" i="7"/>
  <c r="G89" i="7" s="1"/>
  <c r="E115" i="9"/>
  <c r="E119" i="9" s="1"/>
  <c r="E128" i="9" s="1"/>
  <c r="E82" i="9"/>
  <c r="F82" i="9"/>
  <c r="F115" i="9"/>
  <c r="F119" i="9" s="1"/>
  <c r="F128" i="9" s="1"/>
  <c r="C115" i="9"/>
  <c r="C119" i="9" s="1"/>
  <c r="C128" i="9" s="1"/>
  <c r="C82" i="9"/>
  <c r="F31" i="8" l="1"/>
  <c r="E31" i="8"/>
  <c r="E30" i="8"/>
  <c r="C30" i="8"/>
  <c r="C31" i="8"/>
  <c r="F30" i="8"/>
  <c r="F2" i="6"/>
  <c r="F3" i="6" s="1"/>
  <c r="F16" i="15" s="1"/>
  <c r="C171" i="9"/>
  <c r="C86" i="9"/>
  <c r="C97" i="9" s="1"/>
  <c r="E86" i="9"/>
  <c r="E97" i="9" s="1"/>
  <c r="E171" i="9"/>
  <c r="D115" i="9"/>
  <c r="D119" i="9" s="1"/>
  <c r="D128" i="9" s="1"/>
  <c r="D82" i="9"/>
  <c r="C164" i="9"/>
  <c r="C166" i="9" s="1"/>
  <c r="C167" i="9" s="1"/>
  <c r="C104" i="8" s="1"/>
  <c r="D127" i="9"/>
  <c r="F164" i="9"/>
  <c r="F166" i="9" s="1"/>
  <c r="F167" i="9" s="1"/>
  <c r="F104" i="8" s="1"/>
  <c r="E164" i="9"/>
  <c r="E166" i="9" s="1"/>
  <c r="E167" i="9" s="1"/>
  <c r="E104" i="8" s="1"/>
  <c r="G68" i="9"/>
  <c r="G81" i="9"/>
  <c r="G85" i="9" s="1"/>
  <c r="G96" i="9" s="1"/>
  <c r="G114" i="9"/>
  <c r="G118" i="9" s="1"/>
  <c r="E2" i="6"/>
  <c r="C170" i="9"/>
  <c r="F86" i="9"/>
  <c r="F97" i="9" s="1"/>
  <c r="F171" i="9"/>
  <c r="H69" i="7"/>
  <c r="H89" i="7" s="1"/>
  <c r="H35" i="2"/>
  <c r="H46" i="2" s="1"/>
  <c r="H2" i="9" s="1"/>
  <c r="H67" i="9" s="1"/>
  <c r="C2" i="6"/>
  <c r="F170" i="9"/>
  <c r="E170" i="9"/>
  <c r="C137" i="8" l="1"/>
  <c r="C87" i="8"/>
  <c r="C91" i="8" s="1"/>
  <c r="F36" i="8"/>
  <c r="F136" i="8"/>
  <c r="F86" i="8"/>
  <c r="F35" i="8"/>
  <c r="C36" i="8"/>
  <c r="C136" i="8"/>
  <c r="C142" i="8" s="1"/>
  <c r="C86" i="8"/>
  <c r="C35" i="8"/>
  <c r="E36" i="8"/>
  <c r="E86" i="8"/>
  <c r="E136" i="8"/>
  <c r="E142" i="8" s="1"/>
  <c r="E35" i="8"/>
  <c r="E137" i="8"/>
  <c r="E87" i="8"/>
  <c r="D30" i="8"/>
  <c r="D31" i="8"/>
  <c r="F137" i="8"/>
  <c r="F87" i="8"/>
  <c r="F91" i="8" s="1"/>
  <c r="D170" i="9"/>
  <c r="D2" i="6"/>
  <c r="D106" i="8" s="1"/>
  <c r="G115" i="9"/>
  <c r="G119" i="9" s="1"/>
  <c r="G128" i="9" s="1"/>
  <c r="G82" i="9"/>
  <c r="D86" i="9"/>
  <c r="D97" i="9" s="1"/>
  <c r="D171" i="9"/>
  <c r="E3" i="6"/>
  <c r="F106" i="8"/>
  <c r="I69" i="7"/>
  <c r="I89" i="7" s="1"/>
  <c r="I35" i="2"/>
  <c r="I46" i="2" s="1"/>
  <c r="I2" i="9" s="1"/>
  <c r="I67" i="9" s="1"/>
  <c r="C106" i="8"/>
  <c r="C3" i="6"/>
  <c r="G127" i="9"/>
  <c r="G31" i="8" s="1"/>
  <c r="H114" i="9"/>
  <c r="H118" i="9" s="1"/>
  <c r="H81" i="9"/>
  <c r="H85" i="9" s="1"/>
  <c r="H96" i="9" s="1"/>
  <c r="H68" i="9"/>
  <c r="D164" i="9"/>
  <c r="D166" i="9" s="1"/>
  <c r="D167" i="9" s="1"/>
  <c r="D104" i="8" s="1"/>
  <c r="D137" i="8" l="1"/>
  <c r="D87" i="8"/>
  <c r="D36" i="8"/>
  <c r="D136" i="8"/>
  <c r="D142" i="8" s="1"/>
  <c r="D86" i="8"/>
  <c r="D35" i="8"/>
  <c r="F142" i="8"/>
  <c r="F94" i="8"/>
  <c r="F5" i="5"/>
  <c r="F3" i="5"/>
  <c r="G137" i="8"/>
  <c r="G87" i="8"/>
  <c r="C94" i="8"/>
  <c r="C100" i="8" s="1"/>
  <c r="C110" i="8" s="1"/>
  <c r="C143" i="8" s="1"/>
  <c r="C144" i="8" s="1"/>
  <c r="C3" i="5"/>
  <c r="C4" i="5"/>
  <c r="E91" i="8"/>
  <c r="G30" i="8"/>
  <c r="E106" i="8"/>
  <c r="D3" i="6"/>
  <c r="G170" i="9"/>
  <c r="G2" i="6"/>
  <c r="G3" i="6" s="1"/>
  <c r="G164" i="9"/>
  <c r="G166" i="9" s="1"/>
  <c r="G167" i="9" s="1"/>
  <c r="G104" i="8" s="1"/>
  <c r="H127" i="9"/>
  <c r="I68" i="9"/>
  <c r="I81" i="9"/>
  <c r="I85" i="9" s="1"/>
  <c r="I96" i="9" s="1"/>
  <c r="I114" i="9"/>
  <c r="I118" i="9" s="1"/>
  <c r="J35" i="2"/>
  <c r="J46" i="2" s="1"/>
  <c r="J2" i="9" s="1"/>
  <c r="J67" i="9" s="1"/>
  <c r="J69" i="7"/>
  <c r="J89" i="7" s="1"/>
  <c r="G86" i="9"/>
  <c r="G97" i="9" s="1"/>
  <c r="G171" i="9"/>
  <c r="H115" i="9"/>
  <c r="H119" i="9" s="1"/>
  <c r="H128" i="9" s="1"/>
  <c r="H82" i="9"/>
  <c r="G36" i="8" l="1"/>
  <c r="G86" i="8"/>
  <c r="G91" i="8" s="1"/>
  <c r="G136" i="8"/>
  <c r="G142" i="8" s="1"/>
  <c r="G35" i="8"/>
  <c r="F7" i="5"/>
  <c r="F12" i="5" s="1"/>
  <c r="H30" i="8"/>
  <c r="H31" i="8"/>
  <c r="E94" i="8"/>
  <c r="E3" i="5"/>
  <c r="E5" i="5"/>
  <c r="D91" i="8"/>
  <c r="C5" i="5"/>
  <c r="C7" i="5" s="1"/>
  <c r="C12" i="5" s="1"/>
  <c r="C107" i="8" s="1"/>
  <c r="F4" i="5"/>
  <c r="F100" i="8"/>
  <c r="F110" i="8" s="1"/>
  <c r="F143" i="8" s="1"/>
  <c r="F144" i="8" s="1"/>
  <c r="G106" i="8"/>
  <c r="H2" i="6"/>
  <c r="K69" i="7"/>
  <c r="K89" i="7" s="1"/>
  <c r="K35" i="2"/>
  <c r="K46" i="2" s="1"/>
  <c r="K2" i="9" s="1"/>
  <c r="K67" i="9" s="1"/>
  <c r="H164" i="9"/>
  <c r="H166" i="9" s="1"/>
  <c r="H167" i="9" s="1"/>
  <c r="H104" i="8" s="1"/>
  <c r="I127" i="9"/>
  <c r="H170" i="9"/>
  <c r="H86" i="9"/>
  <c r="H97" i="9" s="1"/>
  <c r="H171" i="9"/>
  <c r="J114" i="9"/>
  <c r="J118" i="9" s="1"/>
  <c r="J68" i="9"/>
  <c r="J81" i="9"/>
  <c r="J85" i="9" s="1"/>
  <c r="J96" i="9" s="1"/>
  <c r="I115" i="9"/>
  <c r="I119" i="9" s="1"/>
  <c r="I128" i="9" s="1"/>
  <c r="I82" i="9"/>
  <c r="G94" i="8" l="1"/>
  <c r="G100" i="8" s="1"/>
  <c r="G110" i="8" s="1"/>
  <c r="G143" i="8" s="1"/>
  <c r="G144" i="8" s="1"/>
  <c r="G3" i="5"/>
  <c r="G5" i="5"/>
  <c r="G4" i="5"/>
  <c r="D94" i="8"/>
  <c r="D100" i="8" s="1"/>
  <c r="D110" i="8" s="1"/>
  <c r="D143" i="8" s="1"/>
  <c r="D144" i="8" s="1"/>
  <c r="D3" i="5"/>
  <c r="D5" i="5"/>
  <c r="H36" i="8"/>
  <c r="H136" i="8"/>
  <c r="H86" i="8"/>
  <c r="H35" i="8"/>
  <c r="E4" i="5"/>
  <c r="E7" i="5" s="1"/>
  <c r="E12" i="5" s="1"/>
  <c r="E100" i="8"/>
  <c r="E110" i="8" s="1"/>
  <c r="E143" i="8" s="1"/>
  <c r="E144" i="8" s="1"/>
  <c r="I31" i="8"/>
  <c r="H87" i="8"/>
  <c r="H91" i="8" s="1"/>
  <c r="H137" i="8"/>
  <c r="I30" i="8"/>
  <c r="L69" i="7"/>
  <c r="L89" i="7" s="1"/>
  <c r="L35" i="2"/>
  <c r="L46" i="2" s="1"/>
  <c r="L2" i="9" s="1"/>
  <c r="L67" i="9" s="1"/>
  <c r="I164" i="9"/>
  <c r="I166" i="9" s="1"/>
  <c r="I167" i="9" s="1"/>
  <c r="I104" i="8" s="1"/>
  <c r="I2" i="6"/>
  <c r="K81" i="9"/>
  <c r="K85" i="9" s="1"/>
  <c r="K96" i="9" s="1"/>
  <c r="K114" i="9"/>
  <c r="K118" i="9" s="1"/>
  <c r="K68" i="9"/>
  <c r="J82" i="9"/>
  <c r="J115" i="9"/>
  <c r="J119" i="9" s="1"/>
  <c r="J128" i="9" s="1"/>
  <c r="I171" i="9"/>
  <c r="I86" i="9"/>
  <c r="I97" i="9" s="1"/>
  <c r="J127" i="9"/>
  <c r="I170" i="9"/>
  <c r="H3" i="6"/>
  <c r="H106" i="8"/>
  <c r="F107" i="8" l="1"/>
  <c r="I36" i="8"/>
  <c r="I136" i="8"/>
  <c r="I142" i="8" s="1"/>
  <c r="I86" i="8"/>
  <c r="I35" i="8"/>
  <c r="J30" i="8"/>
  <c r="D7" i="5"/>
  <c r="D12" i="5" s="1"/>
  <c r="D107" i="8" s="1"/>
  <c r="J170" i="9"/>
  <c r="H94" i="8"/>
  <c r="H100" i="8" s="1"/>
  <c r="H110" i="8" s="1"/>
  <c r="H4" i="5"/>
  <c r="H5" i="5"/>
  <c r="H3" i="5"/>
  <c r="J31" i="8"/>
  <c r="H142" i="8"/>
  <c r="J2" i="6"/>
  <c r="I87" i="8"/>
  <c r="I137" i="8"/>
  <c r="G7" i="5"/>
  <c r="G12" i="5" s="1"/>
  <c r="G107" i="8" s="1"/>
  <c r="J164" i="9"/>
  <c r="J166" i="9" s="1"/>
  <c r="J167" i="9" s="1"/>
  <c r="J104" i="8" s="1"/>
  <c r="D4" i="5"/>
  <c r="J3" i="6"/>
  <c r="J86" i="9"/>
  <c r="J97" i="9" s="1"/>
  <c r="J171" i="9"/>
  <c r="K82" i="9"/>
  <c r="K115" i="9"/>
  <c r="K119" i="9" s="1"/>
  <c r="K128" i="9" s="1"/>
  <c r="K127" i="9"/>
  <c r="J106" i="8"/>
  <c r="I3" i="6"/>
  <c r="I106" i="8"/>
  <c r="L68" i="9"/>
  <c r="L81" i="9"/>
  <c r="L85" i="9" s="1"/>
  <c r="L96" i="9" s="1"/>
  <c r="L114" i="9"/>
  <c r="L118" i="9" s="1"/>
  <c r="K30" i="8" l="1"/>
  <c r="J36" i="8"/>
  <c r="J136" i="8"/>
  <c r="J86" i="8"/>
  <c r="J35" i="8"/>
  <c r="J137" i="8"/>
  <c r="J87" i="8"/>
  <c r="J91" i="8" s="1"/>
  <c r="K31" i="8"/>
  <c r="H7" i="5"/>
  <c r="H12" i="5" s="1"/>
  <c r="I91" i="8"/>
  <c r="H143" i="8"/>
  <c r="H144" i="8" s="1"/>
  <c r="E107" i="8"/>
  <c r="K164" i="9"/>
  <c r="K166" i="9" s="1"/>
  <c r="K167" i="9" s="1"/>
  <c r="K104" i="8" s="1"/>
  <c r="K170" i="9"/>
  <c r="L115" i="9"/>
  <c r="L119" i="9" s="1"/>
  <c r="L128" i="9" s="1"/>
  <c r="L82" i="9"/>
  <c r="L127" i="9"/>
  <c r="K2" i="6"/>
  <c r="K171" i="9"/>
  <c r="K86" i="9"/>
  <c r="K97" i="9" s="1"/>
  <c r="L30" i="8" l="1"/>
  <c r="K137" i="8"/>
  <c r="K87" i="8"/>
  <c r="K91" i="8" s="1"/>
  <c r="L31" i="8"/>
  <c r="I94" i="8"/>
  <c r="I100" i="8" s="1"/>
  <c r="I110" i="8" s="1"/>
  <c r="I143" i="8" s="1"/>
  <c r="I144" i="8" s="1"/>
  <c r="I4" i="5"/>
  <c r="I5" i="5"/>
  <c r="J142" i="8"/>
  <c r="J94" i="8"/>
  <c r="J100" i="8" s="1"/>
  <c r="J110" i="8" s="1"/>
  <c r="J143" i="8" s="1"/>
  <c r="J144" i="8" s="1"/>
  <c r="J4" i="5"/>
  <c r="J5" i="5"/>
  <c r="H107" i="8"/>
  <c r="K36" i="8"/>
  <c r="K86" i="8"/>
  <c r="K136" i="8"/>
  <c r="K142" i="8" s="1"/>
  <c r="K35" i="8"/>
  <c r="L2" i="6"/>
  <c r="L3" i="6" s="1"/>
  <c r="L164" i="9"/>
  <c r="L166" i="9" s="1"/>
  <c r="L167" i="9" s="1"/>
  <c r="L104" i="8" s="1"/>
  <c r="L170" i="9"/>
  <c r="L106" i="8"/>
  <c r="K3" i="6"/>
  <c r="K106" i="8"/>
  <c r="L171" i="9"/>
  <c r="L86" i="9"/>
  <c r="L97" i="9" s="1"/>
  <c r="J3" i="5" l="1"/>
  <c r="J7" i="5" s="1"/>
  <c r="J12" i="5" s="1"/>
  <c r="L87" i="8"/>
  <c r="L91" i="8" s="1"/>
  <c r="L137" i="8"/>
  <c r="K94" i="8"/>
  <c r="K100" i="8" s="1"/>
  <c r="K110" i="8" s="1"/>
  <c r="K143" i="8" s="1"/>
  <c r="K144" i="8" s="1"/>
  <c r="K4" i="5"/>
  <c r="K3" i="5"/>
  <c r="K5" i="5"/>
  <c r="L36" i="8"/>
  <c r="L86" i="8"/>
  <c r="L136" i="8"/>
  <c r="L35" i="8"/>
  <c r="I3" i="5"/>
  <c r="I7" i="5" s="1"/>
  <c r="I12" i="5" s="1"/>
  <c r="K7" i="5" l="1"/>
  <c r="K12" i="5" s="1"/>
  <c r="J107" i="8"/>
  <c r="I107" i="8"/>
  <c r="L142" i="8"/>
  <c r="L94" i="8"/>
  <c r="L100" i="8" s="1"/>
  <c r="L110" i="8" s="1"/>
  <c r="L5" i="5"/>
  <c r="L4" i="5"/>
  <c r="L3" i="5" l="1"/>
  <c r="L7" i="5" s="1"/>
  <c r="L12" i="5" s="1"/>
  <c r="L107" i="8" s="1"/>
  <c r="L143" i="8"/>
  <c r="L144" i="8" s="1"/>
  <c r="K10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5" authorId="0" shapeId="0" xr:uid="{00000000-0006-0000-03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A21" authorId="0" shapeId="0" xr:uid="{00000000-0006-0000-0500-000001000000}">
      <text>
        <r>
          <rPr>
            <b/>
            <sz val="9"/>
            <color indexed="81"/>
            <rFont val="Tahoma"/>
            <family val="2"/>
          </rPr>
          <t>Robbie:</t>
        </r>
        <r>
          <rPr>
            <sz val="9"/>
            <color indexed="81"/>
            <rFont val="Tahoma"/>
            <family val="2"/>
          </rPr>
          <t xml:space="preserve">
right now all types of utilities paying for all of this</t>
        </r>
      </text>
    </comment>
  </commentList>
</comments>
</file>

<file path=xl/sharedStrings.xml><?xml version="1.0" encoding="utf-8"?>
<sst xmlns="http://schemas.openxmlformats.org/spreadsheetml/2006/main" count="1074" uniqueCount="477">
  <si>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</si>
  <si>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</si>
  <si>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</si>
  <si>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</si>
  <si>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</si>
  <si>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</si>
  <si>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</si>
  <si>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</si>
  <si>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</si>
  <si>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</si>
  <si>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</si>
  <si>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</si>
  <si>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</si>
  <si>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</si>
  <si>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</si>
  <si>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</si>
  <si>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</si>
  <si>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</si>
  <si>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</si>
  <si>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</si>
  <si>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</si>
  <si>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</si>
  <si>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</si>
  <si>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</si>
  <si>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</si>
  <si>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</si>
  <si>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</si>
  <si>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</si>
  <si>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</si>
  <si>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</si>
  <si>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</si>
  <si>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</si>
  <si>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</si>
  <si>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segment demand into quarters/parts of the year</t>
  </si>
  <si>
    <t>resource adequacy or reserve margins</t>
  </si>
  <si>
    <t>is there some way of tying in metrics/capabilities</t>
  </si>
  <si>
    <t>Events</t>
  </si>
  <si>
    <t>Level of Vertical Integration</t>
  </si>
  <si>
    <t>GTDR</t>
  </si>
  <si>
    <t>DR</t>
  </si>
  <si>
    <t>tradeoff between reserve margin and flexibility</t>
  </si>
  <si>
    <t>will affect transmission and distribution costs</t>
  </si>
  <si>
    <t>reserve margin affects generation as well</t>
  </si>
  <si>
    <t>Transmission Costs</t>
  </si>
  <si>
    <t>Reserve Margin (MW)</t>
  </si>
  <si>
    <t>Flexibility Point per MW</t>
  </si>
  <si>
    <t>Tranmission Amount</t>
  </si>
  <si>
    <t>Storage/DR</t>
  </si>
  <si>
    <t>Total Flexibilty Points</t>
  </si>
  <si>
    <t>Total Needed Flexbility points (based on wind and solar)</t>
  </si>
  <si>
    <t>Flexibility Point per MW*mile</t>
  </si>
  <si>
    <t>GRID MANAGEMENT</t>
  </si>
  <si>
    <t>tramsmission</t>
  </si>
  <si>
    <t>storage</t>
  </si>
  <si>
    <t>dispatchable gen</t>
  </si>
  <si>
    <t>DSM</t>
  </si>
  <si>
    <t>Reserve margins</t>
  </si>
  <si>
    <t>ramping ability</t>
  </si>
  <si>
    <t>access to other markets/interconnection</t>
  </si>
  <si>
    <t>RELIABILITY</t>
  </si>
  <si>
    <t>variable: peak load, variable load, etc…</t>
  </si>
  <si>
    <t>unpredictability; LoL, weather, etc…</t>
  </si>
  <si>
    <t>&lt;- contribute to each of these buckets</t>
  </si>
  <si>
    <t>System load factor</t>
  </si>
  <si>
    <t>reserve margin</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</si>
  <si>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</si>
  <si>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</si>
  <si>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</si>
  <si>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</si>
  <si>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</si>
  <si>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</si>
  <si>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</si>
  <si>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</si>
  <si>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</si>
  <si>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</si>
  <si>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</si>
  <si>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</si>
  <si>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</si>
  <si>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</si>
  <si>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</si>
  <si>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</si>
  <si>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</si>
  <si>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</si>
  <si>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</si>
  <si>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</si>
  <si>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</si>
  <si>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</si>
  <si>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</si>
  <si>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</si>
  <si>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</si>
  <si>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</si>
  <si>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</si>
  <si>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</si>
  <si>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</si>
  <si>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</si>
  <si>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</si>
  <si>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</si>
  <si>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Ready?</t>
  </si>
  <si>
    <t>Not yet.</t>
  </si>
  <si>
    <t>Take me to the next round!</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</si>
  <si>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</si>
  <si>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</si>
  <si>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</si>
  <si>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</si>
  <si>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</si>
  <si>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</si>
  <si>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</si>
  <si>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</si>
  <si>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</si>
  <si>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</si>
  <si>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</si>
  <si>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</si>
  <si>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</si>
  <si>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</si>
  <si>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</si>
  <si>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</si>
  <si>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</si>
  <si>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</si>
  <si>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</si>
  <si>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</si>
  <si>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</si>
  <si>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</si>
  <si>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</si>
  <si>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</si>
  <si>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</si>
  <si>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</si>
  <si>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</si>
  <si>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</si>
  <si>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</si>
  <si>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</si>
  <si>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</si>
  <si>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</si>
  <si>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</si>
  <si>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</si>
  <si>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</si>
  <si>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</si>
  <si>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</si>
  <si>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</si>
  <si>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</si>
  <si>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</si>
  <si>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</si>
  <si>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</si>
  <si>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Total Bill</t>
  </si>
  <si>
    <t>Customer Relationship Charge ($/Bill)</t>
  </si>
  <si>
    <t>Do we allow cost recovery for EE? Right now we are</t>
  </si>
  <si>
    <t>Monthly Use (kWh/customer)</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</si>
  <si>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</si>
  <si>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</si>
  <si>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</si>
  <si>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</si>
  <si>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</si>
  <si>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</si>
  <si>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</si>
  <si>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</si>
  <si>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</si>
  <si>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Amounts</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</si>
  <si>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</si>
  <si>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</si>
  <si>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</si>
  <si>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</si>
  <si>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</si>
  <si>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</si>
  <si>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</si>
  <si>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</si>
  <si>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Assumption used for dispatch</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</si>
  <si>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</si>
  <si>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</si>
  <si>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</si>
  <si>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</si>
  <si>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</si>
  <si>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</si>
  <si>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</si>
  <si>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</si>
  <si>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</si>
  <si>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</si>
  <si>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</si>
  <si>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</si>
  <si>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</si>
  <si>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</si>
  <si>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</si>
  <si>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</si>
  <si>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</si>
  <si>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</si>
  <si>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</si>
  <si>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</si>
  <si>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</si>
  <si>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</si>
  <si>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</si>
  <si>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</si>
  <si>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</si>
  <si>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</si>
  <si>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</si>
  <si>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</si>
  <si>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</si>
  <si>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</si>
  <si>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</si>
  <si>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</si>
  <si>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</si>
  <si>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</si>
  <si>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</si>
  <si>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</si>
  <si>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</si>
  <si>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</si>
  <si>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</si>
  <si>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</si>
  <si>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</si>
  <si>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</si>
  <si>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</si>
  <si>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</si>
  <si>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</si>
  <si>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</si>
  <si>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</si>
  <si>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</si>
  <si>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</si>
  <si>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</si>
  <si>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</si>
  <si>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</si>
  <si>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</si>
  <si>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</si>
  <si>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</si>
  <si>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</si>
  <si>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</si>
  <si>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</si>
  <si>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</si>
  <si>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</si>
  <si>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</si>
  <si>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</si>
  <si>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</si>
  <si>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</si>
  <si>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</si>
  <si>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</si>
  <si>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</si>
  <si>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</si>
  <si>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</si>
  <si>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</si>
  <si>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</si>
  <si>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</si>
  <si>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</si>
  <si>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</si>
  <si>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</si>
  <si>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</si>
  <si>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</si>
  <si>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</si>
  <si>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</si>
  <si>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</si>
  <si>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</si>
  <si>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</si>
  <si>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</si>
  <si>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</si>
  <si>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</si>
  <si>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</si>
  <si>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</si>
  <si>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</si>
  <si>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</si>
  <si>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</si>
  <si>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</si>
  <si>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</si>
  <si>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</si>
  <si>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</si>
  <si>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Environment</t>
  </si>
  <si>
    <t xml:space="preserve">          Customer Bills</t>
  </si>
  <si>
    <t xml:space="preserve">          Reliability</t>
  </si>
  <si>
    <t>Change in RoR with PBR</t>
  </si>
  <si>
    <t>&lt;calibrate this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</si>
  <si>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</si>
  <si>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</si>
  <si>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</si>
  <si>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</si>
  <si>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</si>
  <si>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</si>
  <si>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</si>
  <si>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</si>
  <si>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</si>
  <si>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</si>
  <si>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</si>
  <si>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</si>
  <si>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</si>
  <si>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</si>
  <si>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</si>
  <si>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</si>
  <si>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</si>
  <si>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</si>
  <si>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</si>
  <si>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</si>
  <si>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</si>
  <si>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</si>
  <si>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</si>
  <si>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</si>
  <si>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</si>
  <si>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Utility EE</t>
  </si>
  <si>
    <t>Customer EE</t>
  </si>
  <si>
    <t>Start Year Capacities (MW)</t>
  </si>
  <si>
    <t>DER (solar PV)--&gt; can this be curtailed/does it require distribution system investment??</t>
  </si>
  <si>
    <t>Forecast Utility Demand (Load - DER - Customer EE)</t>
  </si>
  <si>
    <t>Actual Utility Demand (Load - DER - Customer EE)</t>
  </si>
  <si>
    <t>Projected Utility Load</t>
  </si>
  <si>
    <t>utility EE</t>
  </si>
  <si>
    <t>Generation Costs</t>
  </si>
  <si>
    <t xml:space="preserve">     Purchased Generation</t>
  </si>
  <si>
    <t>Round Names</t>
  </si>
  <si>
    <t>Game Setup</t>
  </si>
  <si>
    <t>Round 6</t>
  </si>
  <si>
    <t>Round 7</t>
  </si>
  <si>
    <t>Round 8</t>
  </si>
  <si>
    <t>Round 9</t>
  </si>
  <si>
    <t>Round 10</t>
  </si>
  <si>
    <t>Current Round:</t>
  </si>
  <si>
    <t>Select</t>
  </si>
  <si>
    <t>Let's go!</t>
  </si>
  <si>
    <t>Round Completion</t>
  </si>
  <si>
    <t>Utility Name:</t>
  </si>
  <si>
    <t>New Capacity to Add this Year</t>
  </si>
  <si>
    <t>Capacity Before Additions (MW)</t>
  </si>
  <si>
    <t>Electricity Capacity and Generation</t>
  </si>
  <si>
    <t>New Capacity to Add this Year (MW)</t>
  </si>
  <si>
    <t>Fuel Type</t>
  </si>
  <si>
    <t>Events and Policies</t>
  </si>
  <si>
    <t>None</t>
  </si>
  <si>
    <t>Nat Gas Price Spike</t>
  </si>
  <si>
    <t>$/MWh</t>
  </si>
  <si>
    <t>Natural Gas Price Spike Increase ($/MMBtu)</t>
  </si>
  <si>
    <t>Pre-Event Actual Load (MWh)</t>
  </si>
  <si>
    <t>Post-Event Actual Load (MWh)</t>
  </si>
  <si>
    <t>Event Impacts</t>
  </si>
  <si>
    <t>Heat Wave Load Increase (%)</t>
  </si>
  <si>
    <t>Policy Planning</t>
  </si>
  <si>
    <t>RPS Requirement</t>
  </si>
  <si>
    <t>should there be a one turn delay in policy/event cards? (specifically RPS, CO2 pricing, others?); right now there is a one year delay</t>
  </si>
  <si>
    <t>Unit Type</t>
  </si>
  <si>
    <t>Demand Response</t>
  </si>
  <si>
    <t>Widening Balancing Area</t>
  </si>
  <si>
    <t>Widening Balancing Areas</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</si>
  <si>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</si>
  <si>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</si>
  <si>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</si>
  <si>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</si>
  <si>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</si>
  <si>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</si>
  <si>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</si>
  <si>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</si>
  <si>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</si>
  <si>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</si>
  <si>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</si>
  <si>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</si>
  <si>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</si>
  <si>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</si>
  <si>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</si>
  <si>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http://www.eia.gov/forecasts/capitalcost/pdf/updated_capcost.pdf</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</si>
  <si>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</si>
  <si>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</si>
  <si>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</si>
  <si>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</si>
  <si>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</si>
  <si>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</si>
  <si>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</si>
  <si>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</si>
  <si>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1) Demand for electricity is expected to be stagnant, if not declining over the next 10 years. How will you increase your net income while sales continue to decline?</t>
  </si>
  <si>
    <t>Annual Reduction in Solar PV costs</t>
  </si>
  <si>
    <t>Annual Reduction in Wind Costs</t>
  </si>
  <si>
    <t>solar pv</t>
  </si>
  <si>
    <t>3) The cost of renewable energy technologies, like wind and solar, will continue to drop. This will provide you with cheap new sources of power, but flexibilty may become an issue if you build too much too quickly. How will you integrate these new cheap sources of power?</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</si>
  <si>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</si>
  <si>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</si>
  <si>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</si>
  <si>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</si>
  <si>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</si>
  <si>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</si>
  <si>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</si>
  <si>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</si>
  <si>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</si>
  <si>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</si>
  <si>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</si>
  <si>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</si>
  <si>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</si>
  <si>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</si>
  <si>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</si>
  <si>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</si>
  <si>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</si>
  <si>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</si>
  <si>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</si>
  <si>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</si>
  <si>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</si>
  <si>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</si>
  <si>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Congratulations! Your team has just been assigned the task of managing your utility's energy portfolio. Your goal over the next 10 years (rounds) will be to maximize your utility's performance across four areas: profitiability, customer bills, environmental performance, and realibility.  You will need to balance performance across these four areas in order to ensure your utility's maximum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</si>
  <si>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 xml:space="preserve">Current Round: </t>
  </si>
  <si>
    <t>Average Customer Bill</t>
  </si>
  <si>
    <t>Customer Bills</t>
  </si>
  <si>
    <t>Round 0</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</si>
  <si>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</si>
  <si>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</si>
  <si>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</si>
  <si>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</si>
  <si>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</si>
  <si>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</si>
  <si>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</si>
  <si>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</si>
  <si>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</si>
  <si>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</si>
  <si>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</si>
  <si>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</si>
  <si>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</si>
  <si>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</si>
  <si>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</si>
  <si>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</si>
  <si>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</si>
  <si>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</si>
  <si>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</si>
  <si>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</si>
  <si>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</si>
  <si>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</si>
  <si>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</si>
  <si>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</si>
  <si>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</si>
  <si>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</si>
  <si>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</si>
  <si>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</si>
  <si>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</si>
  <si>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[Insert Utility Name Here]</t>
  </si>
  <si>
    <t>Generation Mix</t>
  </si>
  <si>
    <t>Generation Reserve Margin</t>
  </si>
  <si>
    <t>NERC Standard</t>
  </si>
  <si>
    <t>Transmission, Distribution, and Flexibility Resources</t>
  </si>
  <si>
    <t>Transformers, Substations, Lines, and Feeders (MW)</t>
  </si>
  <si>
    <t>Distribution System Infrastructure</t>
  </si>
  <si>
    <t>Carbon Pricing ($/year)</t>
  </si>
  <si>
    <t>Solar</t>
  </si>
  <si>
    <t>Wind</t>
  </si>
  <si>
    <t>Hydro</t>
  </si>
  <si>
    <t>Distributed PV</t>
  </si>
  <si>
    <t>Total Number of Shares</t>
  </si>
  <si>
    <t>Earnings per Share</t>
  </si>
  <si>
    <t>Pop Up Round Information</t>
  </si>
  <si>
    <t>Here is your performance from the last round:</t>
  </si>
  <si>
    <t>(minutes of outages per year)</t>
  </si>
  <si>
    <t>(lbs/MWh)</t>
  </si>
  <si>
    <t>With your current mix of flexible resources, the most variable capacity you can support this turn is:</t>
  </si>
  <si>
    <t>Business Models</t>
  </si>
  <si>
    <t>ToU Pricing DR Addition (MW)</t>
  </si>
  <si>
    <t>Retirements  (MW)</t>
  </si>
  <si>
    <t>ToU Effects</t>
  </si>
  <si>
    <t>Increased DR (MW)</t>
  </si>
  <si>
    <t>Utility-Scale</t>
  </si>
  <si>
    <t>Distribution Scale</t>
  </si>
  <si>
    <t>Generation Capacity Buildout</t>
  </si>
  <si>
    <t>Utility Resources</t>
  </si>
  <si>
    <t>Installed Capacity (will not affect revenue requirement)</t>
  </si>
  <si>
    <t>Added Capacity (will affect revenue requirement)</t>
  </si>
  <si>
    <t>Load</t>
  </si>
  <si>
    <t>Transmission Capacity (Circuit*miles)</t>
  </si>
  <si>
    <t>Retiring Capacity</t>
  </si>
  <si>
    <t>Bonus/Penalties ($)</t>
  </si>
  <si>
    <t>Bonus/Penalties (% of Net Revenue)</t>
  </si>
  <si>
    <t>Use This Value?</t>
  </si>
  <si>
    <t>God Sheet</t>
  </si>
  <si>
    <t>Yes</t>
  </si>
  <si>
    <t>No</t>
  </si>
  <si>
    <t>Round to Apply Changes To</t>
  </si>
  <si>
    <t>Direct Changes from Override Sheet</t>
  </si>
  <si>
    <t xml:space="preserve">     New Distributed PV</t>
  </si>
  <si>
    <t>Restructured Performance Based Regulatory Model</t>
  </si>
  <si>
    <t>Vertically Integrated Cost of Service Model</t>
  </si>
  <si>
    <t>Restructured Cost of Service Model</t>
  </si>
  <si>
    <t>Restructured Transactive Model</t>
  </si>
  <si>
    <t>Business Model:</t>
  </si>
  <si>
    <t>Business Model Type</t>
  </si>
  <si>
    <t>Vertically Integrated Performanced Based Regulatory Model</t>
  </si>
  <si>
    <t>Types of Costs to Include</t>
  </si>
  <si>
    <t>Generation</t>
  </si>
  <si>
    <t>Transmission</t>
  </si>
  <si>
    <t>Distribution</t>
  </si>
  <si>
    <t>Total Vertically Integrated Utility Revenue Requirement</t>
  </si>
  <si>
    <t>Total Restructured Utility Revenue Requirement</t>
  </si>
  <si>
    <t xml:space="preserve">     Bonus from Performance Incentive Mechanism</t>
  </si>
  <si>
    <t>Revenue from Performance Based Regulation</t>
  </si>
  <si>
    <t>Distribution Only Charge per Customer ($)</t>
  </si>
  <si>
    <t>Distribution Only Charge per Customer ($/kWh)</t>
  </si>
  <si>
    <t>Version 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</si>
</sst>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s>
  <fonts count="1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sz val="24"/>
      <color theme="1"/>
      <name val="Calibri"/>
      <family val="2"/>
      <scheme val="minor"/>
    </font>
    <font>
      <b/>
      <sz val="12"/>
      <color theme="1"/>
      <name val="Calibri"/>
      <family val="2"/>
      <scheme val="minor"/>
    </font>
    <font>
      <sz val="11"/>
      <name val="Calibri"/>
      <family val="2"/>
      <scheme val="minor"/>
    </font>
    <font>
      <b/>
      <sz val="18"/>
      <color theme="1"/>
      <name val="Calibri"/>
      <family val="2"/>
      <scheme val="minor"/>
    </font>
    <font>
      <sz val="11"/>
      <color rgb="FF9C0006"/>
      <name val="Calibri"/>
      <family val="2"/>
      <scheme val="minor"/>
    </font>
    <font>
      <sz val="11"/>
      <color rgb="FFFF0000"/>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s>
  <borders count="22">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6" fillId="12" borderId="0" applyNumberFormat="0" applyBorder="0" applyAlignment="0" applyProtection="0"/>
  </cellStyleXfs>
  <cellXfs count="199">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165" fontId="0" fillId="3" borderId="0" xfId="1" applyNumberFormat="1" applyFont="1" applyFill="1" applyBorder="1"/>
    <xf numFmtId="0" fontId="0" fillId="3" borderId="2" xfId="0" applyFill="1" applyBorder="1"/>
    <xf numFmtId="0" fontId="3" fillId="0" borderId="2" xfId="0" applyFont="1" applyBorder="1"/>
    <xf numFmtId="44" fontId="0" fillId="0" borderId="0" xfId="1" applyFont="1" applyBorder="1"/>
    <xf numFmtId="9" fontId="0" fillId="6" borderId="1" xfId="0" applyNumberFormat="1" applyFill="1" applyBorder="1"/>
    <xf numFmtId="44" fontId="0" fillId="3" borderId="0" xfId="1" applyFon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0" fontId="4" fillId="8" borderId="0" xfId="0" applyFont="1" applyFill="1"/>
    <xf numFmtId="170" fontId="0" fillId="8" borderId="0" xfId="0" applyNumberFormat="1" applyFill="1"/>
    <xf numFmtId="0" fontId="10" fillId="8" borderId="0" xfId="0" applyFont="1" applyFill="1" applyBorder="1" applyAlignment="1"/>
    <xf numFmtId="0" fontId="0" fillId="11"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0" fontId="4" fillId="2" borderId="1" xfId="0" applyFont="1" applyFill="1" applyBorder="1" applyAlignment="1">
      <alignment vertical="center" wrapText="1"/>
    </xf>
    <xf numFmtId="0" fontId="0" fillId="7" borderId="18" xfId="0" applyFill="1" applyBorder="1" applyAlignment="1">
      <alignment wrapText="1"/>
    </xf>
    <xf numFmtId="0" fontId="0" fillId="7" borderId="18" xfId="0" applyFill="1" applyBorder="1"/>
    <xf numFmtId="0" fontId="0" fillId="7" borderId="21" xfId="0" applyFill="1" applyBorder="1"/>
    <xf numFmtId="172" fontId="12" fillId="7" borderId="18" xfId="1" applyNumberFormat="1" applyFont="1" applyFill="1" applyBorder="1" applyAlignment="1">
      <alignment horizontal="center" vertical="center"/>
    </xf>
    <xf numFmtId="172" fontId="12" fillId="7" borderId="21" xfId="1" applyNumberFormat="1" applyFont="1" applyFill="1" applyBorder="1" applyAlignment="1">
      <alignment horizontal="center" vertical="center"/>
    </xf>
    <xf numFmtId="165" fontId="0" fillId="7" borderId="18" xfId="1" applyNumberFormat="1" applyFont="1" applyFill="1" applyBorder="1" applyAlignment="1">
      <alignment horizontal="left" wrapText="1"/>
    </xf>
    <xf numFmtId="1" fontId="0" fillId="7" borderId="18" xfId="2" applyNumberFormat="1" applyFont="1" applyFill="1" applyBorder="1"/>
    <xf numFmtId="1" fontId="0" fillId="7" borderId="21" xfId="2" applyNumberFormat="1" applyFont="1" applyFill="1" applyBorder="1"/>
    <xf numFmtId="0" fontId="0" fillId="8" borderId="0" xfId="0" applyFill="1" applyAlignment="1">
      <alignment vertical="center"/>
    </xf>
    <xf numFmtId="0" fontId="13" fillId="9" borderId="17" xfId="0" applyFont="1" applyFill="1" applyBorder="1" applyAlignment="1">
      <alignment vertical="center" wrapText="1"/>
    </xf>
    <xf numFmtId="0" fontId="13" fillId="9" borderId="0" xfId="0" applyFont="1" applyFill="1" applyBorder="1" applyAlignment="1">
      <alignment vertical="center" wrapText="1"/>
    </xf>
    <xf numFmtId="0" fontId="13" fillId="9" borderId="18" xfId="0" applyFont="1" applyFill="1" applyBorder="1" applyAlignment="1">
      <alignment vertical="center" wrapText="1"/>
    </xf>
    <xf numFmtId="0" fontId="13" fillId="9" borderId="17" xfId="0" applyFont="1" applyFill="1" applyBorder="1" applyAlignment="1">
      <alignment horizontal="left" vertical="center" wrapText="1"/>
    </xf>
    <xf numFmtId="0" fontId="11" fillId="9" borderId="17" xfId="0" applyFont="1" applyFill="1" applyBorder="1"/>
    <xf numFmtId="3" fontId="11" fillId="3" borderId="18" xfId="0" applyNumberFormat="1" applyFont="1" applyFill="1" applyBorder="1"/>
    <xf numFmtId="0" fontId="11" fillId="9" borderId="19" xfId="0" applyFont="1" applyFill="1" applyBorder="1"/>
    <xf numFmtId="3" fontId="11" fillId="9" borderId="0" xfId="0" applyNumberFormat="1" applyFont="1" applyFill="1" applyBorder="1"/>
    <xf numFmtId="3" fontId="11" fillId="2" borderId="18" xfId="0" applyNumberFormat="1" applyFont="1" applyFill="1" applyBorder="1"/>
    <xf numFmtId="3" fontId="11" fillId="9" borderId="20" xfId="0" applyNumberFormat="1" applyFont="1" applyFill="1" applyBorder="1"/>
    <xf numFmtId="3" fontId="11" fillId="2" borderId="21" xfId="0" applyNumberFormat="1" applyFont="1" applyFill="1" applyBorder="1"/>
    <xf numFmtId="0" fontId="11" fillId="9" borderId="18" xfId="0" applyFont="1" applyFill="1" applyBorder="1"/>
    <xf numFmtId="0" fontId="11" fillId="9" borderId="18" xfId="0" applyFont="1" applyFill="1" applyBorder="1" applyAlignment="1"/>
    <xf numFmtId="0" fontId="11" fillId="9" borderId="21" xfId="0" applyFont="1" applyFill="1" applyBorder="1"/>
    <xf numFmtId="0" fontId="11" fillId="3" borderId="1" xfId="0" applyFont="1" applyFill="1" applyBorder="1" applyAlignment="1"/>
    <xf numFmtId="3" fontId="11" fillId="3" borderId="18" xfId="0" applyNumberFormat="1" applyFont="1" applyFill="1" applyBorder="1" applyAlignment="1">
      <alignment vertical="center"/>
    </xf>
    <xf numFmtId="0" fontId="11" fillId="9" borderId="17" xfId="0" applyFont="1" applyFill="1" applyBorder="1" applyAlignment="1">
      <alignment vertical="center" wrapText="1"/>
    </xf>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4" fillId="0" borderId="0" xfId="0" applyFont="1"/>
    <xf numFmtId="165" fontId="14" fillId="0" borderId="0" xfId="1" applyNumberFormat="1" applyFont="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0" fillId="6" borderId="1" xfId="2" applyNumberFormat="1" applyFont="1" applyFill="1" applyBorder="1"/>
    <xf numFmtId="0" fontId="16" fillId="12" borderId="0" xfId="5"/>
    <xf numFmtId="0" fontId="3" fillId="0" borderId="4" xfId="0" applyFont="1" applyFill="1" applyBorder="1"/>
    <xf numFmtId="44" fontId="0" fillId="3" borderId="4" xfId="1" applyFont="1" applyFill="1" applyBorder="1"/>
    <xf numFmtId="0" fontId="3" fillId="4" borderId="0" xfId="0" applyFont="1" applyFill="1"/>
    <xf numFmtId="0" fontId="2" fillId="10" borderId="0" xfId="0" applyFont="1" applyFill="1"/>
    <xf numFmtId="0" fontId="2" fillId="11" borderId="11" xfId="0" applyFont="1" applyFill="1" applyBorder="1"/>
    <xf numFmtId="0" fontId="2" fillId="11" borderId="1" xfId="0" applyFont="1" applyFill="1" applyBorder="1"/>
    <xf numFmtId="3" fontId="17" fillId="0" borderId="0" xfId="0" applyNumberFormat="1" applyFont="1"/>
    <xf numFmtId="3" fontId="14" fillId="0" borderId="0" xfId="0" applyNumberFormat="1" applyFont="1" applyBorder="1"/>
    <xf numFmtId="0" fontId="2" fillId="4" borderId="0" xfId="0" applyFont="1" applyFill="1"/>
    <xf numFmtId="44" fontId="0" fillId="0" borderId="3" xfId="1" applyFont="1" applyFill="1" applyBorder="1"/>
    <xf numFmtId="44" fontId="16" fillId="12" borderId="0" xfId="5" applyNumberFormat="1"/>
    <xf numFmtId="0" fontId="10" fillId="2" borderId="0" xfId="0" applyFont="1" applyFill="1" applyBorder="1" applyAlignment="1">
      <alignment horizontal="center"/>
    </xf>
    <xf numFmtId="0" fontId="11" fillId="8" borderId="0" xfId="0" applyFont="1" applyFill="1" applyAlignment="1">
      <alignment horizontal="left" wrapText="1"/>
    </xf>
    <xf numFmtId="0" fontId="4"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164" fontId="9" fillId="7" borderId="17" xfId="0" applyNumberFormat="1" applyFont="1" applyFill="1" applyBorder="1" applyAlignment="1">
      <alignment horizontal="center"/>
    </xf>
    <xf numFmtId="164" fontId="9" fillId="7" borderId="17" xfId="0" applyNumberFormat="1" applyFont="1" applyFill="1" applyBorder="1" applyAlignment="1">
      <alignment horizontal="center" vertical="top" wrapText="1"/>
    </xf>
    <xf numFmtId="164" fontId="9" fillId="7" borderId="19" xfId="0" applyNumberFormat="1" applyFont="1" applyFill="1" applyBorder="1" applyAlignment="1">
      <alignment horizontal="center" vertical="top" wrapText="1"/>
    </xf>
    <xf numFmtId="171" fontId="9" fillId="7" borderId="17" xfId="1" applyNumberFormat="1" applyFont="1" applyFill="1" applyBorder="1" applyAlignment="1">
      <alignment horizontal="center" vertical="center"/>
    </xf>
    <xf numFmtId="171" fontId="9" fillId="7" borderId="19" xfId="1" applyNumberFormat="1" applyFont="1" applyFill="1" applyBorder="1" applyAlignment="1">
      <alignment horizontal="center" vertical="center"/>
    </xf>
    <xf numFmtId="0" fontId="15" fillId="10" borderId="12" xfId="0" applyFont="1" applyFill="1" applyBorder="1" applyAlignment="1">
      <alignment horizontal="center" vertical="center"/>
    </xf>
    <xf numFmtId="0" fontId="15" fillId="10" borderId="14" xfId="0" applyFont="1" applyFill="1" applyBorder="1" applyAlignment="1">
      <alignment horizontal="center" vertical="center"/>
    </xf>
    <xf numFmtId="0" fontId="4" fillId="4" borderId="0" xfId="0" applyFont="1" applyFill="1" applyAlignment="1">
      <alignment horizont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1" fontId="11" fillId="3" borderId="18" xfId="1" applyNumberFormat="1" applyFont="1" applyFill="1" applyBorder="1" applyAlignment="1">
      <alignment horizontal="right" vertical="center"/>
    </xf>
    <xf numFmtId="1" fontId="11" fillId="3" borderId="21" xfId="1" applyNumberFormat="1" applyFont="1" applyFill="1" applyBorder="1" applyAlignment="1">
      <alignment horizontal="right" vertical="center"/>
    </xf>
    <xf numFmtId="1" fontId="11" fillId="9" borderId="0" xfId="0" applyNumberFormat="1" applyFont="1" applyFill="1" applyBorder="1" applyAlignment="1">
      <alignment horizontal="right" vertical="center" wrapText="1"/>
    </xf>
    <xf numFmtId="1" fontId="11" fillId="9" borderId="20" xfId="0" applyNumberFormat="1" applyFont="1" applyFill="1" applyBorder="1" applyAlignment="1">
      <alignment horizontal="right" vertical="center" wrapText="1"/>
    </xf>
    <xf numFmtId="1" fontId="9" fillId="7" borderId="17" xfId="0" applyNumberFormat="1" applyFont="1" applyFill="1" applyBorder="1" applyAlignment="1">
      <alignment horizontal="center" wrapText="1"/>
    </xf>
    <xf numFmtId="0" fontId="4" fillId="2" borderId="12" xfId="0" applyFont="1" applyFill="1" applyBorder="1" applyAlignment="1">
      <alignment horizontal="center"/>
    </xf>
    <xf numFmtId="0" fontId="4" fillId="2" borderId="14" xfId="0" applyFont="1" applyFill="1" applyBorder="1" applyAlignment="1">
      <alignment horizontal="center"/>
    </xf>
    <xf numFmtId="0" fontId="13" fillId="9" borderId="0" xfId="0" applyFont="1" applyFill="1" applyBorder="1" applyAlignment="1">
      <alignment horizontal="center" vertical="center" wrapText="1"/>
    </xf>
    <xf numFmtId="0" fontId="11" fillId="9" borderId="0" xfId="0" applyFont="1" applyFill="1" applyBorder="1" applyAlignment="1">
      <alignment horizontal="right" wrapText="1"/>
    </xf>
    <xf numFmtId="0" fontId="11" fillId="9" borderId="0" xfId="0" applyFont="1" applyFill="1" applyBorder="1" applyAlignment="1">
      <alignment horizontal="right" vertical="center" wrapText="1"/>
    </xf>
    <xf numFmtId="0" fontId="11" fillId="9" borderId="17" xfId="0" applyFont="1" applyFill="1" applyBorder="1" applyAlignment="1">
      <alignment horizontal="left" wrapText="1"/>
    </xf>
    <xf numFmtId="0" fontId="11" fillId="9" borderId="19" xfId="0" applyFont="1" applyFill="1" applyBorder="1" applyAlignment="1">
      <alignment horizontal="left" wrapText="1"/>
    </xf>
    <xf numFmtId="0" fontId="4" fillId="4"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14">
    <dxf>
      <font>
        <color rgb="FFC00000"/>
      </font>
      <fill>
        <patternFill>
          <bgColor theme="6" tint="0.79998168889431442"/>
        </patternFill>
      </fill>
    </dxf>
    <dxf>
      <font>
        <color theme="5"/>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bottom/>
        <vertical/>
        <horizontal/>
      </border>
    </dxf>
    <dxf>
      <font>
        <color theme="0" tint="-0.24994659260841701"/>
      </font>
      <fill>
        <patternFill>
          <bgColor theme="0" tint="-0.24994659260841701"/>
        </patternFill>
      </fill>
      <border>
        <bottom style="thin">
          <color auto="1"/>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'Resource Mix and Demand'!$B$56:$L$56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41E7-47B6-A5D1-13B3E43C0774}"/>
            </c:ext>
          </c:extLst>
        </c:ser>
        <c:dLbls>
          <c:showLegendKey val="0"/>
          <c:showVal val="0"/>
          <c:showCatName val="0"/>
          <c:showSerName val="0"/>
          <c:showPercent val="0"/>
          <c:showBubbleSize val="0"/>
        </c:dLbls>
        <c:smooth val="0"/>
        <c:axId val="466661312"/>
        <c:axId val="466659744"/>
      </c:lineChart>
      <c:catAx>
        <c:axId val="46666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9744"/>
        <c:crosses val="autoZero"/>
        <c:auto val="1"/>
        <c:lblAlgn val="ctr"/>
        <c:lblOffset val="100"/>
        <c:noMultiLvlLbl val="0"/>
      </c:catAx>
      <c:valAx>
        <c:axId val="4666597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61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'Resource Mix and Demand'!$A$13</c:f>
              <c:strCache>
                <c:ptCount val="1"/>
                <c:pt idx="0">
                  <c:v>coal</c:v>
                </c:pt>
              </c:strCache>
            </c:strRef>
          </c:tx>
          <c:spPr>
            <a:solidFill>
              <a:schemeClr val="accent1"/>
            </a:solidFill>
            <a:ln>
              <a:noFill/>
            </a:ln>
            <a:effectLst/>
          </c:spPr>
          <c:invertIfNegative val="0"/>
          <c:val>
            <c:numRef>
              <c:f>'Resource Mix and Demand'!$B$13:$L$13</c:f>
              <c:numCache>
                <c:formatCode>#,##0</c:formatCode>
                <c:ptCount val="11"/>
                <c:pt idx="0">
                  <c:v>0</c:v>
                </c:pt>
                <c:pt idx="1">
                  <c:v>300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339B-4144-9BF1-8EFC9262D86C}"/>
            </c:ext>
          </c:extLst>
        </c:ser>
        <c:ser>
          <c:idx val="1"/>
          <c:order val="1"/>
          <c:tx>
            <c:strRef>
              <c:f>'Resource Mix and Demand'!$A$15</c:f>
              <c:strCache>
                <c:ptCount val="1"/>
                <c:pt idx="0">
                  <c:v>nuclear</c:v>
                </c:pt>
              </c:strCache>
            </c:strRef>
          </c:tx>
          <c:spPr>
            <a:solidFill>
              <a:schemeClr val="accent2"/>
            </a:solidFill>
            <a:ln>
              <a:noFill/>
            </a:ln>
            <a:effectLst/>
          </c:spPr>
          <c:invertIfNegative val="0"/>
          <c:val>
            <c:numRef>
              <c:f>'Resource Mix and Demand'!$B$15:$L$15</c:f>
              <c:numCache>
                <c:formatCode>#,##0</c:formatCode>
                <c:ptCount val="11"/>
                <c:pt idx="0">
                  <c:v>0</c:v>
                </c:pt>
                <c:pt idx="1">
                  <c:v>0</c:v>
                </c:pt>
                <c:pt idx="2">
                  <c:v>0</c:v>
                </c:pt>
                <c:pt idx="3">
                  <c:v>500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339B-4144-9BF1-8EFC9262D86C}"/>
            </c:ext>
          </c:extLst>
        </c:ser>
        <c:dLbls>
          <c:showLegendKey val="0"/>
          <c:showVal val="0"/>
          <c:showCatName val="0"/>
          <c:showSerName val="0"/>
          <c:showPercent val="0"/>
          <c:showBubbleSize val="0"/>
        </c:dLbls>
        <c:gapWidth val="219"/>
        <c:overlap val="-27"/>
        <c:axId val="466655040"/>
        <c:axId val="466655432"/>
      </c:barChart>
      <c:catAx>
        <c:axId val="466655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5432"/>
        <c:crosses val="autoZero"/>
        <c:auto val="1"/>
        <c:lblAlgn val="ctr"/>
        <c:lblOffset val="100"/>
        <c:noMultiLvlLbl val="0"/>
      </c:catAx>
      <c:valAx>
        <c:axId val="466655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5B-4869-AFAC-23A26EBDA0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5B-4869-AFAC-23A26EBDA0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5B-4869-AFAC-23A26EBDA01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5B-4869-AFAC-23A26EBDA0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5B-4869-AFAC-23A26EBDA0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5B-4869-AFAC-23A26EBDA0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C5B-4869-AFAC-23A26EBDA01A}"/>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Utility EE</c:v>
                </c:pt>
              </c:strCache>
            </c:strRef>
          </c:cat>
          <c:val>
            <c:numRef>
              <c:f>'Game Assumptions'!$K$41:$K$47</c:f>
              <c:numCache>
                <c:formatCode>0</c:formatCode>
                <c:ptCount val="7"/>
                <c:pt idx="0">
                  <c:v>500</c:v>
                </c:pt>
                <c:pt idx="1">
                  <c:v>1200</c:v>
                </c:pt>
                <c:pt idx="2">
                  <c:v>500</c:v>
                </c:pt>
                <c:pt idx="3">
                  <c:v>30</c:v>
                </c:pt>
                <c:pt idx="4">
                  <c:v>30</c:v>
                </c:pt>
                <c:pt idx="5">
                  <c:v>30</c:v>
                </c:pt>
                <c:pt idx="6">
                  <c:v>10</c:v>
                </c:pt>
              </c:numCache>
            </c:numRef>
          </c:val>
          <c:extLst>
            <c:ext xmlns:c16="http://schemas.microsoft.com/office/drawing/2014/chart" uri="{C3380CC4-5D6E-409C-BE32-E72D297353CC}">
              <c16:uniqueId val="{0000000E-2C5B-4869-AFAC-23A26EBDA01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Setup'!$B$47</c:f>
              <c:strCache>
                <c:ptCount val="1"/>
                <c:pt idx="0">
                  <c:v>solar pv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Setup'!$B$48:$B$58</c:f>
              <c:numCache>
                <c:formatCode>0.000</c:formatCode>
                <c:ptCount val="11"/>
                <c:pt idx="0" formatCode="General">
                  <c:v>1.5625</c:v>
                </c:pt>
                <c:pt idx="1">
                  <c:v>1.40625</c:v>
                </c:pt>
                <c:pt idx="2">
                  <c:v>1.265625</c:v>
                </c:pt>
                <c:pt idx="3">
                  <c:v>1.1390625000000001</c:v>
                </c:pt>
                <c:pt idx="4">
                  <c:v>1.0251562500000002</c:v>
                </c:pt>
                <c:pt idx="5">
                  <c:v>0.92264062500000021</c:v>
                </c:pt>
                <c:pt idx="6">
                  <c:v>0.83037656250000025</c:v>
                </c:pt>
                <c:pt idx="7">
                  <c:v>0.74733890625000021</c:v>
                </c:pt>
                <c:pt idx="8">
                  <c:v>0.67260501562500019</c:v>
                </c:pt>
                <c:pt idx="9">
                  <c:v>0.60534451406250023</c:v>
                </c:pt>
                <c:pt idx="10">
                  <c:v>0.5448100626562502</c:v>
                </c:pt>
              </c:numCache>
            </c:numRef>
          </c:val>
          <c:smooth val="0"/>
          <c:extLst>
            <c:ext xmlns:c16="http://schemas.microsoft.com/office/drawing/2014/chart" uri="{C3380CC4-5D6E-409C-BE32-E72D297353CC}">
              <c16:uniqueId val="{00000000-0501-4130-9CC9-0408AC09273C}"/>
            </c:ext>
          </c:extLst>
        </c:ser>
        <c:ser>
          <c:idx val="2"/>
          <c:order val="1"/>
          <c:tx>
            <c:strRef>
              <c:f>'Initial Setup'!$C$47</c:f>
              <c:strCache>
                <c:ptCount val="1"/>
                <c:pt idx="0">
                  <c:v>wind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Setup'!$C$48:$C$58</c:f>
              <c:numCache>
                <c:formatCode>0.000</c:formatCode>
                <c:ptCount val="11"/>
                <c:pt idx="0" formatCode="General">
                  <c:v>1.4750000000000001</c:v>
                </c:pt>
                <c:pt idx="1">
                  <c:v>1.43075</c:v>
                </c:pt>
                <c:pt idx="2">
                  <c:v>1.3878275</c:v>
                </c:pt>
                <c:pt idx="3">
                  <c:v>1.3461926749999999</c:v>
                </c:pt>
                <c:pt idx="4">
                  <c:v>1.3058068947499999</c:v>
                </c:pt>
                <c:pt idx="5">
                  <c:v>1.2666326879074998</c:v>
                </c:pt>
                <c:pt idx="6">
                  <c:v>1.2286337072702749</c:v>
                </c:pt>
                <c:pt idx="7">
                  <c:v>1.1917746960521667</c:v>
                </c:pt>
                <c:pt idx="8">
                  <c:v>1.1560214551706016</c:v>
                </c:pt>
                <c:pt idx="9">
                  <c:v>1.1213408115154835</c:v>
                </c:pt>
                <c:pt idx="10">
                  <c:v>1.0877005871700189</c:v>
                </c:pt>
              </c:numCache>
            </c:numRef>
          </c:val>
          <c:smooth val="0"/>
          <c:extLst>
            <c:ext xmlns:c16="http://schemas.microsoft.com/office/drawing/2014/chart" uri="{C3380CC4-5D6E-409C-BE32-E72D297353CC}">
              <c16:uniqueId val="{00000001-0501-4130-9CC9-0408AC09273C}"/>
            </c:ext>
          </c:extLst>
        </c:ser>
        <c:dLbls>
          <c:showLegendKey val="0"/>
          <c:showVal val="0"/>
          <c:showCatName val="0"/>
          <c:showSerName val="0"/>
          <c:showPercent val="0"/>
          <c:showBubbleSize val="0"/>
        </c:dLbls>
        <c:marker val="1"/>
        <c:smooth val="0"/>
        <c:axId val="466661704"/>
        <c:axId val="466657392"/>
      </c:lineChart>
      <c:catAx>
        <c:axId val="466661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7392"/>
        <c:crosses val="autoZero"/>
        <c:auto val="1"/>
        <c:lblAlgn val="ctr"/>
        <c:lblOffset val="100"/>
        <c:noMultiLvlLbl val="0"/>
      </c:catAx>
      <c:valAx>
        <c:axId val="466657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61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1"/>
              </a:solidFill>
              <a:round/>
            </a:ln>
            <a:effectLst/>
          </c:spPr>
          <c:marker>
            <c:symbol val="none"/>
          </c:marker>
          <c:cat>
            <c:numRef>
              <c:f>'Resource Mix and Demand'!$B$1:$L$1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Demand'!$B$32:$L$32</c:f>
              <c:numCache>
                <c:formatCode>#,##0</c:formatCode>
                <c:ptCount val="11"/>
                <c:pt idx="0">
                  <c:v>10</c:v>
                </c:pt>
                <c:pt idx="1">
                  <c:v>15</c:v>
                </c:pt>
                <c:pt idx="2">
                  <c:v>21</c:v>
                </c:pt>
                <c:pt idx="3">
                  <c:v>28</c:v>
                </c:pt>
                <c:pt idx="4">
                  <c:v>36</c:v>
                </c:pt>
                <c:pt idx="5">
                  <c:v>45</c:v>
                </c:pt>
                <c:pt idx="6">
                  <c:v>55</c:v>
                </c:pt>
                <c:pt idx="7">
                  <c:v>66</c:v>
                </c:pt>
                <c:pt idx="8">
                  <c:v>78</c:v>
                </c:pt>
                <c:pt idx="9">
                  <c:v>91</c:v>
                </c:pt>
                <c:pt idx="10">
                  <c:v>105</c:v>
                </c:pt>
              </c:numCache>
            </c:numRef>
          </c:val>
          <c:smooth val="0"/>
          <c:extLst>
            <c:ext xmlns:c16="http://schemas.microsoft.com/office/drawing/2014/chart" uri="{C3380CC4-5D6E-409C-BE32-E72D297353CC}">
              <c16:uniqueId val="{00000000-E8C6-463F-9529-CA8DCC9E0479}"/>
            </c:ext>
          </c:extLst>
        </c:ser>
        <c:ser>
          <c:idx val="1"/>
          <c:order val="1"/>
          <c:tx>
            <c:v>Customer Energy Efficiency</c:v>
          </c:tx>
          <c:spPr>
            <a:ln w="28575" cap="rnd">
              <a:solidFill>
                <a:schemeClr val="accent2"/>
              </a:solidFill>
              <a:round/>
            </a:ln>
            <a:effectLst/>
          </c:spPr>
          <c:marker>
            <c:symbol val="none"/>
          </c:marker>
          <c:val>
            <c:numRef>
              <c:f>'Resource Mix and Demand'!$B$31:$L$31</c:f>
              <c:numCache>
                <c:formatCode>#,##0</c:formatCode>
                <c:ptCount val="11"/>
                <c:pt idx="0">
                  <c:v>10</c:v>
                </c:pt>
                <c:pt idx="1">
                  <c:v>10.5</c:v>
                </c:pt>
                <c:pt idx="2">
                  <c:v>11.5</c:v>
                </c:pt>
                <c:pt idx="3">
                  <c:v>13</c:v>
                </c:pt>
                <c:pt idx="4">
                  <c:v>15</c:v>
                </c:pt>
                <c:pt idx="5">
                  <c:v>17.5</c:v>
                </c:pt>
                <c:pt idx="6">
                  <c:v>20.5</c:v>
                </c:pt>
                <c:pt idx="7">
                  <c:v>24</c:v>
                </c:pt>
                <c:pt idx="8">
                  <c:v>28</c:v>
                </c:pt>
                <c:pt idx="9">
                  <c:v>32.5</c:v>
                </c:pt>
                <c:pt idx="10">
                  <c:v>37.5</c:v>
                </c:pt>
              </c:numCache>
            </c:numRef>
          </c:val>
          <c:smooth val="0"/>
          <c:extLst>
            <c:ext xmlns:c16="http://schemas.microsoft.com/office/drawing/2014/chart" uri="{C3380CC4-5D6E-409C-BE32-E72D297353CC}">
              <c16:uniqueId val="{00000001-E8C6-463F-9529-CA8DCC9E0479}"/>
            </c:ext>
          </c:extLst>
        </c:ser>
        <c:dLbls>
          <c:showLegendKey val="0"/>
          <c:showVal val="0"/>
          <c:showCatName val="0"/>
          <c:showSerName val="0"/>
          <c:showPercent val="0"/>
          <c:showBubbleSize val="0"/>
        </c:dLbls>
        <c:smooth val="0"/>
        <c:axId val="466655824"/>
        <c:axId val="466658568"/>
      </c:lineChart>
      <c:catAx>
        <c:axId val="46665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8568"/>
        <c:crosses val="autoZero"/>
        <c:auto val="1"/>
        <c:lblAlgn val="ctr"/>
        <c:lblOffset val="100"/>
        <c:noMultiLvlLbl val="0"/>
      </c:catAx>
      <c:valAx>
        <c:axId val="466658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C231-40AE-9584-40E03698BE22}"/>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C231-40AE-9584-40E03698BE22}"/>
            </c:ext>
          </c:extLst>
        </c:ser>
        <c:dLbls>
          <c:showLegendKey val="0"/>
          <c:showVal val="0"/>
          <c:showCatName val="0"/>
          <c:showSerName val="0"/>
          <c:showPercent val="0"/>
          <c:showBubbleSize val="0"/>
        </c:dLbls>
        <c:marker val="1"/>
        <c:smooth val="0"/>
        <c:axId val="466658960"/>
        <c:axId val="466659352"/>
      </c:lineChart>
      <c:catAx>
        <c:axId val="46665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659352"/>
        <c:crosses val="autoZero"/>
        <c:auto val="1"/>
        <c:lblAlgn val="ctr"/>
        <c:lblOffset val="100"/>
        <c:noMultiLvlLbl val="0"/>
      </c:catAx>
      <c:valAx>
        <c:axId val="4666593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658960"/>
        <c:crosses val="autoZero"/>
        <c:crossBetween val="between"/>
        <c:majorUnit val="2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8CB-4D34-AB76-290FD7EA14E7}"/>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8CB-4D34-AB76-290FD7EA14E7}"/>
            </c:ext>
          </c:extLst>
        </c:ser>
        <c:dLbls>
          <c:showLegendKey val="0"/>
          <c:showVal val="0"/>
          <c:showCatName val="0"/>
          <c:showSerName val="0"/>
          <c:showPercent val="0"/>
          <c:showBubbleSize val="0"/>
        </c:dLbls>
        <c:marker val="1"/>
        <c:smooth val="0"/>
        <c:axId val="466660528"/>
        <c:axId val="466662096"/>
      </c:lineChart>
      <c:catAx>
        <c:axId val="46666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662096"/>
        <c:crosses val="autoZero"/>
        <c:auto val="1"/>
        <c:lblAlgn val="ctr"/>
        <c:lblOffset val="100"/>
        <c:noMultiLvlLbl val="0"/>
      </c:catAx>
      <c:valAx>
        <c:axId val="4666620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6605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AA8-47FB-9D83-A566B4DC245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AA8-47FB-9D83-A566B4DC245C}"/>
            </c:ext>
          </c:extLst>
        </c:ser>
        <c:dLbls>
          <c:showLegendKey val="0"/>
          <c:showVal val="0"/>
          <c:showCatName val="0"/>
          <c:showSerName val="0"/>
          <c:showPercent val="0"/>
          <c:showBubbleSize val="0"/>
        </c:dLbls>
        <c:marker val="1"/>
        <c:smooth val="0"/>
        <c:axId val="535236416"/>
        <c:axId val="535237200"/>
      </c:lineChart>
      <c:catAx>
        <c:axId val="53523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35237200"/>
        <c:crosses val="autoZero"/>
        <c:auto val="1"/>
        <c:lblAlgn val="ctr"/>
        <c:lblOffset val="100"/>
        <c:noMultiLvlLbl val="0"/>
      </c:catAx>
      <c:valAx>
        <c:axId val="5352372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3523641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4DA-4923-9191-9E587DE549D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4DA-4923-9191-9E587DE549DF}"/>
            </c:ext>
          </c:extLst>
        </c:ser>
        <c:dLbls>
          <c:showLegendKey val="0"/>
          <c:showVal val="0"/>
          <c:showCatName val="0"/>
          <c:showSerName val="0"/>
          <c:showPercent val="0"/>
          <c:showBubbleSize val="0"/>
        </c:dLbls>
        <c:marker val="1"/>
        <c:smooth val="0"/>
        <c:axId val="535235240"/>
        <c:axId val="535236024"/>
      </c:lineChart>
      <c:catAx>
        <c:axId val="535235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35236024"/>
        <c:crosses val="autoZero"/>
        <c:auto val="1"/>
        <c:lblAlgn val="ctr"/>
        <c:lblOffset val="100"/>
        <c:noMultiLvlLbl val="0"/>
      </c:catAx>
      <c:valAx>
        <c:axId val="5352360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352352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47F-42D9-90FD-793360CD79DC}"/>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E47F-42D9-90FD-793360CD79D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Demand'!$A$57</c:f>
              <c:strCache>
                <c:ptCount val="1"/>
                <c:pt idx="0">
                  <c:v>Forecast Demand (MWh)</c:v>
                </c:pt>
              </c:strCache>
            </c:strRef>
          </c:tx>
          <c:spPr>
            <a:ln w="28575" cap="rnd">
              <a:solidFill>
                <a:schemeClr val="accent1"/>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E052-4BEF-99C3-B24ABB01DD0B}"/>
            </c:ext>
          </c:extLst>
        </c:ser>
        <c:ser>
          <c:idx val="1"/>
          <c:order val="1"/>
          <c:spPr>
            <a:ln w="28575" cap="rnd">
              <a:solidFill>
                <a:schemeClr val="accent2"/>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Demand'!$B$59:$L$59</c:f>
              <c:numCache>
                <c:formatCode>#,##0</c:formatCode>
                <c:ptCount val="11"/>
                <c:pt idx="0">
                  <c:v>9000000</c:v>
                </c:pt>
                <c:pt idx="1">
                  <c:v>8448000</c:v>
                </c:pt>
                <c:pt idx="2">
                  <c:v>9135000</c:v>
                </c:pt>
                <c:pt idx="3">
                  <c:v>8840000</c:v>
                </c:pt>
                <c:pt idx="4">
                  <c:v>8715000</c:v>
                </c:pt>
                <c:pt idx="5">
                  <c:v>8568000</c:v>
                </c:pt>
                <c:pt idx="6">
                  <c:v>7954000</c:v>
                </c:pt>
                <c:pt idx="7">
                  <c:v>8400000</c:v>
                </c:pt>
                <c:pt idx="8">
                  <c:v>8118000</c:v>
                </c:pt>
                <c:pt idx="9">
                  <c:v>7776000</c:v>
                </c:pt>
                <c:pt idx="10">
                  <c:v>8000000</c:v>
                </c:pt>
              </c:numCache>
            </c:numRef>
          </c:val>
          <c:smooth val="0"/>
          <c:extLst>
            <c:ext xmlns:c16="http://schemas.microsoft.com/office/drawing/2014/chart" uri="{C3380CC4-5D6E-409C-BE32-E72D297353CC}">
              <c16:uniqueId val="{00000001-E052-4BEF-99C3-B24ABB01DD0B}"/>
            </c:ext>
          </c:extLst>
        </c:ser>
        <c:dLbls>
          <c:showLegendKey val="0"/>
          <c:showVal val="0"/>
          <c:showCatName val="0"/>
          <c:showSerName val="0"/>
          <c:showPercent val="0"/>
          <c:showBubbleSize val="0"/>
        </c:dLbls>
        <c:smooth val="0"/>
        <c:axId val="535231712"/>
        <c:axId val="535234064"/>
      </c:lineChart>
      <c:catAx>
        <c:axId val="53523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4064"/>
        <c:crosses val="autoZero"/>
        <c:auto val="1"/>
        <c:lblAlgn val="ctr"/>
        <c:lblOffset val="100"/>
        <c:noMultiLvlLbl val="0"/>
      </c:catAx>
      <c:valAx>
        <c:axId val="5352340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1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Dispatch!$B$137:$B$150</c:f>
              <c:numCache>
                <c:formatCode>_(* #,##0_);_(* \(#,##0\);_(* "-"??_);_(@_)</c:formatCode>
                <c:ptCount val="14"/>
                <c:pt idx="0" formatCode="General">
                  <c:v>0</c:v>
                </c:pt>
                <c:pt idx="1">
                  <c:v>87600</c:v>
                </c:pt>
                <c:pt idx="2">
                  <c:v>87600</c:v>
                </c:pt>
                <c:pt idx="3">
                  <c:v>153300</c:v>
                </c:pt>
                <c:pt idx="4">
                  <c:v>153300</c:v>
                </c:pt>
                <c:pt idx="5">
                  <c:v>232140</c:v>
                </c:pt>
                <c:pt idx="6">
                  <c:v>232140</c:v>
                </c:pt>
                <c:pt idx="7">
                  <c:v>389820</c:v>
                </c:pt>
                <c:pt idx="8">
                  <c:v>389820</c:v>
                </c:pt>
                <c:pt idx="9">
                  <c:v>4331820</c:v>
                </c:pt>
                <c:pt idx="10">
                  <c:v>4331820</c:v>
                </c:pt>
                <c:pt idx="11">
                  <c:v>6959820</c:v>
                </c:pt>
                <c:pt idx="12">
                  <c:v>6959820</c:v>
                </c:pt>
                <c:pt idx="13">
                  <c:v>11164620</c:v>
                </c:pt>
              </c:numCache>
            </c:numRef>
          </c:xVal>
          <c:yVal>
            <c:numRef>
              <c:f>Dispatch!$C$137:$C$150</c:f>
              <c:numCache>
                <c:formatCode>_("$"* #,##0.00_);_("$"* \(#,##0.00\);_("$"* "-"??_);_(@_)</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0-CF06-47B0-8943-854598A0584C}"/>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Dispatch!$D$137:$D$150</c:f>
              <c:numCache>
                <c:formatCode>General</c:formatCode>
                <c:ptCount val="14"/>
                <c:pt idx="0">
                  <c:v>8890500</c:v>
                </c:pt>
                <c:pt idx="1">
                  <c:v>8890500</c:v>
                </c:pt>
                <c:pt idx="2">
                  <c:v>8890500</c:v>
                </c:pt>
                <c:pt idx="3">
                  <c:v>8890500</c:v>
                </c:pt>
                <c:pt idx="4">
                  <c:v>8890500</c:v>
                </c:pt>
                <c:pt idx="5">
                  <c:v>8890500</c:v>
                </c:pt>
                <c:pt idx="6">
                  <c:v>8890500</c:v>
                </c:pt>
                <c:pt idx="7">
                  <c:v>8890500</c:v>
                </c:pt>
                <c:pt idx="8">
                  <c:v>8890500</c:v>
                </c:pt>
                <c:pt idx="9">
                  <c:v>8890500</c:v>
                </c:pt>
                <c:pt idx="10">
                  <c:v>8890500</c:v>
                </c:pt>
                <c:pt idx="11">
                  <c:v>8890500</c:v>
                </c:pt>
                <c:pt idx="12">
                  <c:v>8890500</c:v>
                </c:pt>
                <c:pt idx="13">
                  <c:v>8890500</c:v>
                </c:pt>
              </c:numCache>
            </c:numRef>
          </c:xVal>
          <c:yVal>
            <c:numRef>
              <c:f>Dispatch!$E$137:$E$150</c:f>
              <c:numCache>
                <c:formatCode>General</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1-CF06-47B0-8943-854598A0584C}"/>
            </c:ext>
          </c:extLst>
        </c:ser>
        <c:dLbls>
          <c:showLegendKey val="0"/>
          <c:showVal val="0"/>
          <c:showCatName val="0"/>
          <c:showSerName val="0"/>
          <c:showPercent val="0"/>
          <c:showBubbleSize val="0"/>
        </c:dLbls>
        <c:axId val="535232104"/>
        <c:axId val="535238376"/>
      </c:scatterChart>
      <c:valAx>
        <c:axId val="535232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8376"/>
        <c:crosses val="autoZero"/>
        <c:crossBetween val="midCat"/>
      </c:valAx>
      <c:valAx>
        <c:axId val="535238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21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29-4B85-928C-0B19BEC4E5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29-4B85-928C-0B19BEC4E50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29-4B85-928C-0B19BEC4E50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29-4B85-928C-0B19BEC4E50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29-4B85-928C-0B19BEC4E50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29-4B85-928C-0B19BEC4E504}"/>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0729-4B85-928C-0B19BEC4E504}"/>
              </c:ext>
            </c:extLst>
          </c:dPt>
          <c:cat>
            <c:strRef>
              <c:f>Dispatch!$A$153:$A$159</c:f>
              <c:strCache>
                <c:ptCount val="7"/>
                <c:pt idx="0">
                  <c:v>coal</c:v>
                </c:pt>
                <c:pt idx="1">
                  <c:v>natural gas</c:v>
                </c:pt>
                <c:pt idx="2">
                  <c:v>nuclear</c:v>
                </c:pt>
                <c:pt idx="3">
                  <c:v>solar</c:v>
                </c:pt>
                <c:pt idx="4">
                  <c:v>wind</c:v>
                </c:pt>
                <c:pt idx="5">
                  <c:v>hydro</c:v>
                </c:pt>
                <c:pt idx="6">
                  <c:v>utility EE</c:v>
                </c:pt>
              </c:strCache>
            </c:strRef>
          </c:cat>
          <c:val>
            <c:numRef>
              <c:f>Dispatch!$B$153:$B$159</c:f>
              <c:numCache>
                <c:formatCode>_(* #,##0_);_(* \(#,##0\);_(* "-"??_);_(@_)</c:formatCode>
                <c:ptCount val="7"/>
                <c:pt idx="0">
                  <c:v>2628000</c:v>
                </c:pt>
                <c:pt idx="1">
                  <c:v>1930680</c:v>
                </c:pt>
                <c:pt idx="2">
                  <c:v>3942000</c:v>
                </c:pt>
                <c:pt idx="3">
                  <c:v>65700</c:v>
                </c:pt>
                <c:pt idx="4">
                  <c:v>78840</c:v>
                </c:pt>
                <c:pt idx="5">
                  <c:v>157680</c:v>
                </c:pt>
                <c:pt idx="6">
                  <c:v>87600</c:v>
                </c:pt>
              </c:numCache>
            </c:numRef>
          </c:val>
          <c:extLst>
            <c:ext xmlns:c16="http://schemas.microsoft.com/office/drawing/2014/chart" uri="{C3380CC4-5D6E-409C-BE32-E72D297353CC}">
              <c16:uniqueId val="{0000000E-0729-4B85-928C-0B19BEC4E50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4A2-4D67-9A5F-455D6D46B4EE}"/>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4A2-4D67-9A5F-455D6D46B4EE}"/>
            </c:ext>
          </c:extLst>
        </c:ser>
        <c:dLbls>
          <c:showLegendKey val="0"/>
          <c:showVal val="0"/>
          <c:showCatName val="0"/>
          <c:showSerName val="0"/>
          <c:showPercent val="0"/>
          <c:showBubbleSize val="0"/>
        </c:dLbls>
        <c:marker val="1"/>
        <c:smooth val="0"/>
        <c:axId val="535235632"/>
        <c:axId val="535237984"/>
      </c:lineChart>
      <c:catAx>
        <c:axId val="53523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7984"/>
        <c:crosses val="autoZero"/>
        <c:auto val="1"/>
        <c:lblAlgn val="ctr"/>
        <c:lblOffset val="100"/>
        <c:noMultiLvlLbl val="0"/>
      </c:catAx>
      <c:valAx>
        <c:axId val="535237984"/>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5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4ED5-46E5-B0FB-9112A42CC94B}"/>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4ED5-46E5-B0FB-9112A42CC94B}"/>
            </c:ext>
          </c:extLst>
        </c:ser>
        <c:dLbls>
          <c:showLegendKey val="0"/>
          <c:showVal val="0"/>
          <c:showCatName val="0"/>
          <c:showSerName val="0"/>
          <c:showPercent val="0"/>
          <c:showBubbleSize val="0"/>
        </c:dLbls>
        <c:marker val="1"/>
        <c:smooth val="0"/>
        <c:axId val="535237592"/>
        <c:axId val="535230928"/>
      </c:lineChart>
      <c:catAx>
        <c:axId val="535237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0928"/>
        <c:crosses val="autoZero"/>
        <c:auto val="1"/>
        <c:lblAlgn val="ctr"/>
        <c:lblOffset val="100"/>
        <c:noMultiLvlLbl val="0"/>
      </c:catAx>
      <c:valAx>
        <c:axId val="535230928"/>
        <c:scaling>
          <c:orientation val="minMax"/>
          <c:max val="1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37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C22-46F0-BE83-F4DC82AF491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C22-46F0-BE83-F4DC82AF491F}"/>
            </c:ext>
          </c:extLst>
        </c:ser>
        <c:dLbls>
          <c:showLegendKey val="0"/>
          <c:showVal val="0"/>
          <c:showCatName val="0"/>
          <c:showSerName val="0"/>
          <c:showPercent val="0"/>
          <c:showBubbleSize val="0"/>
        </c:dLbls>
        <c:marker val="1"/>
        <c:smooth val="0"/>
        <c:axId val="467956520"/>
        <c:axId val="467950640"/>
      </c:lineChart>
      <c:catAx>
        <c:axId val="467956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0640"/>
        <c:crosses val="autoZero"/>
        <c:auto val="1"/>
        <c:lblAlgn val="ctr"/>
        <c:lblOffset val="100"/>
        <c:noMultiLvlLbl val="0"/>
      </c:catAx>
      <c:valAx>
        <c:axId val="4679506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6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1742-43B7-9C04-0C7FA655BC86}"/>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1742-43B7-9C04-0C7FA655BC86}"/>
            </c:ext>
          </c:extLst>
        </c:ser>
        <c:dLbls>
          <c:showLegendKey val="0"/>
          <c:showVal val="0"/>
          <c:showCatName val="0"/>
          <c:showSerName val="0"/>
          <c:showPercent val="0"/>
          <c:showBubbleSize val="0"/>
        </c:dLbls>
        <c:marker val="1"/>
        <c:smooth val="0"/>
        <c:axId val="467952208"/>
        <c:axId val="467954168"/>
      </c:lineChart>
      <c:catAx>
        <c:axId val="46795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4168"/>
        <c:crosses val="autoZero"/>
        <c:auto val="1"/>
        <c:lblAlgn val="ctr"/>
        <c:lblOffset val="100"/>
        <c:noMultiLvlLbl val="0"/>
      </c:catAx>
      <c:valAx>
        <c:axId val="467954168"/>
        <c:scaling>
          <c:orientation val="minMax"/>
          <c:max val="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2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94A9-49AC-BA71-7DF0E44274B4}"/>
              </c:ext>
            </c:extLst>
          </c:dPt>
          <c:dPt>
            <c:idx val="1"/>
            <c:bubble3D val="0"/>
            <c:spPr>
              <a:solidFill>
                <a:schemeClr val="accent2"/>
              </a:solidFill>
              <a:ln>
                <a:noFill/>
              </a:ln>
              <a:effectLst/>
            </c:spPr>
            <c:extLst>
              <c:ext xmlns:c16="http://schemas.microsoft.com/office/drawing/2014/chart" uri="{C3380CC4-5D6E-409C-BE32-E72D297353CC}">
                <c16:uniqueId val="{00000003-94A9-49AC-BA71-7DF0E44274B4}"/>
              </c:ext>
            </c:extLst>
          </c:dPt>
          <c:dPt>
            <c:idx val="2"/>
            <c:bubble3D val="0"/>
            <c:spPr>
              <a:solidFill>
                <a:schemeClr val="accent3"/>
              </a:solidFill>
              <a:ln>
                <a:noFill/>
              </a:ln>
              <a:effectLst/>
            </c:spPr>
            <c:extLst>
              <c:ext xmlns:c16="http://schemas.microsoft.com/office/drawing/2014/chart" uri="{C3380CC4-5D6E-409C-BE32-E72D297353CC}">
                <c16:uniqueId val="{00000005-94A9-49AC-BA71-7DF0E44274B4}"/>
              </c:ext>
            </c:extLst>
          </c:dPt>
          <c:dPt>
            <c:idx val="3"/>
            <c:bubble3D val="0"/>
            <c:spPr>
              <a:solidFill>
                <a:schemeClr val="accent4"/>
              </a:solidFill>
              <a:ln>
                <a:noFill/>
              </a:ln>
              <a:effectLst/>
            </c:spPr>
            <c:extLst>
              <c:ext xmlns:c16="http://schemas.microsoft.com/office/drawing/2014/chart" uri="{C3380CC4-5D6E-409C-BE32-E72D297353CC}">
                <c16:uniqueId val="{00000007-94A9-49AC-BA71-7DF0E44274B4}"/>
              </c:ext>
            </c:extLst>
          </c:dPt>
          <c:dPt>
            <c:idx val="4"/>
            <c:bubble3D val="0"/>
            <c:spPr>
              <a:solidFill>
                <a:schemeClr val="accent5"/>
              </a:solidFill>
              <a:ln>
                <a:noFill/>
              </a:ln>
              <a:effectLst/>
            </c:spPr>
            <c:extLst>
              <c:ext xmlns:c16="http://schemas.microsoft.com/office/drawing/2014/chart" uri="{C3380CC4-5D6E-409C-BE32-E72D297353CC}">
                <c16:uniqueId val="{00000009-94A9-49AC-BA71-7DF0E44274B4}"/>
              </c:ext>
            </c:extLst>
          </c:dPt>
          <c:dPt>
            <c:idx val="5"/>
            <c:bubble3D val="0"/>
            <c:spPr>
              <a:solidFill>
                <a:schemeClr val="accent6"/>
              </a:solidFill>
              <a:ln>
                <a:noFill/>
              </a:ln>
              <a:effectLst/>
            </c:spPr>
            <c:extLst>
              <c:ext xmlns:c16="http://schemas.microsoft.com/office/drawing/2014/chart" uri="{C3380CC4-5D6E-409C-BE32-E72D297353CC}">
                <c16:uniqueId val="{0000000B-94A9-49AC-BA71-7DF0E44274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Graphs!$A$66:$A$71</c:f>
              <c:strCache>
                <c:ptCount val="6"/>
                <c:pt idx="0">
                  <c:v>coal</c:v>
                </c:pt>
                <c:pt idx="1">
                  <c:v>natural gas</c:v>
                </c:pt>
                <c:pt idx="2">
                  <c:v>nuclear</c:v>
                </c:pt>
                <c:pt idx="3">
                  <c:v>solar</c:v>
                </c:pt>
                <c:pt idx="4">
                  <c:v>wind</c:v>
                </c:pt>
                <c:pt idx="5">
                  <c:v>hydro</c:v>
                </c:pt>
              </c:strCache>
            </c:strRef>
          </c:cat>
          <c:val>
            <c:numRef>
              <c:f>Graphs!$B$66:$B$71</c:f>
              <c:numCache>
                <c:formatCode>General</c:formatCode>
                <c:ptCount val="6"/>
                <c:pt idx="0">
                  <c:v>2628000</c:v>
                </c:pt>
                <c:pt idx="1">
                  <c:v>1930680</c:v>
                </c:pt>
                <c:pt idx="2">
                  <c:v>3942000</c:v>
                </c:pt>
                <c:pt idx="3">
                  <c:v>65700</c:v>
                </c:pt>
                <c:pt idx="4">
                  <c:v>78840</c:v>
                </c:pt>
                <c:pt idx="5">
                  <c:v>157680</c:v>
                </c:pt>
              </c:numCache>
            </c:numRef>
          </c:val>
          <c:extLst>
            <c:ext xmlns:c16="http://schemas.microsoft.com/office/drawing/2014/chart" uri="{C3380CC4-5D6E-409C-BE32-E72D297353CC}">
              <c16:uniqueId val="{0000000C-94A9-49AC-BA71-7DF0E44274B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Graphs!$C$83:$C$93</c:f>
              <c:numCache>
                <c:formatCode>0%</c:formatCode>
                <c:ptCount val="11"/>
                <c:pt idx="0">
                  <c:v>0.17384000000000022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7380-4FA4-AC40-AA43DFBAACF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Graphs!$D$83:$D$93</c:f>
              <c:numCache>
                <c:formatCode>0%</c:formatCode>
                <c:ptCount val="11"/>
                <c:pt idx="0">
                  <c:v>0.17384000000000022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7380-4FA4-AC40-AA43DFBAACFC}"/>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7380-4FA4-AC40-AA43DFBAACFC}"/>
            </c:ext>
          </c:extLst>
        </c:ser>
        <c:dLbls>
          <c:showLegendKey val="0"/>
          <c:showVal val="0"/>
          <c:showCatName val="0"/>
          <c:showSerName val="0"/>
          <c:showPercent val="0"/>
          <c:showBubbleSize val="0"/>
        </c:dLbls>
        <c:marker val="1"/>
        <c:smooth val="0"/>
        <c:axId val="467957304"/>
        <c:axId val="467951424"/>
      </c:lineChart>
      <c:catAx>
        <c:axId val="467957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1424"/>
        <c:crosses val="autoZero"/>
        <c:auto val="1"/>
        <c:lblAlgn val="ctr"/>
        <c:lblOffset val="100"/>
        <c:noMultiLvlLbl val="0"/>
      </c:catAx>
      <c:valAx>
        <c:axId val="467951424"/>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7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95249</xdr:colOff>
      <xdr:row>10</xdr:row>
      <xdr:rowOff>157162</xdr:rowOff>
    </xdr:from>
    <xdr:to>
      <xdr:col>4</xdr:col>
      <xdr:colOff>1228724</xdr:colOff>
      <xdr:row>25</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28</xdr:row>
      <xdr:rowOff>80962</xdr:rowOff>
    </xdr:from>
    <xdr:to>
      <xdr:col>6</xdr:col>
      <xdr:colOff>342900</xdr:colOff>
      <xdr:row>42</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28</xdr:row>
      <xdr:rowOff>33337</xdr:rowOff>
    </xdr:from>
    <xdr:to>
      <xdr:col>3</xdr:col>
      <xdr:colOff>228600</xdr:colOff>
      <xdr:row>42</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45</xdr:row>
      <xdr:rowOff>128587</xdr:rowOff>
    </xdr:from>
    <xdr:to>
      <xdr:col>3</xdr:col>
      <xdr:colOff>457200</xdr:colOff>
      <xdr:row>60</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63</xdr:row>
      <xdr:rowOff>88900</xdr:rowOff>
    </xdr:from>
    <xdr:to>
      <xdr:col>3</xdr:col>
      <xdr:colOff>327025</xdr:colOff>
      <xdr:row>78</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80</xdr:row>
      <xdr:rowOff>69850</xdr:rowOff>
    </xdr:from>
    <xdr:to>
      <xdr:col>6</xdr:col>
      <xdr:colOff>298450</xdr:colOff>
      <xdr:row>85</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1427949</xdr:colOff>
      <xdr:row>28</xdr:row>
      <xdr:rowOff>45535</xdr:rowOff>
    </xdr:from>
    <xdr:to>
      <xdr:col>9</xdr:col>
      <xdr:colOff>1271066</xdr:colOff>
      <xdr:row>31</xdr:row>
      <xdr:rowOff>341454</xdr:rowOff>
    </xdr:to>
    <xdr:sp macro="[0]!Advance_Round.Advance_Round" textlink="">
      <xdr:nvSpPr>
        <xdr:cNvPr id="2" name="Rounded Rectangle 1">
          <a:extLst>
            <a:ext uri="{FF2B5EF4-FFF2-40B4-BE49-F238E27FC236}">
              <a16:creationId xmlns:a16="http://schemas.microsoft.com/office/drawing/2014/main" id="{00000000-0008-0000-0100-000002000000}"/>
            </a:ext>
          </a:extLst>
        </xdr:cNvPr>
        <xdr:cNvSpPr/>
      </xdr:nvSpPr>
      <xdr:spPr>
        <a:xfrm>
          <a:off x="9292878" y="7184749"/>
          <a:ext cx="5748617" cy="91277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Advance to Next Round</a:t>
          </a:r>
        </a:p>
      </xdr:txBody>
    </xdr:sp>
    <xdr:clientData/>
  </xdr:twoCellAnchor>
  <xdr:twoCellAnchor>
    <xdr:from>
      <xdr:col>6</xdr:col>
      <xdr:colOff>1</xdr:colOff>
      <xdr:row>3</xdr:row>
      <xdr:rowOff>69849</xdr:rowOff>
    </xdr:from>
    <xdr:to>
      <xdr:col>6</xdr:col>
      <xdr:colOff>4000501</xdr:colOff>
      <xdr:row>12</xdr:row>
      <xdr:rowOff>172357</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100895</xdr:colOff>
      <xdr:row>15</xdr:row>
      <xdr:rowOff>72572</xdr:rowOff>
    </xdr:from>
    <xdr:to>
      <xdr:col>6</xdr:col>
      <xdr:colOff>4000500</xdr:colOff>
      <xdr:row>26</xdr:row>
      <xdr:rowOff>171098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1768930</xdr:colOff>
      <xdr:row>3</xdr:row>
      <xdr:rowOff>69850</xdr:rowOff>
    </xdr:from>
    <xdr:to>
      <xdr:col>9</xdr:col>
      <xdr:colOff>3592286</xdr:colOff>
      <xdr:row>12</xdr:row>
      <xdr:rowOff>158750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9071</xdr:colOff>
      <xdr:row>15</xdr:row>
      <xdr:rowOff>54429</xdr:rowOff>
    </xdr:from>
    <xdr:to>
      <xdr:col>9</xdr:col>
      <xdr:colOff>3605892</xdr:colOff>
      <xdr:row>26</xdr:row>
      <xdr:rowOff>149678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9</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69</xdr:row>
      <xdr:rowOff>157162</xdr:rowOff>
    </xdr:from>
    <xdr:to>
      <xdr:col>8</xdr:col>
      <xdr:colOff>47625</xdr:colOff>
      <xdr:row>84</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69</xdr:row>
      <xdr:rowOff>157162</xdr:rowOff>
    </xdr:from>
    <xdr:to>
      <xdr:col>4</xdr:col>
      <xdr:colOff>552450</xdr:colOff>
      <xdr:row>84</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304558</xdr:colOff>
      <xdr:row>135</xdr:row>
      <xdr:rowOff>59522</xdr:rowOff>
    </xdr:from>
    <xdr:to>
      <xdr:col>8</xdr:col>
      <xdr:colOff>981982</xdr:colOff>
      <xdr:row>149</xdr:row>
      <xdr:rowOff>135722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135</xdr:row>
      <xdr:rowOff>67180</xdr:rowOff>
    </xdr:from>
    <xdr:to>
      <xdr:col>14</xdr:col>
      <xdr:colOff>637720</xdr:colOff>
      <xdr:row>149</xdr:row>
      <xdr:rowOff>134308</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781049</xdr:colOff>
      <xdr:row>10</xdr:row>
      <xdr:rowOff>57150</xdr:rowOff>
    </xdr:from>
    <xdr:to>
      <xdr:col>9</xdr:col>
      <xdr:colOff>247649</xdr:colOff>
      <xdr:row>22</xdr:row>
      <xdr:rowOff>66675</xdr:rowOff>
    </xdr:to>
    <xdr:sp macro="" textlink="">
      <xdr:nvSpPr>
        <xdr:cNvPr id="2" name="Rounded Rectangle 1">
          <a:extLst>
            <a:ext uri="{FF2B5EF4-FFF2-40B4-BE49-F238E27FC236}">
              <a16:creationId xmlns:a16="http://schemas.microsoft.com/office/drawing/2014/main" id="{00000000-0008-0000-0D00-000002000000}"/>
            </a:ext>
          </a:extLst>
        </xdr:cNvPr>
        <xdr:cNvSpPr/>
      </xdr:nvSpPr>
      <xdr:spPr>
        <a:xfrm>
          <a:off x="6467474" y="1981200"/>
          <a:ext cx="3609975" cy="22955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a:t>Note: If you use this sheet, you must restart Excel before beginning</a:t>
          </a:r>
          <a:r>
            <a:rPr lang="en-US" sz="2000" baseline="0"/>
            <a:t> the next game.</a:t>
          </a:r>
          <a:endParaRPr lang="en-US" sz="2000"/>
        </a:p>
      </xdr:txBody>
    </xdr:sp>
    <xdr:clientData/>
  </xdr:twoCellAnchor>
</xdr:wsDr>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www.nrel.gov/docs/fy03osti/32500.pdf,%20Table%206" TargetMode="External"/><Relationship Id="rId3" Type="http://schemas.openxmlformats.org/officeDocument/2006/relationships/hyperlink" Target="http://www3.sce.com/sscc/law/dis/dbattach5e.nsf/0/BACF374E1EFE27CE88257C2100811E3D/$FILE/SCE-03%20Vol.%2008.pdf,%20p.2" TargetMode="Externa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1" Type="http://schemas.openxmlformats.org/officeDocument/2006/relationships/printerSettings" Target="../printerSettings/printerSettings6.bin"/><Relationship Id="rId5" Type="http://schemas.openxmlformats.org/officeDocument/2006/relationships/hyperlink" Target="http://www.nrel.gov/docs/fy03osti/32500.pdf,%20Table%207" TargetMode="External"/><Relationship Id="rId10" Type="http://schemas.openxmlformats.org/officeDocument/2006/relationships/hyperlink" Target="http://www.nrel.gov/docs/fy03osti/32500.pdf,%20Table%204" TargetMode="External"/><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91"/>
  <sheetViews>
    <sheetView zoomScaleNormal="100" workbookViewId="0">
      <selection activeCell="B3" sqref="B3:F3"/>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69" t="s">
        <v>300</v>
      </c>
      <c r="B1" s="169"/>
      <c r="C1" s="169"/>
      <c r="D1" s="169"/>
      <c r="E1" s="169"/>
      <c r="F1" s="169"/>
      <c r="G1" s="169"/>
      <c r="H1" s="169"/>
      <c r="I1" s="169"/>
      <c r="J1" s="169"/>
      <c r="K1" s="169"/>
      <c r="L1" s="169"/>
      <c r="M1" s="169"/>
      <c r="N1" s="169"/>
      <c r="O1" s="100"/>
      <c r="P1" s="100"/>
      <c r="Q1" s="100"/>
      <c r="R1" s="100"/>
    </row>
    <row r="2" spans="1:18" ht="27" thickBot="1" x14ac:dyDescent="0.45">
      <c r="A2" s="109" t="s">
        <v>310</v>
      </c>
      <c r="B2" s="172" t="s">
        <v>417</v>
      </c>
      <c r="C2" s="173"/>
      <c r="D2" s="173"/>
      <c r="E2" s="173"/>
      <c r="F2" s="174"/>
      <c r="G2" s="100"/>
      <c r="H2" s="100"/>
      <c r="I2" s="100"/>
      <c r="J2" s="100"/>
      <c r="K2" s="100"/>
      <c r="L2" s="100"/>
      <c r="M2" s="100"/>
      <c r="N2" s="100"/>
      <c r="O2" s="100"/>
      <c r="P2" s="100"/>
      <c r="Q2" s="100"/>
      <c r="R2" s="100"/>
    </row>
    <row r="3" spans="1:18" ht="27" thickBot="1" x14ac:dyDescent="0.45">
      <c r="A3" s="109" t="s">
        <v>463</v>
      </c>
      <c r="B3" s="172" t="s">
        <v>460</v>
      </c>
      <c r="C3" s="173"/>
      <c r="D3" s="173"/>
      <c r="E3" s="173"/>
      <c r="F3" s="174"/>
      <c r="G3" s="100"/>
      <c r="H3" s="100"/>
      <c r="I3" s="100"/>
      <c r="J3" s="100"/>
      <c r="K3" s="100"/>
      <c r="L3" s="100"/>
      <c r="M3" s="100"/>
      <c r="N3" s="100"/>
      <c r="O3" s="100"/>
      <c r="P3" s="100"/>
      <c r="Q3" s="100"/>
      <c r="R3" s="100"/>
    </row>
    <row r="4" spans="1:18" x14ac:dyDescent="0.25">
      <c r="A4" s="100"/>
      <c r="B4" s="100"/>
      <c r="C4" s="100"/>
      <c r="D4" s="100"/>
      <c r="E4" s="100"/>
      <c r="F4" s="100"/>
      <c r="G4" s="100"/>
      <c r="H4" s="100"/>
      <c r="I4" s="100"/>
      <c r="J4" s="100"/>
      <c r="K4" s="100"/>
      <c r="L4" s="100"/>
      <c r="M4" s="100"/>
      <c r="N4" s="100"/>
      <c r="O4" s="100"/>
      <c r="P4" s="100"/>
      <c r="Q4" s="100"/>
      <c r="R4" s="100"/>
    </row>
    <row r="5" spans="1:18" ht="26.25" x14ac:dyDescent="0.4">
      <c r="A5" s="169" t="s">
        <v>353</v>
      </c>
      <c r="B5" s="169"/>
      <c r="C5" s="169"/>
      <c r="D5" s="169"/>
      <c r="E5" s="169"/>
      <c r="F5" s="169"/>
      <c r="G5" s="169"/>
      <c r="H5" s="169"/>
      <c r="I5" s="169"/>
      <c r="J5" s="169"/>
      <c r="K5" s="169"/>
      <c r="L5" s="169"/>
      <c r="M5" s="169"/>
      <c r="N5" s="169"/>
      <c r="O5" s="113"/>
      <c r="P5" s="100"/>
      <c r="Q5" s="100"/>
      <c r="R5" s="100"/>
    </row>
    <row r="6" spans="1:18" ht="132" customHeight="1" x14ac:dyDescent="0.3">
      <c r="A6" s="170" t="s">
        <v>383</v>
      </c>
      <c r="B6" s="170"/>
      <c r="C6" s="170"/>
      <c r="D6" s="170"/>
      <c r="E6" s="170"/>
      <c r="F6" s="170"/>
      <c r="G6" s="100"/>
      <c r="H6" s="100"/>
      <c r="I6" s="100"/>
      <c r="J6" s="100"/>
      <c r="K6" s="100"/>
      <c r="L6" s="100"/>
      <c r="M6" s="100"/>
      <c r="N6" s="100"/>
      <c r="O6" s="100"/>
      <c r="P6" s="100"/>
      <c r="Q6" s="100"/>
      <c r="R6" s="100"/>
    </row>
    <row r="7" spans="1:18" x14ac:dyDescent="0.25">
      <c r="A7" s="100"/>
      <c r="B7" s="100"/>
      <c r="C7" s="100"/>
      <c r="D7" s="100"/>
      <c r="E7" s="100"/>
      <c r="F7" s="100"/>
      <c r="G7" s="100"/>
      <c r="H7" s="100"/>
      <c r="I7" s="100"/>
      <c r="J7" s="100"/>
      <c r="K7" s="100"/>
      <c r="L7" s="100"/>
      <c r="M7" s="100"/>
      <c r="N7" s="100"/>
      <c r="O7" s="100"/>
      <c r="P7" s="100"/>
      <c r="Q7" s="100"/>
      <c r="R7" s="100"/>
    </row>
    <row r="8" spans="1:18" ht="18.75" x14ac:dyDescent="0.3">
      <c r="A8" s="110" t="s">
        <v>354</v>
      </c>
      <c r="B8" s="100"/>
      <c r="C8" s="100"/>
      <c r="D8" s="100"/>
      <c r="E8" s="100"/>
      <c r="F8" s="100"/>
      <c r="G8" s="100"/>
      <c r="H8" s="100"/>
      <c r="I8" s="100"/>
      <c r="J8" s="100"/>
      <c r="K8" s="100"/>
      <c r="L8" s="100"/>
      <c r="M8" s="100"/>
      <c r="N8" s="100"/>
      <c r="O8" s="100"/>
      <c r="P8" s="100"/>
      <c r="Q8" s="100"/>
      <c r="R8" s="100"/>
    </row>
    <row r="9" spans="1:18" x14ac:dyDescent="0.25">
      <c r="A9" s="100"/>
      <c r="B9" s="100"/>
      <c r="C9" s="100"/>
      <c r="D9" s="100"/>
      <c r="E9" s="100"/>
      <c r="F9" s="100"/>
      <c r="G9" s="100"/>
      <c r="H9" s="100"/>
      <c r="I9" s="100"/>
      <c r="J9" s="100"/>
      <c r="K9" s="100"/>
      <c r="L9" s="100"/>
      <c r="M9" s="100"/>
      <c r="N9" s="100"/>
      <c r="O9" s="100"/>
      <c r="P9" s="100"/>
      <c r="Q9" s="100"/>
      <c r="R9" s="100"/>
    </row>
    <row r="10" spans="1:18" ht="18.75" x14ac:dyDescent="0.3">
      <c r="A10" s="111" t="s">
        <v>356</v>
      </c>
      <c r="B10" s="100"/>
      <c r="C10" s="100"/>
      <c r="D10" s="100"/>
      <c r="E10" s="100"/>
      <c r="F10" s="100"/>
      <c r="G10" s="100"/>
      <c r="H10" s="100"/>
      <c r="I10" s="100"/>
      <c r="J10" s="100"/>
      <c r="K10" s="100"/>
      <c r="L10" s="100"/>
      <c r="M10" s="100"/>
      <c r="N10" s="100"/>
      <c r="O10" s="100"/>
      <c r="P10" s="100"/>
      <c r="Q10" s="100"/>
      <c r="R10" s="100"/>
    </row>
    <row r="11" spans="1:18" x14ac:dyDescent="0.25">
      <c r="A11" s="100"/>
      <c r="B11" s="100"/>
      <c r="C11" s="100"/>
      <c r="D11" s="100"/>
      <c r="E11" s="100"/>
      <c r="F11" s="100"/>
      <c r="G11" s="100"/>
      <c r="H11" s="100"/>
      <c r="I11" s="100"/>
      <c r="J11" s="100"/>
      <c r="K11" s="100"/>
      <c r="L11" s="100"/>
      <c r="M11" s="100"/>
      <c r="N11" s="100"/>
      <c r="O11" s="100"/>
      <c r="P11" s="100"/>
      <c r="Q11" s="100"/>
      <c r="R11" s="100"/>
    </row>
    <row r="12" spans="1:18" x14ac:dyDescent="0.25">
      <c r="A12" s="100"/>
      <c r="B12" s="100"/>
      <c r="C12" s="100"/>
      <c r="D12" s="100"/>
      <c r="E12" s="100"/>
      <c r="F12" s="100"/>
      <c r="G12" s="100"/>
      <c r="H12" s="100"/>
      <c r="I12" s="100"/>
      <c r="J12" s="100"/>
      <c r="K12" s="100"/>
      <c r="L12" s="100"/>
      <c r="M12" s="100"/>
      <c r="N12" s="100"/>
      <c r="O12" s="100"/>
      <c r="P12" s="100"/>
      <c r="Q12" s="100"/>
      <c r="R12" s="100"/>
    </row>
    <row r="13" spans="1:18" x14ac:dyDescent="0.25">
      <c r="A13" s="100"/>
      <c r="B13" s="100"/>
      <c r="C13" s="100"/>
      <c r="D13" s="100"/>
      <c r="E13" s="100"/>
      <c r="F13" s="100"/>
      <c r="G13" s="100"/>
      <c r="H13" s="100"/>
      <c r="I13" s="100"/>
      <c r="J13" s="100"/>
      <c r="K13" s="100"/>
      <c r="L13" s="100"/>
      <c r="M13" s="100"/>
      <c r="N13" s="100"/>
      <c r="O13" s="100"/>
      <c r="P13" s="100"/>
      <c r="Q13" s="100"/>
      <c r="R13" s="100"/>
    </row>
    <row r="14" spans="1:18" x14ac:dyDescent="0.25">
      <c r="A14" s="100"/>
      <c r="B14" s="100"/>
      <c r="C14" s="100"/>
      <c r="D14" s="100"/>
      <c r="E14" s="100"/>
      <c r="F14" s="100"/>
      <c r="G14" s="100"/>
      <c r="H14" s="100"/>
      <c r="I14" s="100"/>
      <c r="J14" s="100"/>
      <c r="K14" s="100"/>
      <c r="L14" s="100"/>
      <c r="M14" s="100"/>
      <c r="N14" s="100"/>
      <c r="O14" s="100"/>
      <c r="P14" s="100"/>
      <c r="Q14" s="100"/>
      <c r="R14" s="100"/>
    </row>
    <row r="15" spans="1:18" x14ac:dyDescent="0.25">
      <c r="A15" s="100"/>
      <c r="B15" s="100"/>
      <c r="C15" s="100"/>
      <c r="D15" s="100"/>
      <c r="E15" s="100"/>
      <c r="F15" s="100"/>
      <c r="G15" s="100"/>
      <c r="H15" s="100"/>
      <c r="I15" s="100"/>
      <c r="J15" s="100"/>
      <c r="K15" s="100"/>
      <c r="L15" s="100"/>
      <c r="M15" s="100"/>
      <c r="N15" s="100"/>
      <c r="O15" s="100"/>
      <c r="P15" s="100"/>
      <c r="Q15" s="100"/>
      <c r="R15" s="100"/>
    </row>
    <row r="16" spans="1:18" x14ac:dyDescent="0.25">
      <c r="A16" s="100"/>
      <c r="B16" s="100"/>
      <c r="C16" s="100"/>
      <c r="D16" s="100"/>
      <c r="E16" s="100"/>
      <c r="F16" s="100"/>
      <c r="G16" s="100"/>
      <c r="H16" s="100"/>
      <c r="I16" s="100"/>
      <c r="J16" s="100"/>
      <c r="K16" s="100"/>
      <c r="L16" s="100"/>
      <c r="M16" s="100"/>
      <c r="N16" s="100"/>
      <c r="O16" s="100"/>
      <c r="P16" s="100"/>
      <c r="Q16" s="100"/>
      <c r="R16" s="100"/>
    </row>
    <row r="17" spans="1:18" x14ac:dyDescent="0.25">
      <c r="A17" s="100"/>
      <c r="B17" s="100"/>
      <c r="C17" s="100"/>
      <c r="D17" s="100"/>
      <c r="E17" s="100"/>
      <c r="F17" s="100"/>
      <c r="G17" s="100"/>
      <c r="H17" s="100"/>
      <c r="I17" s="100"/>
      <c r="J17" s="100"/>
      <c r="K17" s="100"/>
      <c r="L17" s="100"/>
      <c r="M17" s="100"/>
      <c r="N17" s="100"/>
      <c r="O17" s="100"/>
      <c r="P17" s="100"/>
      <c r="Q17" s="100"/>
      <c r="R17" s="100"/>
    </row>
    <row r="18" spans="1:18" x14ac:dyDescent="0.25">
      <c r="A18" s="100"/>
      <c r="B18" s="100"/>
      <c r="C18" s="100"/>
      <c r="D18" s="100"/>
      <c r="E18" s="100"/>
      <c r="F18" s="100"/>
      <c r="G18" s="100"/>
      <c r="H18" s="100"/>
      <c r="I18" s="100"/>
      <c r="J18" s="100"/>
      <c r="K18" s="100"/>
      <c r="L18" s="100"/>
      <c r="M18" s="100"/>
      <c r="N18" s="100"/>
      <c r="O18" s="100"/>
      <c r="P18" s="100"/>
      <c r="Q18" s="100"/>
      <c r="R18" s="100"/>
    </row>
    <row r="19" spans="1:18" x14ac:dyDescent="0.25">
      <c r="A19" s="100"/>
      <c r="B19" s="100"/>
      <c r="C19" s="100"/>
      <c r="D19" s="100"/>
      <c r="E19" s="100"/>
      <c r="F19" s="100"/>
      <c r="G19" s="100"/>
      <c r="H19" s="100"/>
      <c r="I19" s="100"/>
      <c r="J19" s="100"/>
      <c r="K19" s="100"/>
      <c r="L19" s="100"/>
      <c r="M19" s="100"/>
      <c r="N19" s="100"/>
      <c r="O19" s="100"/>
      <c r="P19" s="100"/>
      <c r="Q19" s="100"/>
      <c r="R19" s="100"/>
    </row>
    <row r="20" spans="1:18" x14ac:dyDescent="0.25">
      <c r="A20" s="100"/>
      <c r="B20" s="100"/>
      <c r="C20" s="100"/>
      <c r="D20" s="100"/>
      <c r="E20" s="100"/>
      <c r="F20" s="100"/>
      <c r="G20" s="100"/>
      <c r="H20" s="100"/>
      <c r="I20" s="100"/>
      <c r="J20" s="100"/>
      <c r="K20" s="100"/>
      <c r="L20" s="100"/>
      <c r="M20" s="100"/>
      <c r="N20" s="100"/>
      <c r="O20" s="100"/>
      <c r="P20" s="100"/>
      <c r="Q20" s="100"/>
      <c r="R20" s="100"/>
    </row>
    <row r="21" spans="1:18" x14ac:dyDescent="0.25">
      <c r="A21" s="100"/>
      <c r="B21" s="100"/>
      <c r="C21" s="100"/>
      <c r="D21" s="100"/>
      <c r="E21" s="100"/>
      <c r="F21" s="100"/>
      <c r="G21" s="100"/>
      <c r="H21" s="100"/>
      <c r="I21" s="100"/>
      <c r="J21" s="100"/>
      <c r="K21" s="100"/>
      <c r="L21" s="100"/>
      <c r="M21" s="100"/>
      <c r="N21" s="100"/>
      <c r="O21" s="100"/>
      <c r="P21" s="100"/>
      <c r="Q21" s="100"/>
      <c r="R21" s="100"/>
    </row>
    <row r="22" spans="1:18" x14ac:dyDescent="0.25">
      <c r="A22" s="100"/>
      <c r="B22" s="100"/>
      <c r="C22" s="100"/>
      <c r="D22" s="100"/>
      <c r="E22" s="100"/>
      <c r="F22" s="100"/>
      <c r="G22" s="100"/>
      <c r="H22" s="100"/>
      <c r="I22" s="100"/>
      <c r="J22" s="100"/>
      <c r="K22" s="100"/>
      <c r="L22" s="100"/>
      <c r="M22" s="100"/>
      <c r="N22" s="100"/>
      <c r="O22" s="100"/>
      <c r="P22" s="100"/>
      <c r="Q22" s="100"/>
      <c r="R22" s="100"/>
    </row>
    <row r="23" spans="1:18" x14ac:dyDescent="0.25">
      <c r="A23" s="100"/>
      <c r="B23" s="100"/>
      <c r="C23" s="100"/>
      <c r="D23" s="100"/>
      <c r="E23" s="100"/>
      <c r="F23" s="100"/>
      <c r="G23" s="100"/>
      <c r="H23" s="100"/>
      <c r="I23" s="100"/>
      <c r="J23" s="100"/>
      <c r="K23" s="100"/>
      <c r="L23" s="100"/>
      <c r="M23" s="100"/>
      <c r="N23" s="100"/>
      <c r="O23" s="100"/>
      <c r="P23" s="100"/>
      <c r="Q23" s="100"/>
      <c r="R23" s="100"/>
    </row>
    <row r="24" spans="1:18" x14ac:dyDescent="0.25">
      <c r="A24" s="100"/>
      <c r="B24" s="100"/>
      <c r="C24" s="100"/>
      <c r="D24" s="100"/>
      <c r="E24" s="100"/>
      <c r="F24" s="100"/>
      <c r="G24" s="100"/>
      <c r="H24" s="100"/>
      <c r="I24" s="100"/>
      <c r="J24" s="100"/>
      <c r="K24" s="100"/>
      <c r="L24" s="100"/>
      <c r="M24" s="100"/>
      <c r="N24" s="100"/>
      <c r="O24" s="100"/>
      <c r="P24" s="100"/>
      <c r="Q24" s="100"/>
      <c r="R24" s="100"/>
    </row>
    <row r="25" spans="1:18" x14ac:dyDescent="0.25">
      <c r="A25" s="100"/>
      <c r="B25" s="100"/>
      <c r="C25" s="100"/>
      <c r="D25" s="100"/>
      <c r="E25" s="100"/>
      <c r="F25" s="100"/>
      <c r="G25" s="100"/>
      <c r="H25" s="100"/>
      <c r="I25" s="100"/>
      <c r="J25" s="100"/>
      <c r="K25" s="100"/>
      <c r="L25" s="100"/>
      <c r="M25" s="100"/>
      <c r="N25" s="100"/>
      <c r="O25" s="100"/>
      <c r="P25" s="100"/>
      <c r="Q25" s="100"/>
      <c r="R25" s="100"/>
    </row>
    <row r="26" spans="1:18" x14ac:dyDescent="0.25">
      <c r="A26" s="100"/>
      <c r="B26" s="100"/>
      <c r="C26" s="100"/>
      <c r="D26" s="100"/>
      <c r="E26" s="100"/>
      <c r="F26" s="100"/>
      <c r="G26" s="100"/>
      <c r="H26" s="100"/>
      <c r="I26" s="100"/>
      <c r="J26" s="100"/>
      <c r="K26" s="100"/>
      <c r="L26" s="100"/>
      <c r="M26" s="100"/>
      <c r="N26" s="100"/>
      <c r="O26" s="100"/>
      <c r="P26" s="100"/>
      <c r="Q26" s="100"/>
      <c r="R26" s="100"/>
    </row>
    <row r="27" spans="1:18" ht="18.75" x14ac:dyDescent="0.3">
      <c r="A27" s="111" t="s">
        <v>355</v>
      </c>
      <c r="B27" s="100"/>
      <c r="C27" s="100"/>
      <c r="D27" s="100"/>
      <c r="E27" s="100"/>
      <c r="F27" s="100"/>
      <c r="G27" s="100"/>
      <c r="H27" s="100"/>
      <c r="I27" s="100"/>
      <c r="J27" s="100"/>
      <c r="K27" s="100"/>
      <c r="L27" s="100"/>
      <c r="M27" s="100"/>
      <c r="N27" s="100"/>
      <c r="O27" s="100"/>
      <c r="P27" s="100"/>
      <c r="Q27" s="100"/>
      <c r="R27" s="100"/>
    </row>
    <row r="28" spans="1:18" x14ac:dyDescent="0.25">
      <c r="A28" s="100"/>
      <c r="B28" s="100"/>
      <c r="C28" s="100"/>
      <c r="D28" s="100"/>
      <c r="E28" s="100"/>
      <c r="F28" s="100"/>
      <c r="G28" s="100"/>
      <c r="H28" s="100"/>
      <c r="I28" s="100"/>
      <c r="J28" s="100"/>
      <c r="K28" s="100"/>
      <c r="L28" s="100"/>
      <c r="M28" s="100"/>
      <c r="N28" s="100"/>
      <c r="O28" s="100"/>
      <c r="P28" s="100"/>
      <c r="Q28" s="100"/>
      <c r="R28" s="100"/>
    </row>
    <row r="29" spans="1:18" x14ac:dyDescent="0.25">
      <c r="A29" s="100"/>
      <c r="B29" s="100"/>
      <c r="C29" s="100"/>
      <c r="D29" s="100"/>
      <c r="E29" s="100"/>
      <c r="F29" s="100"/>
      <c r="G29" s="100"/>
      <c r="H29" s="100"/>
      <c r="I29" s="100"/>
      <c r="J29" s="100"/>
      <c r="K29" s="100"/>
      <c r="L29" s="100"/>
      <c r="M29" s="100"/>
      <c r="N29" s="100"/>
      <c r="O29" s="100"/>
      <c r="P29" s="100"/>
      <c r="Q29" s="100"/>
      <c r="R29" s="100"/>
    </row>
    <row r="30" spans="1:18" x14ac:dyDescent="0.25">
      <c r="A30" s="100"/>
      <c r="B30" s="100"/>
      <c r="C30" s="100"/>
      <c r="D30" s="100"/>
      <c r="E30" s="100"/>
      <c r="F30" s="100"/>
      <c r="G30" s="100"/>
      <c r="H30" s="100"/>
      <c r="I30" s="100"/>
      <c r="J30" s="100"/>
      <c r="K30" s="100"/>
      <c r="L30" s="100"/>
      <c r="M30" s="100"/>
      <c r="N30" s="100"/>
      <c r="O30" s="100"/>
      <c r="P30" s="100"/>
      <c r="Q30" s="100"/>
      <c r="R30" s="100"/>
    </row>
    <row r="31" spans="1:18" x14ac:dyDescent="0.25">
      <c r="A31" s="100"/>
      <c r="B31" s="100"/>
      <c r="C31" s="100"/>
      <c r="D31" s="100"/>
      <c r="E31" s="100"/>
      <c r="F31" s="100"/>
      <c r="G31" s="100"/>
      <c r="H31" s="100"/>
      <c r="I31" s="100"/>
      <c r="J31" s="100"/>
      <c r="K31" s="100"/>
      <c r="L31" s="100"/>
      <c r="M31" s="100"/>
      <c r="N31" s="100"/>
      <c r="O31" s="100"/>
      <c r="P31" s="100"/>
      <c r="Q31" s="100"/>
      <c r="R31" s="100"/>
    </row>
    <row r="32" spans="1:18" x14ac:dyDescent="0.25">
      <c r="A32" s="100"/>
      <c r="B32" s="100"/>
      <c r="C32" s="100"/>
      <c r="D32" s="100"/>
      <c r="E32" s="100"/>
      <c r="F32" s="100"/>
      <c r="G32" s="100"/>
      <c r="H32" s="100"/>
      <c r="I32" s="100"/>
      <c r="J32" s="100"/>
      <c r="K32" s="100"/>
      <c r="L32" s="100"/>
      <c r="M32" s="100"/>
      <c r="N32" s="100"/>
      <c r="O32" s="100"/>
      <c r="P32" s="100"/>
      <c r="Q32" s="100"/>
      <c r="R32" s="100"/>
    </row>
    <row r="33" spans="1:18" x14ac:dyDescent="0.25">
      <c r="A33" s="100"/>
      <c r="B33" s="100"/>
      <c r="C33" s="100"/>
      <c r="D33" s="100"/>
      <c r="E33" s="100"/>
      <c r="F33" s="100"/>
      <c r="G33" s="100"/>
      <c r="H33" s="100"/>
      <c r="I33" s="100"/>
      <c r="J33" s="100"/>
      <c r="K33" s="100"/>
      <c r="L33" s="100"/>
      <c r="M33" s="100"/>
      <c r="N33" s="100"/>
      <c r="O33" s="100"/>
      <c r="P33" s="100"/>
      <c r="Q33" s="100"/>
      <c r="R33" s="100"/>
    </row>
    <row r="34" spans="1:18" x14ac:dyDescent="0.25">
      <c r="A34" s="100"/>
      <c r="B34" s="100"/>
      <c r="C34" s="100"/>
      <c r="D34" s="100"/>
      <c r="E34" s="100"/>
      <c r="F34" s="100"/>
      <c r="G34" s="100"/>
      <c r="H34" s="100"/>
      <c r="I34" s="100"/>
      <c r="J34" s="100"/>
      <c r="K34" s="100"/>
      <c r="L34" s="100"/>
      <c r="M34" s="100"/>
      <c r="N34" s="100"/>
      <c r="O34" s="100"/>
      <c r="P34" s="100"/>
      <c r="Q34" s="100"/>
      <c r="R34" s="100"/>
    </row>
    <row r="35" spans="1:18" x14ac:dyDescent="0.25">
      <c r="A35" s="100"/>
      <c r="B35" s="100"/>
      <c r="C35" s="100"/>
      <c r="D35" s="100"/>
      <c r="E35" s="100"/>
      <c r="F35" s="100"/>
      <c r="G35" s="100"/>
      <c r="H35" s="100"/>
      <c r="I35" s="100"/>
      <c r="J35" s="100"/>
      <c r="K35" s="100"/>
      <c r="L35" s="100"/>
      <c r="M35" s="100"/>
      <c r="N35" s="100"/>
      <c r="O35" s="100"/>
      <c r="P35" s="100"/>
      <c r="Q35" s="100"/>
      <c r="R35" s="100"/>
    </row>
    <row r="36" spans="1:18" x14ac:dyDescent="0.25">
      <c r="A36" s="100"/>
      <c r="B36" s="100"/>
      <c r="C36" s="100"/>
      <c r="D36" s="100"/>
      <c r="E36" s="100"/>
      <c r="F36" s="100"/>
      <c r="G36" s="100"/>
      <c r="H36" s="100"/>
      <c r="I36" s="100"/>
      <c r="J36" s="100"/>
      <c r="K36" s="100"/>
      <c r="L36" s="100"/>
      <c r="M36" s="100"/>
      <c r="N36" s="100"/>
      <c r="O36" s="100"/>
      <c r="P36" s="100"/>
      <c r="Q36" s="100"/>
      <c r="R36" s="100"/>
    </row>
    <row r="37" spans="1:18" x14ac:dyDescent="0.25">
      <c r="A37" s="100"/>
      <c r="B37" s="100"/>
      <c r="C37" s="100"/>
      <c r="D37" s="100"/>
      <c r="E37" s="100"/>
      <c r="F37" s="100"/>
      <c r="G37" s="100"/>
      <c r="H37" s="100"/>
      <c r="I37" s="100"/>
      <c r="J37" s="100"/>
      <c r="K37" s="100"/>
      <c r="L37" s="100"/>
      <c r="M37" s="100"/>
      <c r="N37" s="100"/>
      <c r="O37" s="100"/>
      <c r="P37" s="100"/>
      <c r="Q37" s="100"/>
      <c r="R37" s="100"/>
    </row>
    <row r="38" spans="1:18" x14ac:dyDescent="0.25">
      <c r="A38" s="100"/>
      <c r="B38" s="100"/>
      <c r="C38" s="100"/>
      <c r="D38" s="100"/>
      <c r="E38" s="100"/>
      <c r="F38" s="100"/>
      <c r="G38" s="100"/>
      <c r="H38" s="100"/>
      <c r="I38" s="100"/>
      <c r="J38" s="100"/>
      <c r="K38" s="100"/>
      <c r="L38" s="100"/>
      <c r="M38" s="100"/>
      <c r="N38" s="100"/>
      <c r="O38" s="100"/>
      <c r="P38" s="100"/>
      <c r="Q38" s="100"/>
      <c r="R38" s="100"/>
    </row>
    <row r="39" spans="1:18" x14ac:dyDescent="0.25">
      <c r="A39" s="100"/>
      <c r="B39" s="100"/>
      <c r="C39" s="100"/>
      <c r="D39" s="100"/>
      <c r="E39" s="100"/>
      <c r="F39" s="100"/>
      <c r="G39" s="100"/>
      <c r="H39" s="100"/>
      <c r="I39" s="100"/>
      <c r="J39" s="100"/>
      <c r="K39" s="100"/>
      <c r="L39" s="100"/>
      <c r="M39" s="100"/>
      <c r="N39" s="100"/>
      <c r="O39" s="100"/>
      <c r="P39" s="100"/>
      <c r="Q39" s="100"/>
      <c r="R39" s="100"/>
    </row>
    <row r="40" spans="1:18" x14ac:dyDescent="0.25">
      <c r="A40" s="100"/>
      <c r="B40" s="100"/>
      <c r="C40" s="100"/>
      <c r="D40" s="100"/>
      <c r="E40" s="100"/>
      <c r="F40" s="100"/>
      <c r="G40" s="100"/>
      <c r="H40" s="100"/>
      <c r="I40" s="100"/>
      <c r="J40" s="100"/>
      <c r="K40" s="100"/>
      <c r="L40" s="100"/>
      <c r="M40" s="100"/>
      <c r="N40" s="100"/>
      <c r="O40" s="100"/>
      <c r="P40" s="100"/>
      <c r="Q40" s="100"/>
      <c r="R40" s="100"/>
    </row>
    <row r="41" spans="1:18" x14ac:dyDescent="0.25">
      <c r="A41" s="100"/>
      <c r="B41" s="100"/>
      <c r="C41" s="100"/>
      <c r="D41" s="100"/>
      <c r="E41" s="100"/>
      <c r="F41" s="100"/>
      <c r="G41" s="100"/>
      <c r="H41" s="100"/>
      <c r="I41" s="100"/>
      <c r="J41" s="100"/>
      <c r="K41" s="100"/>
      <c r="L41" s="100"/>
      <c r="M41" s="100"/>
      <c r="N41" s="100"/>
      <c r="O41" s="100"/>
      <c r="P41" s="100"/>
      <c r="Q41" s="100"/>
      <c r="R41" s="100"/>
    </row>
    <row r="42" spans="1:18" x14ac:dyDescent="0.25">
      <c r="A42" s="100"/>
      <c r="B42" s="100"/>
      <c r="C42" s="100"/>
      <c r="D42" s="100"/>
      <c r="E42" s="100"/>
      <c r="F42" s="100"/>
      <c r="G42" s="100"/>
      <c r="H42" s="100"/>
      <c r="I42" s="100"/>
      <c r="J42" s="100"/>
      <c r="K42" s="100"/>
      <c r="L42" s="100"/>
      <c r="M42" s="100"/>
      <c r="N42" s="100"/>
      <c r="O42" s="100"/>
      <c r="P42" s="100"/>
      <c r="Q42" s="100"/>
      <c r="R42" s="100"/>
    </row>
    <row r="43" spans="1:18" x14ac:dyDescent="0.25">
      <c r="A43" s="100"/>
      <c r="B43" s="100"/>
      <c r="C43" s="100"/>
      <c r="D43" s="100"/>
      <c r="E43" s="100"/>
      <c r="F43" s="100"/>
      <c r="G43" s="100"/>
      <c r="H43" s="100"/>
      <c r="I43" s="100"/>
      <c r="J43" s="100"/>
      <c r="K43" s="100"/>
      <c r="L43" s="100"/>
      <c r="M43" s="100"/>
      <c r="N43" s="100"/>
      <c r="O43" s="100"/>
      <c r="P43" s="100"/>
      <c r="Q43" s="100"/>
      <c r="R43" s="100"/>
    </row>
    <row r="44" spans="1:18" x14ac:dyDescent="0.25">
      <c r="A44" s="100"/>
      <c r="B44" s="100"/>
      <c r="C44" s="100"/>
      <c r="D44" s="100"/>
      <c r="E44" s="100"/>
      <c r="F44" s="100"/>
      <c r="G44" s="100"/>
      <c r="H44" s="100"/>
      <c r="I44" s="100"/>
      <c r="J44" s="100"/>
      <c r="K44" s="100"/>
      <c r="L44" s="100"/>
      <c r="M44" s="100"/>
      <c r="N44" s="100"/>
      <c r="O44" s="100"/>
      <c r="P44" s="100"/>
      <c r="Q44" s="100"/>
      <c r="R44" s="100"/>
    </row>
    <row r="45" spans="1:18" ht="58.5" customHeight="1" x14ac:dyDescent="0.3">
      <c r="A45" s="171" t="s">
        <v>360</v>
      </c>
      <c r="B45" s="171"/>
      <c r="C45" s="171"/>
      <c r="D45" s="171"/>
      <c r="E45" s="171"/>
      <c r="F45" s="171"/>
      <c r="G45" s="103"/>
      <c r="H45" s="100"/>
      <c r="I45" s="100"/>
      <c r="J45" s="100"/>
      <c r="K45" s="100"/>
      <c r="L45" s="100"/>
      <c r="M45" s="100"/>
      <c r="N45" s="100"/>
      <c r="O45" s="100"/>
      <c r="P45" s="100"/>
      <c r="Q45" s="100"/>
      <c r="R45" s="100"/>
    </row>
    <row r="46" spans="1:18" x14ac:dyDescent="0.25">
      <c r="A46" s="100"/>
      <c r="B46" s="100"/>
      <c r="C46" s="100"/>
      <c r="D46" s="100"/>
      <c r="E46" s="100"/>
      <c r="F46" s="100"/>
      <c r="G46" s="100"/>
      <c r="H46" s="100"/>
      <c r="I46" s="100"/>
      <c r="J46" s="100"/>
      <c r="K46" s="100"/>
      <c r="L46" s="100"/>
      <c r="M46" s="100"/>
      <c r="N46" s="100"/>
      <c r="O46" s="100"/>
      <c r="P46" s="100"/>
      <c r="Q46" s="100"/>
      <c r="R46" s="100"/>
    </row>
    <row r="47" spans="1:18" x14ac:dyDescent="0.25">
      <c r="A47" s="100" t="s">
        <v>15</v>
      </c>
      <c r="B47" s="100" t="s">
        <v>359</v>
      </c>
      <c r="C47" s="100" t="s">
        <v>10</v>
      </c>
      <c r="D47" s="100"/>
      <c r="E47" s="100"/>
      <c r="F47" s="100"/>
      <c r="G47" s="100"/>
      <c r="H47" s="100"/>
      <c r="I47" s="100"/>
      <c r="J47" s="100"/>
      <c r="K47" s="100"/>
      <c r="L47" s="100"/>
      <c r="M47" s="100"/>
      <c r="N47" s="100"/>
      <c r="O47" s="100"/>
      <c r="P47" s="100"/>
      <c r="Q47" s="100"/>
      <c r="R47" s="100"/>
    </row>
    <row r="48" spans="1:18" x14ac:dyDescent="0.25">
      <c r="A48" s="100">
        <v>0</v>
      </c>
      <c r="B48" s="100">
        <f>('Game Assumptions'!G31)/(10^6)</f>
        <v>1.5625</v>
      </c>
      <c r="C48" s="100">
        <f>('Game Assumptions'!G32)/(10^6)</f>
        <v>1.4750000000000001</v>
      </c>
      <c r="D48" s="100"/>
      <c r="E48" s="100"/>
      <c r="F48" s="100"/>
      <c r="G48" s="100"/>
      <c r="H48" s="100"/>
      <c r="I48" s="100"/>
      <c r="J48" s="100"/>
      <c r="K48" s="100"/>
      <c r="L48" s="100"/>
      <c r="M48" s="100"/>
      <c r="N48" s="100"/>
      <c r="O48" s="100"/>
      <c r="P48" s="100"/>
      <c r="Q48" s="100"/>
      <c r="R48" s="100"/>
    </row>
    <row r="49" spans="1:18" x14ac:dyDescent="0.25">
      <c r="A49" s="100">
        <v>1</v>
      </c>
      <c r="B49" s="112">
        <f>B48*(1-'Game Assumptions'!$B$15)</f>
        <v>1.40625</v>
      </c>
      <c r="C49" s="112">
        <f>C48*(1-'Game Assumptions'!$B$16)</f>
        <v>1.43075</v>
      </c>
      <c r="D49" s="100"/>
      <c r="E49" s="100"/>
      <c r="F49" s="100"/>
      <c r="G49" s="100"/>
      <c r="H49" s="100"/>
      <c r="I49" s="100"/>
      <c r="J49" s="100"/>
      <c r="K49" s="100"/>
      <c r="L49" s="100"/>
      <c r="M49" s="100"/>
      <c r="N49" s="100"/>
      <c r="O49" s="100"/>
      <c r="P49" s="100"/>
      <c r="Q49" s="100"/>
      <c r="R49" s="100"/>
    </row>
    <row r="50" spans="1:18" x14ac:dyDescent="0.25">
      <c r="A50" s="100">
        <v>2</v>
      </c>
      <c r="B50" s="112">
        <f>B49*(1-'Game Assumptions'!$B$15)</f>
        <v>1.265625</v>
      </c>
      <c r="C50" s="112">
        <f>C49*(1-'Game Assumptions'!$B$16)</f>
        <v>1.3878275</v>
      </c>
      <c r="D50" s="100"/>
      <c r="E50" s="100"/>
      <c r="F50" s="100"/>
      <c r="G50" s="100"/>
      <c r="H50" s="100"/>
      <c r="I50" s="100"/>
      <c r="J50" s="100"/>
      <c r="K50" s="100"/>
      <c r="L50" s="100"/>
      <c r="M50" s="100"/>
      <c r="N50" s="100"/>
      <c r="O50" s="100"/>
      <c r="P50" s="100"/>
      <c r="Q50" s="100"/>
      <c r="R50" s="100"/>
    </row>
    <row r="51" spans="1:18" x14ac:dyDescent="0.25">
      <c r="A51" s="100">
        <v>3</v>
      </c>
      <c r="B51" s="112">
        <f>B50*(1-'Game Assumptions'!$B$15)</f>
        <v>1.1390625000000001</v>
      </c>
      <c r="C51" s="112">
        <f>C50*(1-'Game Assumptions'!$B$16)</f>
        <v>1.3461926749999999</v>
      </c>
      <c r="D51" s="100"/>
      <c r="E51" s="100"/>
      <c r="F51" s="100"/>
      <c r="G51" s="100"/>
      <c r="H51" s="100"/>
      <c r="I51" s="100"/>
      <c r="J51" s="100"/>
      <c r="K51" s="100"/>
      <c r="L51" s="100"/>
      <c r="M51" s="100"/>
      <c r="N51" s="100"/>
      <c r="O51" s="100"/>
      <c r="P51" s="100"/>
      <c r="Q51" s="100"/>
      <c r="R51" s="100"/>
    </row>
    <row r="52" spans="1:18" x14ac:dyDescent="0.25">
      <c r="A52" s="100">
        <v>4</v>
      </c>
      <c r="B52" s="112">
        <f>B51*(1-'Game Assumptions'!$B$15)</f>
        <v>1.0251562500000002</v>
      </c>
      <c r="C52" s="112">
        <f>C51*(1-'Game Assumptions'!$B$16)</f>
        <v>1.3058068947499999</v>
      </c>
      <c r="D52" s="100"/>
      <c r="E52" s="100"/>
      <c r="F52" s="100"/>
      <c r="G52" s="100"/>
      <c r="H52" s="100"/>
      <c r="I52" s="100"/>
      <c r="J52" s="100"/>
      <c r="K52" s="100"/>
      <c r="L52" s="100"/>
      <c r="M52" s="100"/>
      <c r="N52" s="100"/>
      <c r="O52" s="100"/>
      <c r="P52" s="100"/>
      <c r="Q52" s="100"/>
      <c r="R52" s="100"/>
    </row>
    <row r="53" spans="1:18" x14ac:dyDescent="0.25">
      <c r="A53" s="100">
        <v>5</v>
      </c>
      <c r="B53" s="112">
        <f>B52*(1-'Game Assumptions'!$B$15)</f>
        <v>0.92264062500000021</v>
      </c>
      <c r="C53" s="112">
        <f>C52*(1-'Game Assumptions'!$B$16)</f>
        <v>1.2666326879074998</v>
      </c>
      <c r="D53" s="100"/>
      <c r="E53" s="100"/>
      <c r="F53" s="100"/>
      <c r="G53" s="100"/>
      <c r="H53" s="100"/>
      <c r="I53" s="100"/>
      <c r="J53" s="100"/>
      <c r="K53" s="100"/>
      <c r="L53" s="100"/>
      <c r="M53" s="100"/>
      <c r="N53" s="100"/>
      <c r="O53" s="100"/>
      <c r="P53" s="100"/>
      <c r="Q53" s="100"/>
      <c r="R53" s="100"/>
    </row>
    <row r="54" spans="1:18" x14ac:dyDescent="0.25">
      <c r="A54" s="100">
        <v>6</v>
      </c>
      <c r="B54" s="112">
        <f>B53*(1-'Game Assumptions'!$B$15)</f>
        <v>0.83037656250000025</v>
      </c>
      <c r="C54" s="112">
        <f>C53*(1-'Game Assumptions'!$B$16)</f>
        <v>1.2286337072702749</v>
      </c>
      <c r="D54" s="100"/>
      <c r="E54" s="100"/>
      <c r="F54" s="100"/>
      <c r="G54" s="100"/>
      <c r="H54" s="100"/>
      <c r="I54" s="100"/>
      <c r="J54" s="100"/>
      <c r="K54" s="100"/>
      <c r="L54" s="100"/>
      <c r="M54" s="100"/>
      <c r="N54" s="100"/>
      <c r="O54" s="100"/>
      <c r="P54" s="100"/>
      <c r="Q54" s="100"/>
      <c r="R54" s="100"/>
    </row>
    <row r="55" spans="1:18" x14ac:dyDescent="0.25">
      <c r="A55" s="100">
        <v>7</v>
      </c>
      <c r="B55" s="112">
        <f>B54*(1-'Game Assumptions'!$B$15)</f>
        <v>0.74733890625000021</v>
      </c>
      <c r="C55" s="112">
        <f>C54*(1-'Game Assumptions'!$B$16)</f>
        <v>1.1917746960521667</v>
      </c>
      <c r="D55" s="100"/>
      <c r="E55" s="100"/>
      <c r="F55" s="100"/>
      <c r="G55" s="100"/>
      <c r="H55" s="100"/>
      <c r="I55" s="100"/>
      <c r="J55" s="100"/>
      <c r="K55" s="100"/>
      <c r="L55" s="100"/>
      <c r="M55" s="100"/>
      <c r="N55" s="100"/>
      <c r="O55" s="100"/>
      <c r="P55" s="100"/>
      <c r="Q55" s="100"/>
      <c r="R55" s="100"/>
    </row>
    <row r="56" spans="1:18" x14ac:dyDescent="0.25">
      <c r="A56" s="100">
        <v>8</v>
      </c>
      <c r="B56" s="112">
        <f>B55*(1-'Game Assumptions'!$B$15)</f>
        <v>0.67260501562500019</v>
      </c>
      <c r="C56" s="112">
        <f>C55*(1-'Game Assumptions'!$B$16)</f>
        <v>1.1560214551706016</v>
      </c>
      <c r="D56" s="100"/>
      <c r="E56" s="100"/>
      <c r="F56" s="100"/>
      <c r="G56" s="100"/>
      <c r="H56" s="100"/>
      <c r="I56" s="100"/>
      <c r="J56" s="100"/>
      <c r="K56" s="100"/>
      <c r="L56" s="100"/>
      <c r="M56" s="100"/>
      <c r="N56" s="100"/>
      <c r="O56" s="100"/>
      <c r="P56" s="100"/>
      <c r="Q56" s="100"/>
      <c r="R56" s="100"/>
    </row>
    <row r="57" spans="1:18" x14ac:dyDescent="0.25">
      <c r="A57" s="100">
        <v>9</v>
      </c>
      <c r="B57" s="112">
        <f>B56*(1-'Game Assumptions'!$B$15)</f>
        <v>0.60534451406250023</v>
      </c>
      <c r="C57" s="112">
        <f>C56*(1-'Game Assumptions'!$B$16)</f>
        <v>1.1213408115154835</v>
      </c>
      <c r="D57" s="100"/>
      <c r="E57" s="100"/>
      <c r="F57" s="100"/>
      <c r="G57" s="100"/>
      <c r="H57" s="100"/>
      <c r="I57" s="100"/>
      <c r="J57" s="100"/>
      <c r="K57" s="100"/>
      <c r="L57" s="100"/>
      <c r="M57" s="100"/>
      <c r="N57" s="100"/>
      <c r="O57" s="100"/>
      <c r="P57" s="100"/>
      <c r="Q57" s="100"/>
      <c r="R57" s="100"/>
    </row>
    <row r="58" spans="1:18" x14ac:dyDescent="0.25">
      <c r="A58" s="100">
        <v>10</v>
      </c>
      <c r="B58" s="112">
        <f>B57*(1-'Game Assumptions'!$B$15)</f>
        <v>0.5448100626562502</v>
      </c>
      <c r="C58" s="112">
        <f>C57*(1-'Game Assumptions'!$B$16)</f>
        <v>1.0877005871700189</v>
      </c>
      <c r="D58" s="100"/>
      <c r="E58" s="100"/>
      <c r="F58" s="100"/>
      <c r="G58" s="100"/>
      <c r="H58" s="100"/>
      <c r="I58" s="100"/>
      <c r="J58" s="100"/>
      <c r="K58" s="100"/>
      <c r="L58" s="100"/>
      <c r="M58" s="100"/>
      <c r="N58" s="100"/>
      <c r="O58" s="100"/>
      <c r="P58" s="100"/>
      <c r="Q58" s="100"/>
      <c r="R58" s="100"/>
    </row>
    <row r="59" spans="1:18" x14ac:dyDescent="0.25">
      <c r="A59" s="100"/>
      <c r="B59" s="100"/>
      <c r="C59" s="100"/>
      <c r="D59" s="100"/>
      <c r="E59" s="100"/>
      <c r="F59" s="100"/>
      <c r="G59" s="100"/>
      <c r="H59" s="100"/>
      <c r="I59" s="100"/>
      <c r="J59" s="100"/>
      <c r="K59" s="100"/>
      <c r="L59" s="100"/>
      <c r="M59" s="100"/>
      <c r="N59" s="100"/>
      <c r="O59" s="100"/>
      <c r="P59" s="100"/>
      <c r="Q59" s="100"/>
      <c r="R59" s="100"/>
    </row>
    <row r="60" spans="1:18" x14ac:dyDescent="0.25">
      <c r="A60" s="100"/>
      <c r="B60" s="100"/>
      <c r="C60" s="100"/>
      <c r="D60" s="100"/>
      <c r="E60" s="100"/>
      <c r="F60" s="100"/>
      <c r="G60" s="100"/>
      <c r="H60" s="100"/>
      <c r="I60" s="100"/>
      <c r="J60" s="100"/>
      <c r="K60" s="100"/>
      <c r="L60" s="100"/>
      <c r="M60" s="100"/>
      <c r="N60" s="100"/>
      <c r="O60" s="100"/>
      <c r="P60" s="100"/>
      <c r="Q60" s="100"/>
      <c r="R60" s="100"/>
    </row>
    <row r="61" spans="1:18" x14ac:dyDescent="0.25">
      <c r="A61" s="100"/>
      <c r="B61" s="100"/>
      <c r="C61" s="100"/>
      <c r="D61" s="100"/>
      <c r="E61" s="100"/>
      <c r="F61" s="100"/>
      <c r="G61" s="100"/>
      <c r="H61" s="100"/>
      <c r="I61" s="100"/>
      <c r="J61" s="100"/>
      <c r="K61" s="100"/>
      <c r="L61" s="100"/>
      <c r="M61" s="100"/>
      <c r="N61" s="100"/>
      <c r="O61" s="100"/>
      <c r="P61" s="100"/>
      <c r="Q61" s="100"/>
      <c r="R61" s="100"/>
    </row>
    <row r="62" spans="1:18" x14ac:dyDescent="0.25">
      <c r="A62" s="100"/>
      <c r="B62" s="100"/>
      <c r="C62" s="100"/>
      <c r="D62" s="100"/>
      <c r="E62" s="100"/>
      <c r="F62" s="100"/>
      <c r="G62" s="100"/>
      <c r="H62" s="100"/>
      <c r="I62" s="100"/>
      <c r="J62" s="100"/>
      <c r="K62" s="100"/>
      <c r="L62" s="100"/>
      <c r="M62" s="100"/>
      <c r="N62" s="100"/>
      <c r="O62" s="100"/>
      <c r="P62" s="100"/>
      <c r="Q62" s="100"/>
      <c r="R62" s="100"/>
    </row>
    <row r="63" spans="1:18" ht="18.75" x14ac:dyDescent="0.3">
      <c r="A63" s="111" t="s">
        <v>363</v>
      </c>
      <c r="C63" s="100"/>
      <c r="D63" s="100"/>
      <c r="E63" s="100"/>
      <c r="F63" s="100"/>
      <c r="G63" s="100"/>
      <c r="H63" s="100"/>
      <c r="I63" s="100"/>
      <c r="J63" s="100"/>
      <c r="K63" s="100"/>
      <c r="L63" s="100"/>
      <c r="M63" s="100"/>
      <c r="N63" s="100"/>
      <c r="O63" s="100"/>
      <c r="P63" s="100"/>
      <c r="Q63" s="100"/>
      <c r="R63" s="100"/>
    </row>
    <row r="64" spans="1:18" x14ac:dyDescent="0.25">
      <c r="A64" s="100"/>
      <c r="B64" s="100"/>
      <c r="C64" s="100"/>
      <c r="D64" s="100"/>
      <c r="E64" s="100"/>
      <c r="F64" s="100"/>
      <c r="G64" s="100"/>
      <c r="H64" s="100"/>
      <c r="I64" s="100"/>
      <c r="J64" s="100"/>
      <c r="K64" s="100"/>
      <c r="L64" s="100"/>
      <c r="M64" s="100"/>
      <c r="N64" s="100"/>
      <c r="O64" s="100"/>
      <c r="P64" s="100"/>
      <c r="Q64" s="100"/>
      <c r="R64" s="100"/>
    </row>
    <row r="65" spans="1:18" x14ac:dyDescent="0.25">
      <c r="A65" s="100"/>
      <c r="B65" s="100"/>
      <c r="C65" s="100"/>
      <c r="D65" s="100"/>
      <c r="E65" s="100"/>
      <c r="F65" s="100"/>
      <c r="G65" s="100"/>
      <c r="H65" s="100"/>
      <c r="I65" s="100"/>
      <c r="J65" s="100"/>
      <c r="K65" s="100"/>
      <c r="L65" s="100"/>
      <c r="M65" s="100"/>
      <c r="N65" s="100"/>
      <c r="O65" s="100"/>
      <c r="P65" s="100"/>
      <c r="Q65" s="100"/>
      <c r="R65" s="100"/>
    </row>
    <row r="66" spans="1:18" x14ac:dyDescent="0.25">
      <c r="A66" s="100"/>
      <c r="B66" s="100"/>
      <c r="C66" s="100"/>
      <c r="D66" s="100"/>
      <c r="E66" s="100"/>
      <c r="F66" s="100"/>
      <c r="G66" s="100"/>
      <c r="H66" s="100"/>
      <c r="I66" s="100"/>
      <c r="J66" s="100"/>
      <c r="K66" s="100"/>
      <c r="L66" s="100"/>
      <c r="M66" s="100"/>
      <c r="N66" s="100"/>
      <c r="O66" s="100"/>
      <c r="P66" s="100"/>
      <c r="Q66" s="100"/>
      <c r="R66" s="100"/>
    </row>
    <row r="67" spans="1:18" x14ac:dyDescent="0.25">
      <c r="A67" s="100"/>
      <c r="B67" s="100"/>
      <c r="C67" s="100"/>
      <c r="D67" s="100"/>
      <c r="E67" s="100"/>
      <c r="F67" s="100"/>
      <c r="G67" s="100"/>
      <c r="H67" s="100"/>
      <c r="I67" s="100"/>
      <c r="J67" s="100"/>
      <c r="K67" s="100"/>
      <c r="L67" s="100"/>
      <c r="M67" s="100"/>
      <c r="N67" s="100"/>
      <c r="O67" s="100"/>
      <c r="P67" s="100"/>
      <c r="Q67" s="100"/>
      <c r="R67" s="100"/>
    </row>
    <row r="68" spans="1:18" x14ac:dyDescent="0.25">
      <c r="A68" s="100"/>
      <c r="B68" s="100"/>
      <c r="C68" s="100"/>
      <c r="D68" s="100"/>
      <c r="E68" s="100"/>
      <c r="F68" s="100"/>
      <c r="G68" s="100"/>
      <c r="H68" s="100"/>
      <c r="I68" s="100"/>
      <c r="J68" s="100"/>
      <c r="K68" s="100"/>
      <c r="L68" s="100"/>
      <c r="M68" s="100"/>
      <c r="N68" s="100"/>
      <c r="O68" s="100"/>
      <c r="P68" s="100"/>
      <c r="Q68" s="100"/>
      <c r="R68" s="100"/>
    </row>
    <row r="69" spans="1:18" x14ac:dyDescent="0.25">
      <c r="A69" s="100"/>
      <c r="B69" s="100"/>
      <c r="C69" s="100"/>
      <c r="D69" s="100"/>
      <c r="E69" s="100"/>
      <c r="F69" s="100"/>
      <c r="G69" s="100"/>
      <c r="H69" s="100"/>
      <c r="I69" s="100"/>
      <c r="J69" s="100"/>
      <c r="K69" s="100"/>
      <c r="L69" s="100"/>
      <c r="M69" s="100"/>
      <c r="N69" s="100"/>
      <c r="O69" s="100"/>
      <c r="P69" s="100"/>
      <c r="Q69" s="100"/>
      <c r="R69" s="100"/>
    </row>
    <row r="70" spans="1:18" x14ac:dyDescent="0.25">
      <c r="A70" s="100"/>
      <c r="B70" s="100"/>
      <c r="C70" s="100"/>
      <c r="D70" s="100"/>
      <c r="E70" s="100"/>
      <c r="F70" s="100"/>
      <c r="G70" s="100"/>
      <c r="H70" s="100"/>
      <c r="I70" s="100"/>
      <c r="J70" s="100"/>
      <c r="K70" s="100"/>
      <c r="L70" s="100"/>
      <c r="M70" s="100"/>
      <c r="N70" s="100"/>
      <c r="O70" s="100"/>
      <c r="P70" s="100"/>
      <c r="Q70" s="100"/>
      <c r="R70" s="100"/>
    </row>
    <row r="71" spans="1:18" x14ac:dyDescent="0.25">
      <c r="A71" s="100"/>
      <c r="B71" s="100"/>
      <c r="C71" s="100"/>
      <c r="D71" s="100"/>
      <c r="E71" s="100"/>
      <c r="F71" s="100"/>
      <c r="G71" s="100"/>
      <c r="H71" s="100"/>
      <c r="I71" s="100"/>
      <c r="J71" s="100"/>
      <c r="K71" s="100"/>
      <c r="L71" s="100"/>
      <c r="M71" s="100"/>
      <c r="N71" s="100"/>
      <c r="O71" s="100"/>
      <c r="P71" s="100"/>
      <c r="Q71" s="100"/>
      <c r="R71" s="100"/>
    </row>
    <row r="72" spans="1:18" x14ac:dyDescent="0.25">
      <c r="A72" s="100"/>
      <c r="B72" s="100"/>
      <c r="C72" s="100"/>
      <c r="D72" s="100"/>
      <c r="E72" s="100"/>
      <c r="F72" s="100"/>
      <c r="G72" s="100"/>
      <c r="H72" s="100"/>
      <c r="I72" s="100"/>
      <c r="J72" s="100"/>
      <c r="K72" s="100"/>
      <c r="L72" s="100"/>
      <c r="M72" s="100"/>
      <c r="N72" s="100"/>
      <c r="O72" s="100"/>
      <c r="P72" s="100"/>
      <c r="Q72" s="100"/>
      <c r="R72" s="100"/>
    </row>
    <row r="73" spans="1:18" x14ac:dyDescent="0.25">
      <c r="A73" s="100"/>
      <c r="B73" s="100"/>
      <c r="C73" s="100"/>
      <c r="D73" s="100"/>
      <c r="E73" s="100"/>
      <c r="F73" s="100"/>
      <c r="G73" s="100"/>
      <c r="H73" s="100"/>
      <c r="I73" s="100"/>
      <c r="J73" s="100"/>
      <c r="K73" s="100"/>
      <c r="L73" s="100"/>
      <c r="M73" s="100"/>
      <c r="N73" s="100"/>
      <c r="O73" s="100"/>
      <c r="P73" s="100"/>
      <c r="Q73" s="100"/>
      <c r="R73" s="100"/>
    </row>
    <row r="74" spans="1:18" x14ac:dyDescent="0.25">
      <c r="A74" s="100"/>
      <c r="B74" s="100"/>
      <c r="C74" s="100"/>
      <c r="D74" s="100"/>
      <c r="E74" s="100"/>
      <c r="F74" s="100"/>
      <c r="G74" s="100"/>
      <c r="H74" s="100"/>
      <c r="I74" s="100"/>
      <c r="J74" s="100"/>
      <c r="K74" s="100"/>
      <c r="L74" s="100"/>
      <c r="M74" s="100"/>
      <c r="N74" s="100"/>
      <c r="O74" s="100"/>
      <c r="P74" s="100"/>
      <c r="Q74" s="100"/>
      <c r="R74" s="100"/>
    </row>
    <row r="75" spans="1:18" x14ac:dyDescent="0.25">
      <c r="A75" s="100"/>
      <c r="B75" s="100"/>
      <c r="C75" s="100"/>
      <c r="D75" s="100"/>
      <c r="E75" s="100"/>
      <c r="F75" s="100"/>
      <c r="G75" s="100"/>
      <c r="H75" s="100"/>
      <c r="I75" s="100"/>
      <c r="J75" s="100"/>
      <c r="K75" s="100"/>
      <c r="L75" s="100"/>
      <c r="M75" s="100"/>
      <c r="N75" s="100"/>
      <c r="O75" s="100"/>
      <c r="P75" s="100"/>
      <c r="Q75" s="100"/>
      <c r="R75" s="100"/>
    </row>
    <row r="76" spans="1:18" x14ac:dyDescent="0.25">
      <c r="A76" s="100"/>
      <c r="B76" s="100"/>
      <c r="C76" s="100"/>
      <c r="D76" s="100"/>
      <c r="E76" s="100"/>
      <c r="F76" s="100"/>
      <c r="G76" s="100"/>
      <c r="H76" s="100"/>
      <c r="I76" s="100"/>
      <c r="J76" s="100"/>
      <c r="K76" s="100"/>
      <c r="L76" s="100"/>
      <c r="M76" s="100"/>
      <c r="N76" s="100"/>
      <c r="O76" s="100"/>
      <c r="P76" s="100"/>
      <c r="Q76" s="100"/>
      <c r="R76" s="100"/>
    </row>
    <row r="77" spans="1:18" x14ac:dyDescent="0.25">
      <c r="A77" s="100"/>
      <c r="B77" s="100"/>
      <c r="C77" s="100"/>
      <c r="D77" s="100"/>
      <c r="E77" s="100"/>
      <c r="F77" s="100"/>
      <c r="G77" s="100"/>
      <c r="H77" s="100"/>
      <c r="I77" s="100"/>
      <c r="J77" s="100"/>
      <c r="K77" s="100"/>
      <c r="L77" s="100"/>
      <c r="M77" s="100"/>
      <c r="N77" s="100"/>
      <c r="O77" s="100"/>
      <c r="P77" s="100"/>
      <c r="Q77" s="100"/>
      <c r="R77" s="100"/>
    </row>
    <row r="78" spans="1:18" x14ac:dyDescent="0.25">
      <c r="A78" s="100"/>
      <c r="B78" s="100"/>
      <c r="C78" s="100"/>
      <c r="D78" s="100"/>
      <c r="E78" s="100"/>
      <c r="F78" s="100"/>
      <c r="G78" s="100"/>
      <c r="H78" s="100"/>
      <c r="I78" s="100"/>
      <c r="J78" s="100"/>
      <c r="K78" s="100"/>
      <c r="L78" s="100"/>
      <c r="M78" s="100"/>
      <c r="N78" s="100"/>
      <c r="O78" s="100"/>
      <c r="P78" s="100"/>
      <c r="Q78" s="100"/>
      <c r="R78" s="100"/>
    </row>
    <row r="79" spans="1:18" x14ac:dyDescent="0.25">
      <c r="A79" s="100"/>
      <c r="B79" s="100"/>
      <c r="C79" s="100"/>
      <c r="D79" s="100"/>
      <c r="E79" s="100"/>
      <c r="F79" s="100"/>
      <c r="G79" s="100"/>
      <c r="H79" s="100"/>
      <c r="I79" s="100"/>
      <c r="J79" s="100"/>
      <c r="K79" s="100"/>
      <c r="L79" s="100"/>
      <c r="M79" s="100"/>
      <c r="N79" s="100"/>
      <c r="O79" s="100"/>
      <c r="P79" s="100"/>
      <c r="Q79" s="100"/>
      <c r="R79" s="100"/>
    </row>
    <row r="80" spans="1:18" x14ac:dyDescent="0.25">
      <c r="A80" s="100"/>
      <c r="B80" s="100"/>
      <c r="C80" s="100"/>
      <c r="D80" s="100"/>
      <c r="E80" s="100"/>
      <c r="F80" s="100"/>
      <c r="G80" s="100"/>
      <c r="H80" s="100"/>
      <c r="I80" s="100"/>
      <c r="J80" s="100"/>
      <c r="K80" s="100"/>
      <c r="L80" s="100"/>
      <c r="M80" s="100"/>
      <c r="N80" s="100"/>
      <c r="O80" s="100"/>
      <c r="P80" s="100"/>
      <c r="Q80" s="100"/>
      <c r="R80" s="100"/>
    </row>
    <row r="81" spans="1:18" x14ac:dyDescent="0.25">
      <c r="A81" s="100"/>
      <c r="B81" s="100"/>
      <c r="C81" s="100"/>
      <c r="D81" s="100"/>
      <c r="E81" s="100"/>
      <c r="F81" s="100"/>
      <c r="G81" s="100"/>
      <c r="H81" s="100"/>
      <c r="I81" s="100"/>
      <c r="J81" s="100"/>
      <c r="K81" s="100"/>
      <c r="L81" s="100"/>
      <c r="M81" s="100"/>
      <c r="N81" s="100"/>
      <c r="O81" s="100"/>
      <c r="P81" s="100"/>
      <c r="Q81" s="100"/>
      <c r="R81" s="100"/>
    </row>
    <row r="82" spans="1:18" x14ac:dyDescent="0.25">
      <c r="A82" s="100"/>
      <c r="B82" s="100"/>
      <c r="C82" s="100"/>
      <c r="D82" s="100"/>
      <c r="E82" s="100"/>
      <c r="F82" s="100"/>
      <c r="G82" s="100"/>
      <c r="H82" s="100"/>
      <c r="I82" s="100"/>
      <c r="J82" s="100"/>
      <c r="K82" s="100"/>
      <c r="L82" s="100"/>
      <c r="M82" s="100"/>
      <c r="N82" s="100"/>
      <c r="O82" s="100"/>
      <c r="P82" s="100"/>
      <c r="Q82" s="100"/>
      <c r="R82" s="100"/>
    </row>
    <row r="83" spans="1:18" x14ac:dyDescent="0.25">
      <c r="A83" s="100"/>
      <c r="B83" s="100"/>
      <c r="C83" s="100"/>
      <c r="D83" s="100"/>
      <c r="E83" s="100"/>
      <c r="F83" s="100"/>
      <c r="G83" s="100"/>
      <c r="H83" s="100"/>
      <c r="I83" s="100"/>
      <c r="J83" s="100"/>
      <c r="K83" s="100"/>
      <c r="L83" s="100"/>
      <c r="M83" s="100"/>
      <c r="N83" s="100"/>
      <c r="O83" s="100"/>
      <c r="P83" s="100"/>
      <c r="Q83" s="100"/>
      <c r="R83" s="100"/>
    </row>
    <row r="84" spans="1:18" x14ac:dyDescent="0.25">
      <c r="A84" s="100"/>
      <c r="B84" s="100"/>
      <c r="C84" s="100"/>
      <c r="D84" s="100"/>
      <c r="E84" s="100"/>
      <c r="F84" s="100"/>
      <c r="G84" s="100"/>
      <c r="H84" s="100"/>
      <c r="I84" s="100"/>
      <c r="J84" s="100"/>
      <c r="K84" s="100"/>
      <c r="L84" s="100"/>
      <c r="M84" s="100"/>
      <c r="N84" s="100"/>
      <c r="O84" s="100"/>
      <c r="P84" s="100"/>
      <c r="Q84" s="100"/>
      <c r="R84" s="100"/>
    </row>
    <row r="85" spans="1:18" x14ac:dyDescent="0.25">
      <c r="A85" s="100"/>
      <c r="B85" s="100"/>
      <c r="C85" s="100"/>
      <c r="D85" s="100"/>
      <c r="E85" s="100"/>
      <c r="F85" s="100"/>
      <c r="G85" s="100"/>
      <c r="H85" s="100"/>
      <c r="I85" s="100"/>
      <c r="J85" s="100"/>
      <c r="K85" s="100"/>
      <c r="L85" s="100"/>
      <c r="M85" s="100"/>
      <c r="N85" s="100"/>
      <c r="O85" s="100"/>
      <c r="P85" s="100"/>
      <c r="Q85" s="100"/>
      <c r="R85" s="100"/>
    </row>
    <row r="86" spans="1:18" x14ac:dyDescent="0.25">
      <c r="A86" s="100"/>
      <c r="B86" s="100"/>
      <c r="C86" s="100"/>
      <c r="D86" s="100"/>
      <c r="E86" s="100"/>
      <c r="F86" s="100"/>
      <c r="G86" s="100"/>
      <c r="H86" s="100"/>
      <c r="I86" s="100"/>
      <c r="J86" s="100"/>
      <c r="K86" s="100"/>
      <c r="L86" s="100"/>
      <c r="M86" s="100"/>
      <c r="N86" s="100"/>
      <c r="O86" s="100"/>
      <c r="P86" s="100"/>
      <c r="Q86" s="100"/>
      <c r="R86" s="100"/>
    </row>
    <row r="87" spans="1:18" x14ac:dyDescent="0.25">
      <c r="A87" s="100"/>
      <c r="B87" s="100"/>
      <c r="C87" s="100"/>
      <c r="D87" s="100"/>
      <c r="E87" s="100"/>
      <c r="F87" s="100"/>
      <c r="G87" s="100"/>
      <c r="H87" s="100"/>
      <c r="I87" s="100"/>
      <c r="J87" s="100"/>
      <c r="K87" s="100"/>
      <c r="L87" s="100"/>
      <c r="M87" s="100"/>
      <c r="N87" s="100"/>
      <c r="O87" s="100"/>
      <c r="P87" s="100"/>
      <c r="Q87" s="100"/>
      <c r="R87" s="100"/>
    </row>
    <row r="88" spans="1:18" x14ac:dyDescent="0.25">
      <c r="A88" s="100"/>
      <c r="B88" s="100"/>
      <c r="C88" s="100"/>
      <c r="D88" s="100"/>
      <c r="E88" s="100"/>
      <c r="F88" s="100"/>
      <c r="G88" s="100"/>
      <c r="H88" s="100"/>
      <c r="I88" s="100"/>
      <c r="J88" s="100"/>
      <c r="K88" s="100"/>
      <c r="L88" s="100"/>
      <c r="M88" s="100"/>
      <c r="N88" s="100"/>
      <c r="O88" s="100"/>
      <c r="P88" s="100"/>
      <c r="Q88" s="100"/>
      <c r="R88" s="100"/>
    </row>
    <row r="89" spans="1:18" x14ac:dyDescent="0.25">
      <c r="A89" s="100"/>
      <c r="B89" s="100"/>
      <c r="C89" s="100"/>
      <c r="D89" s="100"/>
      <c r="E89" s="100"/>
      <c r="F89" s="100"/>
      <c r="G89" s="100"/>
      <c r="H89" s="100"/>
      <c r="I89" s="100"/>
      <c r="J89" s="100"/>
      <c r="K89" s="100"/>
      <c r="L89" s="100"/>
      <c r="M89" s="100"/>
      <c r="N89" s="100"/>
      <c r="O89" s="100"/>
      <c r="P89" s="100"/>
      <c r="Q89" s="100"/>
      <c r="R89" s="100"/>
    </row>
    <row r="90" spans="1:18" x14ac:dyDescent="0.25">
      <c r="A90" s="100"/>
      <c r="B90" s="100"/>
      <c r="C90" s="100"/>
      <c r="D90" s="100"/>
      <c r="E90" s="100"/>
      <c r="F90" s="100"/>
      <c r="G90" s="100"/>
      <c r="H90" s="100"/>
      <c r="I90" s="100"/>
      <c r="J90" s="100"/>
      <c r="K90" s="100"/>
      <c r="L90" s="100"/>
      <c r="M90" s="100"/>
      <c r="N90" s="100"/>
      <c r="O90" s="100"/>
      <c r="P90" s="100"/>
      <c r="Q90" s="100"/>
      <c r="R90" s="100"/>
    </row>
    <row r="91" spans="1:18" x14ac:dyDescent="0.25">
      <c r="A91" s="100"/>
      <c r="B91" s="100"/>
      <c r="C91" s="100"/>
      <c r="D91" s="100"/>
      <c r="E91" s="100"/>
      <c r="F91" s="100"/>
      <c r="G91" s="100"/>
      <c r="H91" s="100"/>
      <c r="I91" s="100"/>
      <c r="J91" s="100"/>
      <c r="K91" s="100"/>
      <c r="L91" s="100"/>
      <c r="M91" s="100"/>
      <c r="N91" s="100"/>
      <c r="O91" s="100"/>
      <c r="P91" s="100"/>
      <c r="Q91" s="100"/>
      <c r="R91" s="100"/>
    </row>
  </sheetData>
  <mergeCells count="6">
    <mergeCell ref="A1:N1"/>
    <mergeCell ref="A5:N5"/>
    <mergeCell ref="A6:F6"/>
    <mergeCell ref="A45:F45"/>
    <mergeCell ref="B2:F2"/>
    <mergeCell ref="B3:F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Gameplay!$D$3:$D$3</xm:f>
          </x14:formula1>
          <xm:sqref>B38 B28 B18</xm:sqref>
        </x14:dataValidation>
        <x14:dataValidation type="list" allowBlank="1" showInputMessage="1" showErrorMessage="1" xr:uid="{00000000-0002-0000-0000-000001000000}">
          <x14:formula1>
            <xm:f>'Game Properties'!$A$2:$A$7</xm:f>
          </x14:formula1>
          <xm:sqref>B3:F3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B61"/>
  <sheetViews>
    <sheetView zoomScale="70" zoomScaleNormal="70" workbookViewId="0">
      <selection activeCell="B5" sqref="B5"/>
    </sheetView>
  </sheetViews>
  <sheetFormatPr defaultRowHeight="15" x14ac:dyDescent="0.25"/>
  <cols>
    <col min="1" max="1" width="40.7109375" customWidth="1"/>
    <col min="2" max="2" width="25.85546875" customWidth="1"/>
    <col min="3" max="3" width="13.28515625" customWidth="1"/>
    <col min="4" max="4" width="23.42578125" customWidth="1"/>
    <col min="5" max="5" width="2.140625" customWidth="1"/>
    <col min="6" max="6" width="18.7109375" customWidth="1"/>
    <col min="7" max="7" width="61.42578125" customWidth="1"/>
    <col min="8" max="8" width="1.42578125" customWidth="1"/>
    <col min="9" max="9" width="28.85546875" customWidth="1"/>
    <col min="10" max="10" width="55.5703125" customWidth="1"/>
  </cols>
  <sheetData>
    <row r="1" spans="1:28" ht="18.600000000000001" customHeight="1" x14ac:dyDescent="0.3">
      <c r="A1" s="182" t="str">
        <f>IF('Initial Setup'!B2="","",CONCATENATE('Initial Setup'!B2,"'s"," Metrics and Options"))</f>
        <v>[Insert Utility Name Here]'s Metrics and Options</v>
      </c>
      <c r="B1" s="182"/>
      <c r="C1" s="182"/>
      <c r="D1" s="182"/>
      <c r="E1" s="182"/>
      <c r="F1" s="182"/>
      <c r="G1" s="182"/>
      <c r="H1" s="182"/>
      <c r="I1" s="182"/>
      <c r="J1" s="182"/>
      <c r="K1" s="100"/>
      <c r="L1" s="100"/>
      <c r="M1" s="100"/>
      <c r="N1" s="100"/>
      <c r="O1" s="100"/>
      <c r="P1" s="100"/>
      <c r="Q1" s="100"/>
      <c r="R1" s="100"/>
      <c r="S1" s="100"/>
      <c r="T1" s="100"/>
      <c r="U1" s="100"/>
      <c r="V1" s="100"/>
      <c r="W1" s="100"/>
      <c r="X1" s="100"/>
      <c r="Y1" s="100"/>
      <c r="Z1" s="100"/>
      <c r="AA1" s="100"/>
      <c r="AB1" s="100"/>
    </row>
    <row r="2" spans="1:28" ht="18.95" customHeight="1" thickBot="1" x14ac:dyDescent="0.35">
      <c r="A2" s="182" t="str">
        <f>CONCATENATE("Round ",'Event Tracker'!P1)</f>
        <v>Round 0</v>
      </c>
      <c r="B2" s="182"/>
      <c r="C2" s="182"/>
      <c r="D2" s="182"/>
      <c r="E2" s="182"/>
      <c r="F2" s="182"/>
      <c r="G2" s="182"/>
      <c r="H2" s="182"/>
      <c r="I2" s="182"/>
      <c r="J2" s="182"/>
      <c r="K2" s="100"/>
      <c r="L2" s="100"/>
      <c r="M2" s="100"/>
      <c r="N2" s="100"/>
      <c r="O2" s="100"/>
      <c r="P2" s="100"/>
      <c r="Q2" s="100"/>
      <c r="R2" s="100"/>
      <c r="S2" s="100"/>
      <c r="T2" s="100"/>
      <c r="U2" s="100"/>
      <c r="V2" s="100"/>
      <c r="W2" s="100"/>
      <c r="X2" s="100"/>
      <c r="Y2" s="100"/>
      <c r="Z2" s="100"/>
      <c r="AA2" s="100"/>
      <c r="AB2" s="100"/>
    </row>
    <row r="3" spans="1:28" ht="25.5" customHeight="1" x14ac:dyDescent="0.25">
      <c r="A3" s="183" t="s">
        <v>313</v>
      </c>
      <c r="B3" s="184"/>
      <c r="C3" s="184"/>
      <c r="D3" s="185"/>
      <c r="E3" s="128"/>
      <c r="F3" s="180" t="s">
        <v>385</v>
      </c>
      <c r="G3" s="181"/>
      <c r="H3" s="128">
        <v>0</v>
      </c>
      <c r="I3" s="180" t="s">
        <v>430</v>
      </c>
      <c r="J3" s="181"/>
      <c r="K3" s="100"/>
      <c r="L3" s="100"/>
      <c r="M3" s="100"/>
      <c r="N3" s="100"/>
      <c r="O3" s="100"/>
      <c r="P3" s="100"/>
      <c r="Q3" s="100"/>
      <c r="R3" s="100"/>
      <c r="S3" s="100"/>
      <c r="T3" s="100"/>
      <c r="U3" s="100"/>
      <c r="V3" s="100"/>
      <c r="W3" s="100"/>
      <c r="X3" s="100"/>
      <c r="Y3" s="100"/>
      <c r="Z3" s="100"/>
      <c r="AA3" s="100"/>
      <c r="AB3" s="100"/>
    </row>
    <row r="4" spans="1:28" s="66" customFormat="1" ht="40.5" customHeight="1" x14ac:dyDescent="0.25">
      <c r="A4" s="129" t="s">
        <v>315</v>
      </c>
      <c r="B4" s="130" t="s">
        <v>312</v>
      </c>
      <c r="C4" s="130" t="s">
        <v>438</v>
      </c>
      <c r="D4" s="131" t="s">
        <v>314</v>
      </c>
      <c r="E4" s="103"/>
      <c r="F4" s="178">
        <f>INDEX(Graphs!$C$3:$C$13,Current_Round+1,1)</f>
        <v>81.049479225863763</v>
      </c>
      <c r="G4" s="120">
        <v>0</v>
      </c>
      <c r="H4" s="103">
        <v>0</v>
      </c>
      <c r="I4" s="178" t="e">
        <f>INDEX(Graphs!$C$34:$C$44,Current_Round+1,1)</f>
        <v>#REF!</v>
      </c>
      <c r="J4" s="123">
        <v>0</v>
      </c>
      <c r="K4" s="103"/>
      <c r="L4" s="103"/>
      <c r="M4" s="103"/>
      <c r="N4" s="103"/>
      <c r="O4" s="103"/>
      <c r="P4" s="103"/>
      <c r="Q4" s="103"/>
      <c r="R4" s="103"/>
      <c r="S4" s="103"/>
      <c r="T4" s="103"/>
      <c r="U4" s="103"/>
      <c r="V4" s="103"/>
      <c r="W4" s="103"/>
      <c r="X4" s="103"/>
      <c r="Y4" s="103"/>
      <c r="Z4" s="103"/>
      <c r="AA4" s="103"/>
      <c r="AB4" s="103"/>
    </row>
    <row r="5" spans="1:28" ht="18.600000000000001" customHeight="1" x14ac:dyDescent="0.3">
      <c r="A5" s="133" t="s">
        <v>16</v>
      </c>
      <c r="B5" s="136" t="e">
        <f>INDEX('Resource Mix and Demand'!$B$24:$L$32,MATCH(Gameplay!A5,'Resource Mix and Demand'!$A$24:$A$32,0),MATCH('Event Tracker'!$P$1-1,'Resource Mix and Demand'!$B$23:$L$23,0))</f>
        <v>#N/A</v>
      </c>
      <c r="C5" s="136">
        <v>0</v>
      </c>
      <c r="D5" s="134">
        <v>0</v>
      </c>
      <c r="E5" s="100"/>
      <c r="F5" s="178"/>
      <c r="G5" s="121">
        <v>1</v>
      </c>
      <c r="H5" s="100">
        <v>1</v>
      </c>
      <c r="I5" s="178"/>
      <c r="J5" s="123">
        <v>1</v>
      </c>
      <c r="K5" s="100"/>
      <c r="L5" s="100"/>
      <c r="M5" s="100"/>
      <c r="N5" s="100"/>
      <c r="O5" s="100"/>
      <c r="P5" s="100"/>
      <c r="Q5" s="100"/>
      <c r="R5" s="100"/>
      <c r="S5" s="100"/>
      <c r="T5" s="100"/>
      <c r="U5" s="100"/>
      <c r="V5" s="100"/>
      <c r="W5" s="100"/>
      <c r="X5" s="100"/>
      <c r="Y5" s="100"/>
      <c r="Z5" s="100"/>
      <c r="AA5" s="100"/>
      <c r="AB5" s="100"/>
    </row>
    <row r="6" spans="1:28" ht="18.600000000000001" customHeight="1" x14ac:dyDescent="0.3">
      <c r="A6" s="133" t="s">
        <v>17</v>
      </c>
      <c r="B6" s="136" t="e">
        <f>INDEX('Resource Mix and Demand'!$B$24:$L$32,MATCH(Gameplay!A6,'Resource Mix and Demand'!$A$24:$A$32,0),MATCH('Event Tracker'!$P$1-1,'Resource Mix and Demand'!$B$23:$L$23,0))</f>
        <v>#N/A</v>
      </c>
      <c r="C6" s="136">
        <v>0</v>
      </c>
      <c r="D6" s="134">
        <v>0</v>
      </c>
      <c r="E6" s="100"/>
      <c r="F6" s="178"/>
      <c r="G6" s="121">
        <v>0</v>
      </c>
      <c r="H6" s="100">
        <v>0</v>
      </c>
      <c r="I6" s="178"/>
      <c r="J6" s="123">
        <v>0</v>
      </c>
      <c r="K6" s="100"/>
      <c r="L6" s="100"/>
      <c r="M6" s="100"/>
      <c r="N6" s="100"/>
      <c r="O6" s="100"/>
      <c r="P6" s="100"/>
      <c r="Q6" s="100"/>
      <c r="R6" s="100"/>
      <c r="S6" s="100"/>
      <c r="T6" s="100"/>
      <c r="U6" s="100"/>
      <c r="V6" s="100"/>
      <c r="W6" s="100"/>
      <c r="X6" s="100"/>
      <c r="Y6" s="100"/>
      <c r="Z6" s="100"/>
      <c r="AA6" s="100"/>
      <c r="AB6" s="100"/>
    </row>
    <row r="7" spans="1:28" ht="18.600000000000001" customHeight="1" x14ac:dyDescent="0.3">
      <c r="A7" s="133" t="s">
        <v>18</v>
      </c>
      <c r="B7" s="136" t="e">
        <f>INDEX('Resource Mix and Demand'!$B$24:$L$32,MATCH(Gameplay!A7,'Resource Mix and Demand'!$A$24:$A$32,0),MATCH('Event Tracker'!$P$1-1,'Resource Mix and Demand'!$B$23:$L$23,0))</f>
        <v>#N/A</v>
      </c>
      <c r="C7" s="136">
        <v>0</v>
      </c>
      <c r="D7" s="134">
        <v>0</v>
      </c>
      <c r="E7" s="100"/>
      <c r="F7" s="178"/>
      <c r="G7" s="121">
        <v>0</v>
      </c>
      <c r="H7" s="100">
        <v>0</v>
      </c>
      <c r="I7" s="178"/>
      <c r="J7" s="123">
        <v>0</v>
      </c>
      <c r="K7" s="100"/>
      <c r="L7" s="100"/>
      <c r="M7" s="100"/>
      <c r="N7" s="100"/>
      <c r="O7" s="100"/>
      <c r="P7" s="100"/>
      <c r="Q7" s="100"/>
      <c r="R7" s="100"/>
      <c r="S7" s="100"/>
      <c r="T7" s="100"/>
      <c r="U7" s="100"/>
      <c r="V7" s="100"/>
      <c r="W7" s="100"/>
      <c r="X7" s="100"/>
      <c r="Y7" s="100"/>
      <c r="Z7" s="100"/>
      <c r="AA7" s="100"/>
      <c r="AB7" s="100"/>
    </row>
    <row r="8" spans="1:28" ht="18.600000000000001" customHeight="1" x14ac:dyDescent="0.3">
      <c r="A8" s="133" t="s">
        <v>425</v>
      </c>
      <c r="B8" s="136" t="e">
        <f>INDEX('Resource Mix and Demand'!$B$24:$L$32,MATCH(Gameplay!A8,'Resource Mix and Demand'!$A$24:$A$32,0),MATCH('Event Tracker'!$P$1-1,'Resource Mix and Demand'!$B$23:$L$23,0))</f>
        <v>#N/A</v>
      </c>
      <c r="C8" s="136">
        <f>INDEX('Resource Mix and Demand'!$B$13:$L$21,MATCH(A8,'Resource Mix and Demand'!$A$13:$A$21,0),MATCH('Event Tracker'!$P$1,'Resource Mix and Demand'!$B$12:$L$12,0))</f>
        <v>0</v>
      </c>
      <c r="D8" s="134">
        <v>0</v>
      </c>
      <c r="E8" s="100"/>
      <c r="F8" s="178"/>
      <c r="G8" s="121"/>
      <c r="H8" s="100"/>
      <c r="I8" s="178"/>
      <c r="J8" s="123"/>
      <c r="K8" s="100"/>
      <c r="L8" s="100"/>
      <c r="M8" s="100"/>
      <c r="N8" s="100"/>
      <c r="O8" s="100"/>
      <c r="P8" s="100"/>
      <c r="Q8" s="100"/>
      <c r="R8" s="100"/>
      <c r="S8" s="100"/>
      <c r="T8" s="100"/>
      <c r="U8" s="100"/>
      <c r="V8" s="100"/>
      <c r="W8" s="100"/>
      <c r="X8" s="100"/>
      <c r="Y8" s="100"/>
      <c r="Z8" s="100"/>
      <c r="AA8" s="100"/>
      <c r="AB8" s="100"/>
    </row>
    <row r="9" spans="1:28" ht="18.600000000000001" customHeight="1" x14ac:dyDescent="0.3">
      <c r="A9" s="133" t="s">
        <v>426</v>
      </c>
      <c r="B9" s="136" t="e">
        <f>INDEX('Resource Mix and Demand'!$B$24:$L$32,MATCH(Gameplay!A9,'Resource Mix and Demand'!$A$24:$A$32,0),MATCH('Event Tracker'!$P$1-1,'Resource Mix and Demand'!$B$23:$L$23,0))</f>
        <v>#N/A</v>
      </c>
      <c r="C9" s="136">
        <f>INDEX('Resource Mix and Demand'!$B$13:$L$21,MATCH(A9,'Resource Mix and Demand'!$A$13:$A$21,0),MATCH('Event Tracker'!$P$1,'Resource Mix and Demand'!$B$12:$L$12,0))</f>
        <v>0</v>
      </c>
      <c r="D9" s="134">
        <v>0</v>
      </c>
      <c r="E9" s="100"/>
      <c r="F9" s="178"/>
      <c r="G9" s="121"/>
      <c r="H9" s="100"/>
      <c r="I9" s="178"/>
      <c r="J9" s="123"/>
      <c r="K9" s="100"/>
      <c r="L9" s="100"/>
      <c r="M9" s="100"/>
      <c r="N9" s="100"/>
      <c r="O9" s="100"/>
      <c r="P9" s="100"/>
      <c r="Q9" s="100"/>
      <c r="R9" s="100"/>
      <c r="S9" s="100"/>
      <c r="T9" s="100"/>
      <c r="U9" s="100"/>
      <c r="V9" s="100"/>
      <c r="W9" s="100"/>
      <c r="X9" s="100"/>
      <c r="Y9" s="100"/>
      <c r="Z9" s="100"/>
      <c r="AA9" s="100"/>
      <c r="AB9" s="100"/>
    </row>
    <row r="10" spans="1:28" ht="18.600000000000001" customHeight="1" x14ac:dyDescent="0.3">
      <c r="A10" s="133" t="s">
        <v>427</v>
      </c>
      <c r="B10" s="136" t="e">
        <f>INDEX('Resource Mix and Demand'!$B$24:$L$32,MATCH(Gameplay!A10,'Resource Mix and Demand'!$A$24:$A$32,0),MATCH('Event Tracker'!$P$1-1,'Resource Mix and Demand'!$B$23:$L$23,0))</f>
        <v>#N/A</v>
      </c>
      <c r="C10" s="136">
        <f>INDEX('Resource Mix and Demand'!$B$13:$L$21,MATCH(A10,'Resource Mix and Demand'!$A$13:$A$21,0),MATCH('Event Tracker'!$P$1,'Resource Mix and Demand'!$B$12:$L$12,0))</f>
        <v>0</v>
      </c>
      <c r="D10" s="134">
        <v>0</v>
      </c>
      <c r="E10" s="100"/>
      <c r="F10" s="178"/>
      <c r="G10" s="121"/>
      <c r="H10" s="100"/>
      <c r="I10" s="178"/>
      <c r="J10" s="123"/>
      <c r="K10" s="100"/>
      <c r="L10" s="100"/>
      <c r="M10" s="100"/>
      <c r="N10" s="100"/>
      <c r="O10" s="100"/>
      <c r="P10" s="100"/>
      <c r="Q10" s="100"/>
      <c r="R10" s="100"/>
      <c r="S10" s="100"/>
      <c r="T10" s="100"/>
      <c r="U10" s="100"/>
      <c r="V10" s="100"/>
      <c r="W10" s="100"/>
      <c r="X10" s="100"/>
      <c r="Y10" s="100"/>
      <c r="Z10" s="100"/>
      <c r="AA10" s="100"/>
      <c r="AB10" s="100"/>
    </row>
    <row r="11" spans="1:28" ht="18.600000000000001" customHeight="1" x14ac:dyDescent="0.3">
      <c r="A11" s="133" t="s">
        <v>289</v>
      </c>
      <c r="B11" s="136" t="e">
        <f>INDEX('Resource Mix and Demand'!$B$24:$L$32,MATCH(Gameplay!A11,'Resource Mix and Demand'!$A$24:$A$32,0),MATCH('Event Tracker'!$P$1-1,'Resource Mix and Demand'!$B$23:$L$23,0))</f>
        <v>#N/A</v>
      </c>
      <c r="C11" s="136">
        <f>INDEX('Resource Mix and Demand'!$B$13:$L$21,MATCH(A11,'Resource Mix and Demand'!$A$13:$A$21,0),MATCH('Event Tracker'!$P$1,'Resource Mix and Demand'!$B$12:$L$12,0))</f>
        <v>0</v>
      </c>
      <c r="D11" s="134">
        <v>0</v>
      </c>
      <c r="E11" s="100"/>
      <c r="F11" s="178"/>
      <c r="G11" s="121"/>
      <c r="H11" s="100"/>
      <c r="I11" s="178"/>
      <c r="J11" s="123"/>
      <c r="K11" s="100"/>
      <c r="L11" s="100"/>
      <c r="M11" s="100"/>
      <c r="N11" s="100"/>
      <c r="O11" s="100"/>
      <c r="P11" s="100"/>
      <c r="Q11" s="100"/>
      <c r="R11" s="100"/>
      <c r="S11" s="100"/>
      <c r="T11" s="100"/>
      <c r="U11" s="100"/>
      <c r="V11" s="100"/>
      <c r="W11" s="100"/>
      <c r="X11" s="100"/>
      <c r="Y11" s="100"/>
      <c r="Z11" s="100"/>
      <c r="AA11" s="100"/>
      <c r="AB11" s="100"/>
    </row>
    <row r="12" spans="1:28" ht="18.600000000000001" customHeight="1" x14ac:dyDescent="0.3">
      <c r="A12" s="133" t="s">
        <v>290</v>
      </c>
      <c r="B12" s="136" t="e">
        <f>INDEX('Resource Mix and Demand'!$B$24:$L$32,MATCH(Gameplay!A12,'Resource Mix and Demand'!$A$24:$A$32,0),MATCH('Event Tracker'!$P$1-1,'Resource Mix and Demand'!$B$23:$L$23,0))</f>
        <v>#N/A</v>
      </c>
      <c r="C12" s="136">
        <f>INDEX('Resource Mix and Demand'!$B$13:$L$21,MATCH(A12,'Resource Mix and Demand'!$A$13:$A$21,0),MATCH('Event Tracker'!$P$1,'Resource Mix and Demand'!$B$12:$L$12,0))</f>
        <v>0</v>
      </c>
      <c r="D12" s="137"/>
      <c r="E12" s="100"/>
      <c r="F12" s="178"/>
      <c r="G12" s="121"/>
      <c r="H12" s="100"/>
      <c r="I12" s="178"/>
      <c r="J12" s="123"/>
      <c r="K12" s="100"/>
      <c r="L12" s="100"/>
      <c r="M12" s="100"/>
      <c r="N12" s="100"/>
      <c r="O12" s="100"/>
      <c r="P12" s="100"/>
      <c r="Q12" s="100"/>
      <c r="R12" s="100"/>
      <c r="S12" s="100"/>
      <c r="T12" s="100"/>
      <c r="U12" s="100"/>
      <c r="V12" s="100"/>
      <c r="W12" s="100"/>
      <c r="X12" s="100"/>
      <c r="Y12" s="100"/>
      <c r="Z12" s="100"/>
      <c r="AA12" s="100"/>
      <c r="AB12" s="100"/>
    </row>
    <row r="13" spans="1:28" ht="18.600000000000001" customHeight="1" thickBot="1" x14ac:dyDescent="0.35">
      <c r="A13" s="135" t="s">
        <v>428</v>
      </c>
      <c r="B13" s="138" t="e">
        <f>INDEX('Resource Mix and Demand'!$B$24:$L$32,MATCH(Gameplay!A13,'Resource Mix and Demand'!$A$24:$A$32,0),MATCH('Event Tracker'!$P$1-1,'Resource Mix and Demand'!$B$23:$L$23,0))</f>
        <v>#N/A</v>
      </c>
      <c r="C13" s="138">
        <f>INDEX('Resource Mix and Demand'!$B$13:$L$21,MATCH(A13,'Resource Mix and Demand'!$A$13:$A$21,0),MATCH('Event Tracker'!$P$1,'Resource Mix and Demand'!$B$12:$L$12,0))</f>
        <v>0</v>
      </c>
      <c r="D13" s="139"/>
      <c r="E13" s="100"/>
      <c r="F13" s="179"/>
      <c r="G13" s="122"/>
      <c r="H13" s="100"/>
      <c r="I13" s="179"/>
      <c r="J13" s="124"/>
      <c r="K13" s="100"/>
      <c r="L13" s="100"/>
      <c r="M13" s="100"/>
      <c r="N13" s="100"/>
      <c r="O13" s="100"/>
      <c r="P13" s="100"/>
      <c r="Q13" s="100"/>
      <c r="R13" s="100"/>
      <c r="S13" s="100"/>
      <c r="T13" s="100"/>
      <c r="U13" s="100"/>
      <c r="V13" s="100"/>
      <c r="W13" s="100"/>
      <c r="X13" s="100"/>
      <c r="Y13" s="100"/>
      <c r="Z13" s="100"/>
      <c r="AA13" s="100"/>
      <c r="AB13" s="100"/>
    </row>
    <row r="14" spans="1:28" ht="14.45" customHeight="1" thickBot="1" x14ac:dyDescent="0.3">
      <c r="A14" s="100"/>
      <c r="B14" s="100"/>
      <c r="C14" s="100"/>
      <c r="D14" s="100"/>
      <c r="E14" s="100"/>
      <c r="F14" s="100"/>
      <c r="G14" s="100"/>
      <c r="H14" s="100"/>
      <c r="I14" s="100"/>
      <c r="J14" s="100"/>
      <c r="K14" s="100"/>
      <c r="L14" s="100"/>
      <c r="M14" s="100"/>
      <c r="N14" s="100"/>
      <c r="O14" s="100"/>
      <c r="P14" s="100"/>
      <c r="Q14" s="100"/>
      <c r="R14" s="100"/>
      <c r="S14" s="100"/>
      <c r="T14" s="100"/>
      <c r="U14" s="100"/>
      <c r="V14" s="100"/>
      <c r="W14" s="100"/>
      <c r="X14" s="100"/>
      <c r="Y14" s="100"/>
      <c r="Z14" s="100"/>
      <c r="AA14" s="100"/>
      <c r="AB14" s="100"/>
    </row>
    <row r="15" spans="1:28" ht="29.1" customHeight="1" x14ac:dyDescent="0.25">
      <c r="A15" s="183" t="s">
        <v>421</v>
      </c>
      <c r="B15" s="184"/>
      <c r="C15" s="184"/>
      <c r="D15" s="185"/>
      <c r="E15" s="128"/>
      <c r="F15" s="180" t="s">
        <v>393</v>
      </c>
      <c r="G15" s="181"/>
      <c r="H15" s="128"/>
      <c r="I15" s="180" t="s">
        <v>169</v>
      </c>
      <c r="J15" s="181"/>
      <c r="K15" s="100"/>
      <c r="L15" s="100"/>
      <c r="M15" s="100"/>
      <c r="N15" s="100"/>
      <c r="O15" s="100"/>
      <c r="P15" s="100"/>
      <c r="Q15" s="100"/>
      <c r="R15" s="100"/>
      <c r="S15" s="100"/>
      <c r="T15" s="100"/>
      <c r="U15" s="100"/>
      <c r="V15" s="100"/>
      <c r="W15" s="100"/>
      <c r="X15" s="100"/>
      <c r="Y15" s="100"/>
      <c r="Z15" s="100"/>
      <c r="AA15" s="100"/>
      <c r="AB15" s="100"/>
    </row>
    <row r="16" spans="1:28" ht="27.6" customHeight="1" x14ac:dyDescent="0.25">
      <c r="A16" s="132" t="s">
        <v>328</v>
      </c>
      <c r="B16" s="193" t="s">
        <v>312</v>
      </c>
      <c r="C16" s="193"/>
      <c r="D16" s="131" t="s">
        <v>311</v>
      </c>
      <c r="E16" s="100"/>
      <c r="F16" s="190">
        <f>INDEX('Environmental Performance'!$C$3:$L$3,1,Current_Round)</f>
        <v>863.97358655623441</v>
      </c>
      <c r="G16" s="121"/>
      <c r="H16" s="100"/>
      <c r="I16" s="175">
        <f>INDEX(Reliability!C95:L95,1,Current_Round)</f>
        <v>323.85247037170166</v>
      </c>
      <c r="J16" s="125"/>
      <c r="K16" s="100"/>
      <c r="L16" s="100"/>
      <c r="M16" s="100"/>
      <c r="N16" s="100"/>
      <c r="O16" s="100"/>
      <c r="P16" s="100"/>
      <c r="Q16" s="100"/>
      <c r="R16" s="100"/>
      <c r="S16" s="100"/>
      <c r="T16" s="100"/>
      <c r="U16" s="100"/>
      <c r="V16" s="100"/>
      <c r="W16" s="100"/>
      <c r="X16" s="100"/>
      <c r="Y16" s="100"/>
      <c r="Z16" s="100"/>
      <c r="AA16" s="100"/>
      <c r="AB16" s="100"/>
    </row>
    <row r="17" spans="1:28" ht="18.600000000000001" customHeight="1" x14ac:dyDescent="0.3">
      <c r="A17" s="133" t="s">
        <v>204</v>
      </c>
      <c r="B17" s="194">
        <f>INDEX(Reliability!$B$19:$L$22,MATCH(Gameplay!A17,Reliability!$A$19:$A$22,0),MATCH('Event Tracker'!$P$1,Reliability!$B$18:$L$18,0)-1)</f>
        <v>300</v>
      </c>
      <c r="C17" s="194"/>
      <c r="D17" s="134">
        <v>0</v>
      </c>
      <c r="E17" s="100"/>
      <c r="F17" s="190"/>
      <c r="G17" s="121"/>
      <c r="H17" s="100"/>
      <c r="I17" s="175"/>
      <c r="J17" s="126"/>
      <c r="K17" s="100"/>
      <c r="L17" s="100"/>
      <c r="M17" s="100"/>
      <c r="N17" s="100"/>
      <c r="O17" s="100"/>
      <c r="P17" s="100"/>
      <c r="Q17" s="100"/>
      <c r="R17" s="100"/>
      <c r="S17" s="100"/>
      <c r="T17" s="100"/>
      <c r="U17" s="100"/>
      <c r="V17" s="100"/>
      <c r="W17" s="100"/>
      <c r="X17" s="100"/>
      <c r="Y17" s="100"/>
      <c r="Z17" s="100"/>
      <c r="AA17" s="100"/>
      <c r="AB17" s="100"/>
    </row>
    <row r="18" spans="1:28" ht="18.600000000000001" customHeight="1" x14ac:dyDescent="0.3">
      <c r="A18" s="133" t="s">
        <v>183</v>
      </c>
      <c r="B18" s="194">
        <f>INDEX(Reliability!$B$19:$L$22,MATCH(Gameplay!A18,Reliability!$A$19:$A$22,0),MATCH('Event Tracker'!$P$1,Reliability!$B$18:$L$18,0)-1)</f>
        <v>10</v>
      </c>
      <c r="C18" s="194"/>
      <c r="D18" s="134">
        <v>0</v>
      </c>
      <c r="E18" s="100"/>
      <c r="F18" s="190"/>
      <c r="G18" s="121"/>
      <c r="H18" s="100"/>
      <c r="I18" s="175"/>
      <c r="J18" s="126"/>
      <c r="K18" s="100"/>
      <c r="L18" s="100"/>
      <c r="M18" s="100"/>
      <c r="N18" s="100"/>
      <c r="O18" s="100"/>
      <c r="P18" s="100"/>
      <c r="Q18" s="100"/>
      <c r="R18" s="100"/>
      <c r="S18" s="100"/>
      <c r="T18" s="100"/>
      <c r="U18" s="100"/>
      <c r="V18" s="100"/>
      <c r="W18" s="100"/>
      <c r="X18" s="100"/>
      <c r="Y18" s="100"/>
      <c r="Z18" s="100"/>
      <c r="AA18" s="100"/>
      <c r="AB18" s="100"/>
    </row>
    <row r="19" spans="1:28" ht="18.600000000000001" customHeight="1" x14ac:dyDescent="0.3">
      <c r="A19" s="133" t="s">
        <v>182</v>
      </c>
      <c r="B19" s="194">
        <f>INDEX(Reliability!$B$19:$L$22,MATCH(Gameplay!A19,Reliability!$A$19:$A$22,0),MATCH('Event Tracker'!$P$1,Reliability!$B$18:$L$18,0)-1)</f>
        <v>200</v>
      </c>
      <c r="C19" s="194"/>
      <c r="D19" s="134">
        <v>0</v>
      </c>
      <c r="E19" s="100"/>
      <c r="F19" s="190"/>
      <c r="G19" s="121"/>
      <c r="H19" s="100"/>
      <c r="I19" s="175"/>
      <c r="J19" s="120"/>
      <c r="K19" s="100"/>
      <c r="L19" s="100"/>
      <c r="M19" s="100"/>
      <c r="N19" s="100"/>
      <c r="O19" s="100"/>
      <c r="P19" s="100"/>
      <c r="Q19" s="100"/>
      <c r="R19" s="100"/>
      <c r="S19" s="100"/>
      <c r="T19" s="100"/>
      <c r="U19" s="100"/>
      <c r="V19" s="100"/>
      <c r="W19" s="100"/>
      <c r="X19" s="100"/>
      <c r="Y19" s="100"/>
      <c r="Z19" s="100"/>
      <c r="AA19" s="100"/>
      <c r="AB19" s="100"/>
    </row>
    <row r="20" spans="1:28" ht="18.600000000000001" customHeight="1" x14ac:dyDescent="0.3">
      <c r="A20" s="133" t="s">
        <v>39</v>
      </c>
      <c r="B20" s="194">
        <f>INDEX(Reliability!$B$19:$L$22,MATCH(Gameplay!A20,Reliability!$A$19:$A$22,0),MATCH('Event Tracker'!$P$1,Reliability!$B$18:$L$18,0)-1)</f>
        <v>50</v>
      </c>
      <c r="C20" s="194"/>
      <c r="D20" s="134">
        <v>0</v>
      </c>
      <c r="E20" s="100"/>
      <c r="F20" s="190"/>
      <c r="G20" s="121"/>
      <c r="H20" s="100"/>
      <c r="I20" s="175"/>
      <c r="J20" s="121"/>
      <c r="K20" s="100"/>
      <c r="L20" s="100"/>
      <c r="M20" s="100"/>
      <c r="N20" s="100"/>
      <c r="O20" s="100"/>
      <c r="P20" s="100"/>
      <c r="Q20" s="100"/>
      <c r="R20" s="100"/>
      <c r="S20" s="100"/>
      <c r="T20" s="100"/>
      <c r="U20" s="100"/>
      <c r="V20" s="100"/>
      <c r="W20" s="100"/>
      <c r="X20" s="100"/>
      <c r="Y20" s="100"/>
      <c r="Z20" s="100"/>
      <c r="AA20" s="100"/>
      <c r="AB20" s="100"/>
    </row>
    <row r="21" spans="1:28" ht="18.600000000000001" customHeight="1" x14ac:dyDescent="0.25">
      <c r="A21" s="145" t="s">
        <v>410</v>
      </c>
      <c r="B21" s="195" t="e">
        <f>INDEX(Reliability!$B$42:$L$42,1,MATCH(Current_Round-1,Reliability!$B$41:$L$41,0))</f>
        <v>#N/A</v>
      </c>
      <c r="C21" s="195"/>
      <c r="D21" s="144">
        <v>0</v>
      </c>
      <c r="E21" s="100"/>
      <c r="F21" s="190"/>
      <c r="G21" s="121"/>
      <c r="H21" s="100"/>
      <c r="I21" s="175"/>
      <c r="J21" s="121"/>
      <c r="K21" s="100"/>
      <c r="L21" s="100"/>
      <c r="M21" s="100"/>
      <c r="N21" s="100"/>
      <c r="O21" s="100"/>
      <c r="P21" s="100"/>
      <c r="Q21" s="100"/>
      <c r="R21" s="100"/>
      <c r="S21" s="100"/>
      <c r="T21" s="100"/>
      <c r="U21" s="100"/>
      <c r="V21" s="100"/>
      <c r="W21" s="100"/>
      <c r="X21" s="100"/>
      <c r="Y21" s="100"/>
      <c r="Z21" s="100"/>
      <c r="AA21" s="100"/>
      <c r="AB21" s="100"/>
    </row>
    <row r="22" spans="1:28" ht="18.600000000000001" customHeight="1" x14ac:dyDescent="0.25">
      <c r="A22" s="196" t="s">
        <v>422</v>
      </c>
      <c r="B22" s="188" t="e">
        <f>INDEX(Reliability!$B$23:$L$23,1,MATCH(Current_Round-1,Reliability!$B$18:$L$18,0))</f>
        <v>#N/A</v>
      </c>
      <c r="C22" s="188"/>
      <c r="D22" s="186">
        <v>0</v>
      </c>
      <c r="E22" s="100"/>
      <c r="F22" s="176" t="s">
        <v>434</v>
      </c>
      <c r="G22" s="121"/>
      <c r="H22" s="100"/>
      <c r="I22" s="176" t="s">
        <v>433</v>
      </c>
      <c r="J22" s="126"/>
      <c r="K22" s="100"/>
      <c r="L22" s="100"/>
      <c r="M22" s="100"/>
      <c r="N22" s="100"/>
      <c r="O22" s="100"/>
      <c r="P22" s="100"/>
      <c r="Q22" s="100"/>
      <c r="R22" s="100"/>
      <c r="S22" s="100"/>
      <c r="T22" s="100"/>
      <c r="U22" s="100"/>
      <c r="V22" s="100"/>
      <c r="W22" s="100"/>
      <c r="X22" s="100"/>
      <c r="Y22" s="100"/>
      <c r="Z22" s="100"/>
      <c r="AA22" s="100"/>
      <c r="AB22" s="100"/>
    </row>
    <row r="23" spans="1:28" ht="18.600000000000001" customHeight="1" thickBot="1" x14ac:dyDescent="0.3">
      <c r="A23" s="197"/>
      <c r="B23" s="189"/>
      <c r="C23" s="189"/>
      <c r="D23" s="187"/>
      <c r="E23" s="100"/>
      <c r="F23" s="176"/>
      <c r="G23" s="121"/>
      <c r="H23" s="100"/>
      <c r="I23" s="176"/>
      <c r="J23" s="126"/>
      <c r="K23" s="100"/>
      <c r="L23" s="100"/>
      <c r="M23" s="100"/>
      <c r="N23" s="100"/>
      <c r="O23" s="100"/>
      <c r="P23" s="100"/>
      <c r="Q23" s="100"/>
      <c r="R23" s="100"/>
      <c r="S23" s="100"/>
      <c r="T23" s="100"/>
      <c r="U23" s="100"/>
      <c r="V23" s="100"/>
      <c r="W23" s="100"/>
      <c r="X23" s="100"/>
      <c r="Y23" s="100"/>
      <c r="Z23" s="100"/>
      <c r="AA23" s="100"/>
      <c r="AB23" s="100"/>
    </row>
    <row r="24" spans="1:28" ht="14.45" customHeight="1" thickBot="1" x14ac:dyDescent="0.3">
      <c r="A24" s="100"/>
      <c r="C24" s="100"/>
      <c r="D24" s="100"/>
      <c r="E24" s="100"/>
      <c r="F24" s="176"/>
      <c r="G24" s="121"/>
      <c r="H24" s="100"/>
      <c r="I24" s="176"/>
      <c r="J24" s="126"/>
      <c r="K24" s="100"/>
      <c r="L24" s="100"/>
      <c r="M24" s="100"/>
      <c r="N24" s="100"/>
      <c r="O24" s="100"/>
      <c r="P24" s="100"/>
      <c r="Q24" s="100"/>
      <c r="R24" s="100"/>
      <c r="S24" s="100"/>
      <c r="T24" s="100"/>
      <c r="U24" s="100"/>
      <c r="V24" s="100"/>
      <c r="W24" s="100"/>
      <c r="X24" s="100"/>
      <c r="Y24" s="100"/>
      <c r="Z24" s="100"/>
      <c r="AA24" s="100"/>
      <c r="AB24" s="100"/>
    </row>
    <row r="25" spans="1:28" ht="18.95" customHeight="1" thickBot="1" x14ac:dyDescent="0.35">
      <c r="A25" s="191" t="s">
        <v>325</v>
      </c>
      <c r="B25" s="192"/>
      <c r="C25" s="100"/>
      <c r="D25" s="119" t="s">
        <v>316</v>
      </c>
      <c r="E25" s="100"/>
      <c r="F25" s="176"/>
      <c r="G25" s="121"/>
      <c r="H25" s="100"/>
      <c r="I25" s="176"/>
      <c r="J25" s="126"/>
      <c r="K25" s="100"/>
      <c r="L25" s="100"/>
      <c r="M25" s="100"/>
      <c r="N25" s="100"/>
      <c r="O25" s="100"/>
      <c r="P25" s="100"/>
      <c r="Q25" s="100"/>
      <c r="R25" s="100"/>
      <c r="S25" s="100"/>
      <c r="T25" s="100"/>
      <c r="U25" s="100"/>
      <c r="V25" s="100"/>
      <c r="W25" s="100"/>
      <c r="X25" s="100"/>
      <c r="Y25" s="100"/>
      <c r="Z25" s="100"/>
      <c r="AA25" s="100"/>
      <c r="AB25" s="100"/>
    </row>
    <row r="26" spans="1:28" ht="18.600000000000001" customHeight="1" thickBot="1" x14ac:dyDescent="0.35">
      <c r="A26" s="133" t="str">
        <f>CONCATENATE("Renewables Generation: ",ROUND(INDEX(Dispatch!$B$164:$L$164,1,MATCH('Event Tracker'!$P$1,Dispatch!$B$162:$L$162,0))*100,1),"%")</f>
        <v>Renewables Generation: 1.6%</v>
      </c>
      <c r="B26" s="140"/>
      <c r="C26" s="100"/>
      <c r="D26" s="143" t="s">
        <v>395</v>
      </c>
      <c r="E26" s="100"/>
      <c r="F26" s="176"/>
      <c r="G26" s="121"/>
      <c r="H26" s="100"/>
      <c r="I26" s="176"/>
      <c r="J26" s="126"/>
      <c r="K26" s="100"/>
      <c r="L26" s="100"/>
      <c r="M26" s="100"/>
      <c r="N26" s="100"/>
      <c r="O26" s="100"/>
      <c r="P26" s="100"/>
      <c r="Q26" s="100"/>
      <c r="R26" s="100"/>
      <c r="S26" s="100"/>
      <c r="T26" s="100"/>
      <c r="U26" s="100"/>
      <c r="V26" s="100"/>
      <c r="W26" s="100"/>
      <c r="X26" s="100"/>
      <c r="Y26" s="100"/>
      <c r="Z26" s="100"/>
      <c r="AA26" s="100"/>
      <c r="AB26" s="100"/>
    </row>
    <row r="27" spans="1:28" ht="18.600000000000001" customHeight="1" thickBot="1" x14ac:dyDescent="0.35">
      <c r="A27" s="133" t="str">
        <f>CONCATENATE("Next Year Renewable Requirement: ",ROUND(INDEX(Dispatch!$B$165:$L$165,1,MATCH('Event Tracker'!$P$1,Dispatch!$B$162:$L$162,0)+1)*100,1),"%")</f>
        <v>Next Year Renewable Requirement: 0%</v>
      </c>
      <c r="B27" s="141"/>
      <c r="C27" s="100"/>
      <c r="D27" s="143" t="s">
        <v>396</v>
      </c>
      <c r="E27" s="100"/>
      <c r="F27" s="177"/>
      <c r="G27" s="122"/>
      <c r="H27" s="100"/>
      <c r="I27" s="177"/>
      <c r="J27" s="127"/>
      <c r="K27" s="100"/>
      <c r="L27" s="100"/>
      <c r="M27" s="100"/>
      <c r="N27" s="100"/>
      <c r="O27" s="100"/>
      <c r="P27" s="100"/>
      <c r="Q27" s="100"/>
      <c r="R27" s="100"/>
      <c r="S27" s="100"/>
      <c r="T27" s="100"/>
      <c r="U27" s="100"/>
      <c r="V27" s="100"/>
      <c r="W27" s="100"/>
      <c r="X27" s="100"/>
      <c r="Y27" s="100"/>
      <c r="Z27" s="100"/>
      <c r="AA27" s="100"/>
      <c r="AB27" s="100"/>
    </row>
    <row r="28" spans="1:28" ht="18.600000000000001" customHeight="1" x14ac:dyDescent="0.3">
      <c r="A28" s="133" t="str">
        <f>CONCATENATE("Carbon Price This Year: $",ROUND(INDEX(Dispatch!$B$11:$L$11,1,MATCH('Event Tracker'!$P$1,Dispatch!$B$10:$L$10,0))*100, 2))</f>
        <v>Carbon Price This Year: $0</v>
      </c>
      <c r="B28" s="141"/>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row>
    <row r="29" spans="1:28" ht="18.600000000000001" customHeight="1" thickBot="1" x14ac:dyDescent="0.35">
      <c r="A29" s="135" t="str">
        <f>CONCATENATE("Carbon Price Next Year: $",ROUND(INDEX(Dispatch!$B$11:$L$11,1,MATCH('Event Tracker'!$P$1,Dispatch!$B$10:$L$10,0)+1)*100,2))</f>
        <v>Carbon Price Next Year: $0</v>
      </c>
      <c r="B29" s="142"/>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row>
    <row r="30" spans="1:28" ht="15.95" customHeight="1" x14ac:dyDescent="0.25">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row>
    <row r="31" spans="1:28" ht="14.45" customHeight="1" x14ac:dyDescent="0.25">
      <c r="A31" s="100"/>
      <c r="B31" s="100"/>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row>
    <row r="32" spans="1:28" ht="29.1" customHeight="1" x14ac:dyDescent="0.25">
      <c r="A32" s="100"/>
      <c r="B32" s="100"/>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row>
    <row r="33" spans="1:28" ht="14.45" customHeight="1" x14ac:dyDescent="0.25">
      <c r="A33" s="100"/>
      <c r="B33" s="100"/>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row>
    <row r="34" spans="1:28" s="100" customFormat="1" ht="14.45" customHeight="1" x14ac:dyDescent="0.25"/>
    <row r="35" spans="1:28" s="100" customFormat="1" ht="14.45" customHeight="1" x14ac:dyDescent="0.25"/>
    <row r="36" spans="1:28" s="100" customFormat="1" ht="14.45" customHeight="1" x14ac:dyDescent="0.25"/>
    <row r="37" spans="1:28" s="100" customFormat="1" ht="14.45" customHeight="1" x14ac:dyDescent="0.25"/>
    <row r="38" spans="1:28" s="100" customFormat="1" ht="14.45" customHeight="1" x14ac:dyDescent="0.25"/>
    <row r="39" spans="1:28" s="100" customFormat="1" ht="14.45" customHeight="1" x14ac:dyDescent="0.25"/>
    <row r="40" spans="1:28" s="100" customFormat="1" ht="14.45" customHeight="1" x14ac:dyDescent="0.25"/>
    <row r="41" spans="1:28" s="100" customFormat="1" ht="14.45" customHeight="1" x14ac:dyDescent="0.25"/>
    <row r="42" spans="1:28" s="100" customFormat="1" ht="14.45" customHeight="1" x14ac:dyDescent="0.25"/>
    <row r="43" spans="1:28" s="100" customFormat="1" ht="14.45" customHeight="1" x14ac:dyDescent="0.25"/>
    <row r="44" spans="1:28" s="100" customFormat="1" ht="14.45" customHeight="1" x14ac:dyDescent="0.25"/>
    <row r="45" spans="1:28" s="100" customFormat="1" ht="15" customHeight="1" x14ac:dyDescent="0.25"/>
    <row r="46" spans="1:28" s="100" customFormat="1" x14ac:dyDescent="0.25"/>
    <row r="47" spans="1:28" s="100" customFormat="1" x14ac:dyDescent="0.25"/>
    <row r="48" spans="1:2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sheetData>
  <mergeCells count="24">
    <mergeCell ref="D22:D23"/>
    <mergeCell ref="B22:C23"/>
    <mergeCell ref="F15:G15"/>
    <mergeCell ref="F16:F21"/>
    <mergeCell ref="A25:B25"/>
    <mergeCell ref="B16:C16"/>
    <mergeCell ref="B17:C17"/>
    <mergeCell ref="B18:C18"/>
    <mergeCell ref="B19:C19"/>
    <mergeCell ref="B20:C20"/>
    <mergeCell ref="B21:C21"/>
    <mergeCell ref="A22:A23"/>
    <mergeCell ref="F22:F27"/>
    <mergeCell ref="A1:J1"/>
    <mergeCell ref="A2:J2"/>
    <mergeCell ref="A3:D3"/>
    <mergeCell ref="F4:F13"/>
    <mergeCell ref="I15:J15"/>
    <mergeCell ref="A15:D15"/>
    <mergeCell ref="I16:I21"/>
    <mergeCell ref="I22:I27"/>
    <mergeCell ref="I4:I13"/>
    <mergeCell ref="F3:G3"/>
    <mergeCell ref="I3:J3"/>
  </mergeCells>
  <conditionalFormatting sqref="F4 A45:F45 A1:J2 A3 K14:K15 G44:J45 F35:F44 A31:F34 B30:E30 A25 A14:E14 D16:D22 A15 B26:B29 F15:F16 E26 D29:E29 D25:D27 G4:G14 I3:I4 E3:F3 A16:B22 G16:G28 I15:I16 A4:D13">
    <cfRule type="expression" dxfId="13" priority="22">
      <formula>#REF!="Let's go!"</formula>
    </cfRule>
  </conditionalFormatting>
  <dataValidations count="2">
    <dataValidation type="whole" showInputMessage="1" showErrorMessage="1" sqref="D5:D11" xr:uid="{00000000-0002-0000-0100-000000000000}">
      <formula1>0</formula1>
      <formula2>500</formula2>
    </dataValidation>
    <dataValidation type="whole" allowBlank="1" showInputMessage="1" showErrorMessage="1" sqref="D17:D20" xr:uid="{00000000-0002-0000-0100-000001000000}">
      <formula1>0</formula1>
      <formula2>500</formula2>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1" id="{A65FBE54-FCA3-47AF-832E-83311FB7880C}">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D5:D11</xm:sqref>
        </x14:conditionalFormatting>
        <x14:conditionalFormatting xmlns:xm="http://schemas.microsoft.com/office/excel/2006/main">
          <x14:cfRule type="expression" priority="20" id="{C1AC3A87-4FC9-4457-80D6-A280F93D9C68}">
            <xm:f>'Initial Setup'!$B$3="DR"</xm:f>
            <x14:dxf>
              <font>
                <color theme="0" tint="-0.24994659260841701"/>
              </font>
              <fill>
                <patternFill>
                  <bgColor theme="0" tint="-0.24994659260841701"/>
                </patternFill>
              </fill>
              <border>
                <top style="thin">
                  <color auto="1"/>
                </top>
                <vertical/>
                <horizontal/>
              </border>
            </x14:dxf>
          </x14:cfRule>
          <xm:sqref>D5</xm:sqref>
        </x14:conditionalFormatting>
        <x14:conditionalFormatting xmlns:xm="http://schemas.microsoft.com/office/excel/2006/main">
          <x14:cfRule type="expression" priority="18" id="{EE520FF9-700F-494A-AA53-B2A8FD3BC137}">
            <xm:f>'Initial Setup'!$B$3="DR"</xm:f>
            <x14:dxf>
              <font>
                <color theme="0" tint="-0.24994659260841701"/>
              </font>
              <fill>
                <patternFill>
                  <bgColor theme="0" tint="-0.24994659260841701"/>
                </patternFill>
              </fill>
              <border>
                <bottom style="thin">
                  <color auto="1"/>
                </bottom>
                <vertical/>
                <horizontal/>
              </border>
            </x14:dxf>
          </x14:cfRule>
          <x14:cfRule type="expression" priority="19" id="{F17C9DDF-7578-45D7-9648-7A68C59B599F}">
            <xm:f>'Initial Setup'!$B$3="DR"</xm:f>
            <x14:dxf>
              <font>
                <color theme="0" tint="-0.24994659260841701"/>
              </font>
              <fill>
                <patternFill>
                  <bgColor theme="0" tint="-0.24994659260841701"/>
                </patternFill>
              </fill>
              <border>
                <bottom/>
                <vertical/>
                <horizontal/>
              </border>
            </x14:dxf>
          </x14:cfRule>
          <xm:sqref>D10</xm:sqref>
        </x14:conditionalFormatting>
        <x14:conditionalFormatting xmlns:xm="http://schemas.microsoft.com/office/excel/2006/main">
          <x14:cfRule type="expression" priority="8" id="{98972FCF-1B41-4147-8573-6BCCBDADA15C}">
            <xm:f>'Initial Setup'!$B$3="DR"</xm:f>
            <x14:dxf>
              <font>
                <color theme="0" tint="-0.24994659260841701"/>
              </font>
              <fill>
                <patternFill>
                  <bgColor theme="0" tint="-0.24994659260841701"/>
                </patternFill>
              </fill>
              <border>
                <top style="thin">
                  <color auto="1"/>
                </top>
                <vertical/>
                <horizontal/>
              </border>
            </x14:dxf>
          </x14:cfRule>
          <xm:sqref>D6:D11</xm:sqref>
        </x14:conditionalFormatting>
        <x14:conditionalFormatting xmlns:xm="http://schemas.microsoft.com/office/excel/2006/main">
          <x14:cfRule type="expression" priority="7" id="{406ABFAB-1732-4955-ACD3-2C9A2512DC71}">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D17:D21</xm:sqref>
        </x14:conditionalFormatting>
        <x14:conditionalFormatting xmlns:xm="http://schemas.microsoft.com/office/excel/2006/main">
          <x14:cfRule type="expression" priority="6" id="{55EAF00E-8A72-47D7-91E7-5DCC95BC9620}">
            <xm:f>'Initial Setup'!$B$3="DR"</xm:f>
            <x14:dxf>
              <font>
                <color theme="0" tint="-0.24994659260841701"/>
              </font>
              <fill>
                <patternFill>
                  <bgColor theme="0" tint="-0.24994659260841701"/>
                </patternFill>
              </fill>
              <border>
                <top style="thin">
                  <color auto="1"/>
                </top>
                <vertical/>
                <horizontal/>
              </border>
            </x14:dxf>
          </x14:cfRule>
          <xm:sqref>D17:D21</xm:sqref>
        </x14:conditionalFormatting>
        <x14:conditionalFormatting xmlns:xm="http://schemas.microsoft.com/office/excel/2006/main">
          <x14:cfRule type="expression" priority="5" id="{C64C6727-5926-43EF-9CBB-C8FB3F8106D6}">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D22</xm:sqref>
        </x14:conditionalFormatting>
        <x14:conditionalFormatting xmlns:xm="http://schemas.microsoft.com/office/excel/2006/main">
          <x14:cfRule type="expression" priority="4" id="{913853F9-486A-4EA2-8D2D-02C1D3BE670C}">
            <xm:f>'Initial Setup'!$B$3="DR"</xm:f>
            <x14:dxf>
              <font>
                <color theme="0" tint="-0.24994659260841701"/>
              </font>
              <fill>
                <patternFill>
                  <bgColor theme="0" tint="-0.24994659260841701"/>
                </patternFill>
              </fill>
              <border>
                <top style="thin">
                  <color auto="1"/>
                </top>
                <vertical/>
                <horizontal/>
              </border>
            </x14:dxf>
          </x14:cfRule>
          <xm:sqref>D22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'Game Properties'!$C$2:$C$6</xm:f>
          </x14:formula1>
          <xm:sqref>D26</xm:sqref>
        </x14:dataValidation>
        <x14:dataValidation type="list" allowBlank="1" showInputMessage="1" showErrorMessage="1" xr:uid="{00000000-0002-0000-0100-000003000000}">
          <x14:formula1>
            <xm:f>'Game Properties'!$B$2:$B$9</xm:f>
          </x14:formula1>
          <xm:sqref>D27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27"/>
  <sheetViews>
    <sheetView workbookViewId="0">
      <selection activeCell="B25" sqref="B25"/>
    </sheetView>
  </sheetViews>
  <sheetFormatPr defaultRowHeight="15" x14ac:dyDescent="0.25"/>
  <cols>
    <col min="1" max="1" width="55.28515625" customWidth="1"/>
    <col min="15" max="15" width="14.5703125" bestFit="1" customWidth="1"/>
  </cols>
  <sheetData>
    <row r="1" spans="1:16" ht="15.75" thickBot="1" x14ac:dyDescent="0.3">
      <c r="A1" s="9" t="s">
        <v>231</v>
      </c>
      <c r="B1" s="9">
        <v>0</v>
      </c>
      <c r="C1" s="9">
        <v>1</v>
      </c>
      <c r="D1" s="9">
        <v>2</v>
      </c>
      <c r="E1" s="9">
        <v>3</v>
      </c>
      <c r="F1" s="9">
        <v>4</v>
      </c>
      <c r="G1" s="9">
        <v>5</v>
      </c>
      <c r="H1" s="9">
        <v>6</v>
      </c>
      <c r="I1" s="9">
        <v>7</v>
      </c>
      <c r="J1" s="9">
        <v>8</v>
      </c>
      <c r="K1" s="9">
        <v>9</v>
      </c>
      <c r="L1" s="9">
        <v>10</v>
      </c>
      <c r="O1" t="s">
        <v>306</v>
      </c>
      <c r="P1" s="104">
        <f t="array" ref="P1">IF(MAX(B15:L15)=0,0,MAX(IF(B15:L15=1,B14:L14))+1)</f>
        <v>0</v>
      </c>
    </row>
    <row r="2" spans="1:16" x14ac:dyDescent="0.25">
      <c r="A2" t="s">
        <v>3</v>
      </c>
      <c r="B2">
        <v>0</v>
      </c>
      <c r="C2">
        <v>0</v>
      </c>
      <c r="D2">
        <v>0</v>
      </c>
      <c r="E2">
        <v>0</v>
      </c>
      <c r="F2">
        <v>0</v>
      </c>
      <c r="G2">
        <v>0</v>
      </c>
      <c r="H2">
        <v>0</v>
      </c>
      <c r="I2">
        <v>0</v>
      </c>
      <c r="J2">
        <v>0</v>
      </c>
      <c r="K2">
        <v>0</v>
      </c>
      <c r="L2">
        <v>0</v>
      </c>
    </row>
    <row r="3" spans="1:16" x14ac:dyDescent="0.25">
      <c r="A3" t="s">
        <v>2</v>
      </c>
      <c r="B3">
        <v>0</v>
      </c>
      <c r="C3">
        <v>0</v>
      </c>
      <c r="D3">
        <v>0</v>
      </c>
      <c r="E3">
        <v>0</v>
      </c>
      <c r="F3">
        <v>0</v>
      </c>
      <c r="G3">
        <v>0</v>
      </c>
      <c r="H3">
        <v>0</v>
      </c>
      <c r="I3">
        <v>0</v>
      </c>
      <c r="J3">
        <v>0</v>
      </c>
      <c r="K3">
        <v>0</v>
      </c>
      <c r="L3">
        <v>0</v>
      </c>
    </row>
    <row r="4" spans="1:16" x14ac:dyDescent="0.25">
      <c r="A4" t="s">
        <v>276</v>
      </c>
      <c r="B4">
        <v>0</v>
      </c>
      <c r="C4">
        <v>0</v>
      </c>
      <c r="D4">
        <v>0</v>
      </c>
      <c r="E4">
        <v>0</v>
      </c>
      <c r="F4">
        <v>0</v>
      </c>
      <c r="G4">
        <v>0</v>
      </c>
      <c r="H4">
        <v>0</v>
      </c>
      <c r="I4">
        <v>0</v>
      </c>
      <c r="J4">
        <v>0</v>
      </c>
      <c r="K4">
        <v>0</v>
      </c>
      <c r="L4">
        <v>0</v>
      </c>
    </row>
    <row r="5" spans="1:16" x14ac:dyDescent="0.25">
      <c r="A5" t="s">
        <v>1</v>
      </c>
      <c r="B5">
        <v>0</v>
      </c>
      <c r="C5">
        <v>0</v>
      </c>
      <c r="D5">
        <v>0</v>
      </c>
      <c r="E5">
        <v>0</v>
      </c>
      <c r="F5">
        <v>0</v>
      </c>
      <c r="G5">
        <v>0</v>
      </c>
      <c r="H5">
        <v>0</v>
      </c>
      <c r="I5">
        <v>0</v>
      </c>
      <c r="J5">
        <v>0</v>
      </c>
      <c r="K5">
        <v>0</v>
      </c>
      <c r="L5">
        <v>0</v>
      </c>
    </row>
    <row r="6" spans="1:16" x14ac:dyDescent="0.25">
      <c r="A6" t="s">
        <v>275</v>
      </c>
      <c r="B6">
        <v>0</v>
      </c>
      <c r="C6">
        <v>0</v>
      </c>
      <c r="D6">
        <v>0</v>
      </c>
      <c r="E6">
        <v>0</v>
      </c>
      <c r="F6">
        <v>0</v>
      </c>
      <c r="G6">
        <v>0</v>
      </c>
      <c r="H6">
        <v>0</v>
      </c>
      <c r="I6">
        <v>0</v>
      </c>
      <c r="J6">
        <v>0</v>
      </c>
      <c r="K6">
        <v>0</v>
      </c>
      <c r="L6">
        <v>0</v>
      </c>
    </row>
    <row r="7" spans="1:16" x14ac:dyDescent="0.25">
      <c r="A7" t="s">
        <v>333</v>
      </c>
      <c r="B7">
        <v>0</v>
      </c>
      <c r="C7">
        <v>0</v>
      </c>
      <c r="D7">
        <v>0</v>
      </c>
      <c r="E7">
        <v>0</v>
      </c>
      <c r="F7">
        <v>0</v>
      </c>
      <c r="G7">
        <v>0</v>
      </c>
      <c r="H7">
        <v>0</v>
      </c>
      <c r="I7">
        <v>0</v>
      </c>
      <c r="J7">
        <v>0</v>
      </c>
      <c r="K7">
        <v>0</v>
      </c>
      <c r="L7">
        <v>0</v>
      </c>
    </row>
    <row r="9" spans="1:16" x14ac:dyDescent="0.25">
      <c r="A9" s="9" t="s">
        <v>232</v>
      </c>
      <c r="B9" s="9">
        <v>0</v>
      </c>
      <c r="C9" s="9">
        <v>1</v>
      </c>
      <c r="D9" s="9">
        <v>2</v>
      </c>
      <c r="E9" s="9">
        <v>3</v>
      </c>
      <c r="F9" s="9">
        <v>4</v>
      </c>
      <c r="G9" s="9">
        <v>5</v>
      </c>
      <c r="H9" s="9">
        <v>6</v>
      </c>
      <c r="I9" s="9">
        <v>7</v>
      </c>
      <c r="J9" s="9">
        <v>8</v>
      </c>
      <c r="K9" s="9">
        <v>9</v>
      </c>
      <c r="L9" s="9">
        <v>10</v>
      </c>
    </row>
    <row r="10" spans="1:16" x14ac:dyDescent="0.25">
      <c r="A10" t="s">
        <v>4</v>
      </c>
      <c r="B10">
        <v>0</v>
      </c>
      <c r="C10">
        <v>0</v>
      </c>
      <c r="D10">
        <v>0</v>
      </c>
      <c r="E10">
        <v>0</v>
      </c>
      <c r="F10">
        <v>0</v>
      </c>
      <c r="G10">
        <v>0</v>
      </c>
      <c r="H10">
        <v>0</v>
      </c>
      <c r="I10">
        <v>0</v>
      </c>
      <c r="J10">
        <v>0</v>
      </c>
      <c r="K10">
        <v>0</v>
      </c>
      <c r="L10">
        <v>0</v>
      </c>
    </row>
    <row r="11" spans="1:16" x14ac:dyDescent="0.25">
      <c r="A11" t="s">
        <v>6</v>
      </c>
      <c r="B11">
        <v>0</v>
      </c>
      <c r="C11">
        <v>0</v>
      </c>
      <c r="D11">
        <v>0</v>
      </c>
      <c r="E11">
        <v>0</v>
      </c>
      <c r="F11">
        <v>0</v>
      </c>
      <c r="G11">
        <v>0</v>
      </c>
      <c r="H11">
        <v>0</v>
      </c>
      <c r="I11">
        <v>0</v>
      </c>
      <c r="J11">
        <v>0</v>
      </c>
      <c r="K11">
        <v>0</v>
      </c>
      <c r="L11">
        <v>0</v>
      </c>
    </row>
    <row r="12" spans="1:16" x14ac:dyDescent="0.25">
      <c r="A12" t="s">
        <v>5</v>
      </c>
      <c r="B12">
        <v>0</v>
      </c>
      <c r="C12">
        <v>0</v>
      </c>
      <c r="D12">
        <v>0</v>
      </c>
      <c r="E12">
        <v>0</v>
      </c>
      <c r="F12">
        <v>0</v>
      </c>
      <c r="G12">
        <v>0</v>
      </c>
      <c r="H12">
        <v>0</v>
      </c>
      <c r="I12">
        <v>0</v>
      </c>
      <c r="J12">
        <v>0</v>
      </c>
      <c r="K12">
        <v>0</v>
      </c>
      <c r="L12">
        <v>0</v>
      </c>
    </row>
    <row r="14" spans="1:16" x14ac:dyDescent="0.25">
      <c r="A14" s="9" t="s">
        <v>309</v>
      </c>
      <c r="B14" s="9">
        <v>0</v>
      </c>
      <c r="C14" s="9">
        <v>1</v>
      </c>
      <c r="D14" s="9">
        <v>2</v>
      </c>
      <c r="E14" s="9">
        <v>3</v>
      </c>
      <c r="F14" s="9">
        <v>4</v>
      </c>
      <c r="G14" s="9">
        <v>5</v>
      </c>
      <c r="H14" s="9">
        <v>6</v>
      </c>
      <c r="I14" s="9">
        <v>7</v>
      </c>
      <c r="J14" s="9">
        <v>8</v>
      </c>
      <c r="K14" s="9">
        <v>9</v>
      </c>
      <c r="L14" s="9">
        <v>10</v>
      </c>
    </row>
    <row r="15" spans="1:16" x14ac:dyDescent="0.25">
      <c r="B15">
        <v>0</v>
      </c>
      <c r="C15">
        <v>0</v>
      </c>
      <c r="D15">
        <v>0</v>
      </c>
      <c r="E15">
        <v>0</v>
      </c>
      <c r="F15">
        <v>0</v>
      </c>
      <c r="G15">
        <v>0</v>
      </c>
      <c r="H15">
        <v>0</v>
      </c>
      <c r="I15">
        <v>0</v>
      </c>
      <c r="J15">
        <v>0</v>
      </c>
      <c r="K15">
        <v>0</v>
      </c>
      <c r="L15">
        <v>0</v>
      </c>
    </row>
    <row r="17" spans="1:2" x14ac:dyDescent="0.25">
      <c r="A17" s="9" t="s">
        <v>464</v>
      </c>
      <c r="B17" s="9"/>
    </row>
    <row r="18" spans="1:2" x14ac:dyDescent="0.25">
      <c r="A18" t="s">
        <v>460</v>
      </c>
      <c r="B18">
        <f>IF('Initial Setup'!$B$3='Event Tracker'!A18,1,0)</f>
        <v>1</v>
      </c>
    </row>
    <row r="19" spans="1:2" x14ac:dyDescent="0.25">
      <c r="A19" t="s">
        <v>461</v>
      </c>
      <c r="B19">
        <f>IF('Initial Setup'!$B$3='Event Tracker'!A19,1,0)</f>
        <v>0</v>
      </c>
    </row>
    <row r="20" spans="1:2" x14ac:dyDescent="0.25">
      <c r="A20" t="s">
        <v>465</v>
      </c>
      <c r="B20">
        <f>IF('Initial Setup'!$B$3='Event Tracker'!A20,1,0)</f>
        <v>0</v>
      </c>
    </row>
    <row r="21" spans="1:2" x14ac:dyDescent="0.25">
      <c r="A21" t="s">
        <v>459</v>
      </c>
      <c r="B21">
        <f>IF('Initial Setup'!$B$3='Event Tracker'!A21,1,0)</f>
        <v>0</v>
      </c>
    </row>
    <row r="22" spans="1:2" x14ac:dyDescent="0.25">
      <c r="A22" t="s">
        <v>462</v>
      </c>
      <c r="B22">
        <f>IF('Initial Setup'!$B$3='Event Tracker'!A22,1,0)</f>
        <v>0</v>
      </c>
    </row>
    <row r="24" spans="1:2" x14ac:dyDescent="0.25">
      <c r="A24" s="166" t="s">
        <v>466</v>
      </c>
      <c r="B24" s="166"/>
    </row>
    <row r="25" spans="1:2" x14ac:dyDescent="0.25">
      <c r="A25" t="s">
        <v>467</v>
      </c>
      <c r="B25">
        <f>IF(OR(B18=1,B19=1),1,0)</f>
        <v>1</v>
      </c>
    </row>
    <row r="26" spans="1:2" x14ac:dyDescent="0.25">
      <c r="A26" t="s">
        <v>468</v>
      </c>
      <c r="B26">
        <f>IF(OR(B18=1,B19=1),1,0)</f>
        <v>1</v>
      </c>
    </row>
    <row r="27" spans="1:2" x14ac:dyDescent="0.25">
      <c r="A27" t="s">
        <v>469</v>
      </c>
      <c r="B27">
        <f>1</f>
        <v>1</v>
      </c>
    </row>
  </sheetData>
  <conditionalFormatting sqref="P1">
    <cfRule type="expression" dxfId="3"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249977111117893"/>
  </sheetPr>
  <dimension ref="A1:I13"/>
  <sheetViews>
    <sheetView tabSelected="1" zoomScale="85" zoomScaleNormal="85" workbookViewId="0">
      <selection activeCell="I1" sqref="I1"/>
    </sheetView>
  </sheetViews>
  <sheetFormatPr defaultRowHeight="15" x14ac:dyDescent="0.25"/>
  <cols>
    <col min="1" max="1" width="57.5703125" bestFit="1" customWidth="1"/>
    <col min="2" max="2" width="25.42578125" customWidth="1"/>
    <col min="3" max="3" width="17.5703125" customWidth="1"/>
    <col min="4" max="4" width="25.5703125" bestFit="1" customWidth="1"/>
    <col min="5" max="5" width="14" bestFit="1" customWidth="1"/>
    <col min="6" max="6" width="13.42578125" bestFit="1" customWidth="1"/>
    <col min="7" max="7" width="20.28515625" bestFit="1" customWidth="1"/>
  </cols>
  <sheetData>
    <row r="1" spans="1:9" ht="15.75" thickBot="1" x14ac:dyDescent="0.3">
      <c r="A1" s="1" t="s">
        <v>37</v>
      </c>
      <c r="B1" s="1" t="s">
        <v>0</v>
      </c>
      <c r="C1" s="1" t="s">
        <v>36</v>
      </c>
      <c r="D1" s="1" t="s">
        <v>97</v>
      </c>
      <c r="E1" s="1" t="s">
        <v>104</v>
      </c>
      <c r="F1" s="1" t="s">
        <v>299</v>
      </c>
      <c r="G1" s="1" t="s">
        <v>453</v>
      </c>
      <c r="I1" s="1" t="s">
        <v>476</v>
      </c>
    </row>
    <row r="2" spans="1:9" ht="15.75" thickBot="1" x14ac:dyDescent="0.3">
      <c r="A2" t="s">
        <v>307</v>
      </c>
      <c r="B2" t="s">
        <v>1</v>
      </c>
      <c r="C2" t="s">
        <v>4</v>
      </c>
      <c r="D2" t="s">
        <v>308</v>
      </c>
      <c r="E2" s="30">
        <f>'Event Tracker'!P1</f>
        <v>0</v>
      </c>
      <c r="F2" t="s">
        <v>300</v>
      </c>
      <c r="G2" t="s">
        <v>454</v>
      </c>
    </row>
    <row r="3" spans="1:9" x14ac:dyDescent="0.25">
      <c r="A3" t="s">
        <v>460</v>
      </c>
      <c r="B3" t="s">
        <v>2</v>
      </c>
      <c r="C3" t="s">
        <v>6</v>
      </c>
      <c r="D3" t="s">
        <v>98</v>
      </c>
      <c r="F3" t="s">
        <v>65</v>
      </c>
      <c r="G3" t="s">
        <v>455</v>
      </c>
    </row>
    <row r="4" spans="1:9" x14ac:dyDescent="0.25">
      <c r="A4" t="s">
        <v>461</v>
      </c>
      <c r="B4" t="s">
        <v>275</v>
      </c>
      <c r="C4" t="s">
        <v>5</v>
      </c>
      <c r="D4" t="s">
        <v>99</v>
      </c>
      <c r="F4" t="s">
        <v>100</v>
      </c>
    </row>
    <row r="5" spans="1:9" x14ac:dyDescent="0.25">
      <c r="A5" t="s">
        <v>465</v>
      </c>
      <c r="B5" t="s">
        <v>276</v>
      </c>
      <c r="C5" t="s">
        <v>317</v>
      </c>
      <c r="F5" t="s">
        <v>101</v>
      </c>
    </row>
    <row r="6" spans="1:9" x14ac:dyDescent="0.25">
      <c r="A6" t="s">
        <v>459</v>
      </c>
      <c r="B6" t="s">
        <v>3</v>
      </c>
      <c r="C6" t="s">
        <v>395</v>
      </c>
      <c r="F6" t="s">
        <v>102</v>
      </c>
    </row>
    <row r="7" spans="1:9" x14ac:dyDescent="0.25">
      <c r="A7" t="s">
        <v>462</v>
      </c>
      <c r="B7" t="s">
        <v>317</v>
      </c>
      <c r="F7" t="s">
        <v>103</v>
      </c>
    </row>
    <row r="8" spans="1:9" x14ac:dyDescent="0.25">
      <c r="B8" t="s">
        <v>331</v>
      </c>
      <c r="F8" t="s">
        <v>301</v>
      </c>
    </row>
    <row r="9" spans="1:9" x14ac:dyDescent="0.25">
      <c r="B9" t="s">
        <v>396</v>
      </c>
      <c r="F9" t="s">
        <v>302</v>
      </c>
    </row>
    <row r="10" spans="1:9" x14ac:dyDescent="0.25">
      <c r="F10" t="s">
        <v>303</v>
      </c>
    </row>
    <row r="11" spans="1:9" x14ac:dyDescent="0.25">
      <c r="F11" t="s">
        <v>304</v>
      </c>
    </row>
    <row r="12" spans="1:9" x14ac:dyDescent="0.25">
      <c r="F12" t="s">
        <v>305</v>
      </c>
    </row>
    <row r="13" spans="1:9" x14ac:dyDescent="0.25">
      <c r="F13" t="s">
        <v>307</v>
      </c>
    </row>
  </sheetData>
  <sortState xmlns:xlrd2="http://schemas.microsoft.com/office/spreadsheetml/2017/richdata2" ref="A2:A7">
    <sortCondition descending="1" ref="A2:A7"/>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5"/>
  </sheetPr>
  <dimension ref="A1:O22"/>
  <sheetViews>
    <sheetView workbookViewId="0">
      <selection activeCell="H41" sqref="H41"/>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132</v>
      </c>
      <c r="B1" t="s">
        <v>149</v>
      </c>
      <c r="N1" t="s">
        <v>104</v>
      </c>
      <c r="O1" s="30">
        <f>'Event Tracker'!P1</f>
        <v>0</v>
      </c>
    </row>
    <row r="2" spans="1:15" x14ac:dyDescent="0.25">
      <c r="A2" s="52" t="s">
        <v>133</v>
      </c>
      <c r="B2" s="45">
        <v>0</v>
      </c>
      <c r="C2" s="45">
        <v>1</v>
      </c>
      <c r="D2" s="45">
        <v>2</v>
      </c>
      <c r="E2" s="45">
        <v>3</v>
      </c>
      <c r="F2" s="45">
        <v>4</v>
      </c>
      <c r="G2" s="45">
        <v>5</v>
      </c>
      <c r="H2" s="45">
        <v>6</v>
      </c>
      <c r="I2" s="45">
        <v>7</v>
      </c>
      <c r="J2" s="45">
        <v>8</v>
      </c>
      <c r="K2" s="45">
        <v>9</v>
      </c>
      <c r="L2" s="45">
        <v>10</v>
      </c>
    </row>
    <row r="3" spans="1:15" x14ac:dyDescent="0.25">
      <c r="A3" t="s">
        <v>134</v>
      </c>
      <c r="B3" s="8">
        <f>SUM('Utility Revenue'!B65,'Utility Revenue'!B69:B74,'Utility Revenue'!B76,'Utility Revenue'!B77,'Utility Revenue'!B78,'Utility Revenue'!B85:B87)/'Utility Revenue'!B91*'Utility Revenue'!B94</f>
        <v>3.9242263644444435E-2</v>
      </c>
      <c r="C3" s="8">
        <f>SUM('Utility Revenue'!C65,'Utility Revenue'!C69:C74,'Utility Revenue'!C76,'Utility Revenue'!C77,'Utility Revenue'!C78,'Utility Revenue'!C85:C87)/'Utility Revenue'!C91*'Utility Revenue'!C94</f>
        <v>3.9479902511363643E-2</v>
      </c>
      <c r="D3" s="8">
        <f>SUM('Utility Revenue'!D65,'Utility Revenue'!D69:D74,'Utility Revenue'!D76,'Utility Revenue'!D77,'Utility Revenue'!D78,'Utility Revenue'!D85:D87)/'Utility Revenue'!D91*'Utility Revenue'!D94</f>
        <v>4.118823428735633E-2</v>
      </c>
      <c r="E3" s="8">
        <f>SUM('Utility Revenue'!E65,'Utility Revenue'!E69:E74,'Utility Revenue'!E76,'Utility Revenue'!E77,'Utility Revenue'!E78,'Utility Revenue'!E85:E87)/'Utility Revenue'!E91*'Utility Revenue'!E94</f>
        <v>3.4248658894117649E-2</v>
      </c>
      <c r="F3" s="8">
        <f>SUM('Utility Revenue'!F65,'Utility Revenue'!F69:F74,'Utility Revenue'!F76,'Utility Revenue'!F77,'Utility Revenue'!F78,'Utility Revenue'!F85:F87)/'Utility Revenue'!F91*'Utility Revenue'!F94</f>
        <v>3.5031309855421688E-2</v>
      </c>
      <c r="G3" s="8">
        <f>SUM('Utility Revenue'!G65,'Utility Revenue'!G69:G74,'Utility Revenue'!G76,'Utility Revenue'!G77,'Utility Revenue'!G78,'Utility Revenue'!G85:G87)/'Utility Revenue'!G91*'Utility Revenue'!G94</f>
        <v>3.2951635595238095E-2</v>
      </c>
      <c r="H3" s="8">
        <f>SUM('Utility Revenue'!H65,'Utility Revenue'!H69:H74,'Utility Revenue'!H76,'Utility Revenue'!H77,'Utility Revenue'!H78,'Utility Revenue'!H85:H87)/'Utility Revenue'!H91*'Utility Revenue'!H94</f>
        <v>3.5281304658536593E-2</v>
      </c>
      <c r="I3" s="8">
        <f>SUM('Utility Revenue'!I65,'Utility Revenue'!I69:I74,'Utility Revenue'!I76,'Utility Revenue'!I77,'Utility Revenue'!I78,'Utility Revenue'!I85:I87)/'Utility Revenue'!I91*'Utility Revenue'!I94</f>
        <v>3.7727457174999993E-2</v>
      </c>
      <c r="J3" s="8">
        <f>SUM('Utility Revenue'!J65,'Utility Revenue'!J69:J74,'Utility Revenue'!J76,'Utility Revenue'!J77,'Utility Revenue'!J78,'Utility Revenue'!J85:J87)/'Utility Revenue'!J91*'Utility Revenue'!J94</f>
        <v>3.7740471682926831E-2</v>
      </c>
      <c r="K3" s="8">
        <f>SUM('Utility Revenue'!K65,'Utility Revenue'!K69:K74,'Utility Revenue'!K76,'Utility Revenue'!K77,'Utility Revenue'!K78,'Utility Revenue'!K85:K87)/'Utility Revenue'!K91*'Utility Revenue'!K94</f>
        <v>3.8756093432098765E-2</v>
      </c>
      <c r="L3" s="8">
        <f>SUM('Utility Revenue'!L65,'Utility Revenue'!L69:L74,'Utility Revenue'!L76,'Utility Revenue'!L77,'Utility Revenue'!L78,'Utility Revenue'!L85:L87)/'Utility Revenue'!L91*'Utility Revenue'!L94</f>
        <v>3.9868587325000003E-2</v>
      </c>
    </row>
    <row r="4" spans="1:15" x14ac:dyDescent="0.25">
      <c r="A4" t="s">
        <v>135</v>
      </c>
      <c r="B4" s="8">
        <f>SUM('Utility Revenue'!B66,'Utility Revenue'!B80,'Utility Revenue'!B89)/'Utility Revenue'!B91*'Utility Revenue'!B94</f>
        <v>1.1643495667434464E-2</v>
      </c>
      <c r="C4" s="8">
        <f>SUM('Utility Revenue'!C66,'Utility Revenue'!C80,'Utility Revenue'!C89)/'Utility Revenue'!C91*'Utility Revenue'!C94</f>
        <v>1.1908120568967066E-2</v>
      </c>
      <c r="D4" s="8">
        <f>SUM('Utility Revenue'!D66,'Utility Revenue'!D80,'Utility Revenue'!D89)/'Utility Revenue'!D91*'Utility Revenue'!D94</f>
        <v>1.2044995518035652E-2</v>
      </c>
      <c r="E4" s="8">
        <f>SUM('Utility Revenue'!E66,'Utility Revenue'!E80,'Utility Revenue'!E89)/'Utility Revenue'!E91*'Utility Revenue'!E94</f>
        <v>1.232840717728355E-2</v>
      </c>
      <c r="F4" s="8">
        <f>SUM('Utility Revenue'!F66,'Utility Revenue'!F80,'Utility Revenue'!F89)/'Utility Revenue'!F91*'Utility Revenue'!F94</f>
        <v>1.2625477229748215E-2</v>
      </c>
      <c r="G4" s="8">
        <f>SUM('Utility Revenue'!G66,'Utility Revenue'!G80,'Utility Revenue'!G89)/'Utility Revenue'!G91*'Utility Revenue'!G94</f>
        <v>1.2475173929394068E-2</v>
      </c>
      <c r="H4" s="8">
        <f>SUM('Utility Revenue'!H66,'Utility Revenue'!H80,'Utility Revenue'!H89)/'Utility Revenue'!H91*'Utility Revenue'!H94</f>
        <v>1.2779446464257339E-2</v>
      </c>
      <c r="I4" s="8">
        <f>SUM('Utility Revenue'!I66,'Utility Revenue'!I80,'Utility Revenue'!I89)/'Utility Revenue'!I91*'Utility Revenue'!I94</f>
        <v>1.3098932625863771E-2</v>
      </c>
      <c r="J4" s="8">
        <f>SUM('Utility Revenue'!J66,'Utility Revenue'!J80,'Utility Revenue'!J89)/'Utility Revenue'!J91*'Utility Revenue'!J94</f>
        <v>1.2779446464257339E-2</v>
      </c>
      <c r="K4" s="8">
        <f>SUM('Utility Revenue'!K66,'Utility Revenue'!K80,'Utility Revenue'!K89)/'Utility Revenue'!K91*'Utility Revenue'!K94</f>
        <v>1.2937217408260515E-2</v>
      </c>
      <c r="L4" s="8">
        <f>SUM('Utility Revenue'!L66,'Utility Revenue'!L80,'Utility Revenue'!L89)/'Utility Revenue'!L91*'Utility Revenue'!L94</f>
        <v>1.3098932625863773E-2</v>
      </c>
    </row>
    <row r="5" spans="1:15" x14ac:dyDescent="0.25">
      <c r="A5" s="22" t="s">
        <v>136</v>
      </c>
      <c r="B5" s="51">
        <f>SUM('Utility Revenue'!B67,'Utility Revenue'!B79,'Utility Revenue'!B81,'Utility Revenue'!B90)/'Utility Revenue'!B91*'Utility Revenue'!B94</f>
        <v>8.3804444444444438E-3</v>
      </c>
      <c r="C5" s="51">
        <f>SUM('Utility Revenue'!C67,'Utility Revenue'!C79,'Utility Revenue'!C81,'Utility Revenue'!C90)/'Utility Revenue'!C91*'Utility Revenue'!C94</f>
        <v>8.5709090909090908E-3</v>
      </c>
      <c r="D5" s="51">
        <f>SUM('Utility Revenue'!D67,'Utility Revenue'!D79,'Utility Revenue'!D81,'Utility Revenue'!D90)/'Utility Revenue'!D91*'Utility Revenue'!D94</f>
        <v>8.6694252873563225E-3</v>
      </c>
      <c r="E5" s="51">
        <f>SUM('Utility Revenue'!E67,'Utility Revenue'!E79,'Utility Revenue'!E81,'Utility Revenue'!E90)/'Utility Revenue'!E91*'Utility Revenue'!E94</f>
        <v>8.8734117647058831E-3</v>
      </c>
      <c r="F5" s="51">
        <f>SUM('Utility Revenue'!F67,'Utility Revenue'!F79,'Utility Revenue'!F81,'Utility Revenue'!F90)/'Utility Revenue'!F91*'Utility Revenue'!F94</f>
        <v>9.0872289156626509E-3</v>
      </c>
      <c r="G5" s="51">
        <f>SUM('Utility Revenue'!G67,'Utility Revenue'!G79,'Utility Revenue'!G81,'Utility Revenue'!G90)/'Utility Revenue'!G91*'Utility Revenue'!G94</f>
        <v>8.9790476190476191E-3</v>
      </c>
      <c r="H5" s="51">
        <f>SUM('Utility Revenue'!H67,'Utility Revenue'!H79,'Utility Revenue'!H81,'Utility Revenue'!H90)/'Utility Revenue'!H91*'Utility Revenue'!H94</f>
        <v>9.1980487804878067E-3</v>
      </c>
      <c r="I5" s="51">
        <f>SUM('Utility Revenue'!I67,'Utility Revenue'!I79,'Utility Revenue'!I81,'Utility Revenue'!I90)/'Utility Revenue'!I91*'Utility Revenue'!I94</f>
        <v>9.4280000000000006E-3</v>
      </c>
      <c r="J5" s="51">
        <f>SUM('Utility Revenue'!J67,'Utility Revenue'!J79,'Utility Revenue'!J81,'Utility Revenue'!J90)/'Utility Revenue'!J91*'Utility Revenue'!J94</f>
        <v>9.1980487804878049E-3</v>
      </c>
      <c r="K5" s="51">
        <f>SUM('Utility Revenue'!K67,'Utility Revenue'!K79,'Utility Revenue'!K81,'Utility Revenue'!K90)/'Utility Revenue'!K91*'Utility Revenue'!K94</f>
        <v>9.3116049382716056E-3</v>
      </c>
      <c r="L5" s="51">
        <f>SUM('Utility Revenue'!L67,'Utility Revenue'!L79,'Utility Revenue'!L81,'Utility Revenue'!L90)/'Utility Revenue'!L91*'Utility Revenue'!L94</f>
        <v>9.4280000000000006E-3</v>
      </c>
    </row>
    <row r="6" spans="1:15" x14ac:dyDescent="0.25">
      <c r="A6" s="53" t="s">
        <v>145</v>
      </c>
      <c r="B6" s="54">
        <f>INDEX('Utility Revenue'!$B$98:$L$98,1,MATCH('Customer Bills'!B$2,'Utility Revenue'!$B$97:$L$97,0))*1000/INDEX('Game Assumptions'!$B$82:$L$82,1,MATCH('Customer Bills'!B$2,'Game Assumptions'!$B$81:$L$81,0))</f>
        <v>1125</v>
      </c>
      <c r="C6" s="54">
        <f>INDEX('Utility Revenue'!$B$98:$L$98,1,MATCH('Customer Bills'!C$2,'Utility Revenue'!$B$97:$L$97,0))*1000/INDEX('Game Assumptions'!$B$82:$L$82,1,MATCH('Customer Bills'!C$2,'Game Assumptions'!$B$81:$L$81,0))</f>
        <v>1056</v>
      </c>
      <c r="D6" s="54">
        <f>INDEX('Utility Revenue'!$B$98:$L$98,1,MATCH('Customer Bills'!D$2,'Utility Revenue'!$B$97:$L$97,0))*1000/INDEX('Game Assumptions'!$B$82:$L$82,1,MATCH('Customer Bills'!D$2,'Game Assumptions'!$B$81:$L$81,0))</f>
        <v>1141.875</v>
      </c>
      <c r="E6" s="54">
        <f>INDEX('Utility Revenue'!$B$98:$L$98,1,MATCH('Customer Bills'!E$2,'Utility Revenue'!$B$97:$L$97,0))*1000/INDEX('Game Assumptions'!$B$82:$L$82,1,MATCH('Customer Bills'!E$2,'Game Assumptions'!$B$81:$L$81,0))</f>
        <v>1105</v>
      </c>
      <c r="F6" s="54">
        <f>INDEX('Utility Revenue'!$B$98:$L$98,1,MATCH('Customer Bills'!F$2,'Utility Revenue'!$B$97:$L$97,0))*1000/INDEX('Game Assumptions'!$B$82:$L$82,1,MATCH('Customer Bills'!F$2,'Game Assumptions'!$B$81:$L$81,0))</f>
        <v>1089.375</v>
      </c>
      <c r="G6" s="54">
        <f>INDEX('Utility Revenue'!$B$98:$L$98,1,MATCH('Customer Bills'!G$2,'Utility Revenue'!$B$97:$L$97,0))*1000/INDEX('Game Assumptions'!$B$82:$L$82,1,MATCH('Customer Bills'!G$2,'Game Assumptions'!$B$81:$L$81,0))</f>
        <v>1071</v>
      </c>
      <c r="H6" s="54">
        <f>INDEX('Utility Revenue'!$B$98:$L$98,1,MATCH('Customer Bills'!H$2,'Utility Revenue'!$B$97:$L$97,0))*1000/INDEX('Game Assumptions'!$B$82:$L$82,1,MATCH('Customer Bills'!H$2,'Game Assumptions'!$B$81:$L$81,0))</f>
        <v>994.25</v>
      </c>
      <c r="I6" s="54">
        <f>INDEX('Utility Revenue'!$B$98:$L$98,1,MATCH('Customer Bills'!I$2,'Utility Revenue'!$B$97:$L$97,0))*1000/INDEX('Game Assumptions'!$B$82:$L$82,1,MATCH('Customer Bills'!I$2,'Game Assumptions'!$B$81:$L$81,0))</f>
        <v>1050</v>
      </c>
      <c r="J6" s="54">
        <f>INDEX('Utility Revenue'!$B$98:$L$98,1,MATCH('Customer Bills'!J$2,'Utility Revenue'!$B$97:$L$97,0))*1000/INDEX('Game Assumptions'!$B$82:$L$82,1,MATCH('Customer Bills'!J$2,'Game Assumptions'!$B$81:$L$81,0))</f>
        <v>1014.75</v>
      </c>
      <c r="K6" s="54">
        <f>INDEX('Utility Revenue'!$B$98:$L$98,1,MATCH('Customer Bills'!K$2,'Utility Revenue'!$B$97:$L$97,0))*1000/INDEX('Game Assumptions'!$B$82:$L$82,1,MATCH('Customer Bills'!K$2,'Game Assumptions'!$B$81:$L$81,0))</f>
        <v>972</v>
      </c>
      <c r="L6" s="54">
        <f>INDEX('Utility Revenue'!$B$98:$L$98,1,MATCH('Customer Bills'!L$2,'Utility Revenue'!$B$97:$L$97,0))*1000/INDEX('Game Assumptions'!$B$82:$L$82,1,MATCH('Customer Bills'!L$2,'Game Assumptions'!$B$81:$L$81,0))</f>
        <v>1000</v>
      </c>
    </row>
    <row r="7" spans="1:15" ht="15.75" thickBot="1" x14ac:dyDescent="0.3">
      <c r="A7" s="55" t="s">
        <v>140</v>
      </c>
      <c r="B7" s="56">
        <f>B6*SUM(B3:B5)</f>
        <v>66.674479225863763</v>
      </c>
      <c r="C7" s="56">
        <f t="shared" ref="C7:L7" si="0">C6*SUM(C3:C5)</f>
        <v>63.316632372829218</v>
      </c>
      <c r="D7" s="56">
        <f t="shared" si="0"/>
        <v>70.685094284031962</v>
      </c>
      <c r="E7" s="56">
        <f t="shared" si="0"/>
        <v>61.272778008898328</v>
      </c>
      <c r="F7" s="56">
        <f t="shared" si="0"/>
        <v>61.815512430906971</v>
      </c>
      <c r="G7" s="56">
        <f t="shared" si="0"/>
        <v>58.268673000881044</v>
      </c>
      <c r="H7" s="56">
        <f t="shared" si="0"/>
        <v>56.929561803837871</v>
      </c>
      <c r="I7" s="56">
        <f t="shared" si="0"/>
        <v>63.267109290906951</v>
      </c>
      <c r="J7" s="56">
        <f t="shared" si="0"/>
        <v>60.598806939855137</v>
      </c>
      <c r="K7" s="56">
        <f t="shared" si="0"/>
        <v>59.296778136829225</v>
      </c>
      <c r="L7" s="56">
        <f t="shared" si="0"/>
        <v>62.395519950863772</v>
      </c>
    </row>
    <row r="8" spans="1:15" ht="15.75" thickTop="1" x14ac:dyDescent="0.25">
      <c r="A8" s="57" t="s">
        <v>137</v>
      </c>
      <c r="B8" s="58"/>
      <c r="C8" s="58"/>
      <c r="D8" s="58"/>
      <c r="E8" s="58"/>
      <c r="F8" s="58"/>
      <c r="G8" s="58"/>
      <c r="H8" s="58"/>
      <c r="I8" s="58"/>
      <c r="J8" s="58"/>
      <c r="K8" s="58"/>
      <c r="L8" s="58"/>
    </row>
    <row r="9" spans="1:15" x14ac:dyDescent="0.25">
      <c r="A9" t="s">
        <v>138</v>
      </c>
      <c r="B9" s="15">
        <f>INDEX('Utility Revenue'!$B$59:$L$59,1,MATCH('Customer Bills'!B$2,'Utility Revenue'!$B$38:$L$38,0))</f>
        <v>9.375</v>
      </c>
      <c r="C9" s="15">
        <f>INDEX('Utility Revenue'!$B$59:$L$59,1,MATCH('Customer Bills'!C$2,'Utility Revenue'!$B$38:$L$38,0))</f>
        <v>9.375</v>
      </c>
      <c r="D9" s="15">
        <f>INDEX('Utility Revenue'!$B$59:$L$59,1,MATCH('Customer Bills'!D$2,'Utility Revenue'!$B$38:$L$38,0))</f>
        <v>9.375</v>
      </c>
      <c r="E9" s="15">
        <f>INDEX('Utility Revenue'!$B$59:$L$59,1,MATCH('Customer Bills'!E$2,'Utility Revenue'!$B$38:$L$38,0))</f>
        <v>9.375</v>
      </c>
      <c r="F9" s="15">
        <f>INDEX('Utility Revenue'!$B$59:$L$59,1,MATCH('Customer Bills'!F$2,'Utility Revenue'!$B$38:$L$38,0))</f>
        <v>9.375</v>
      </c>
      <c r="G9" s="15">
        <f>INDEX('Utility Revenue'!$B$59:$L$59,1,MATCH('Customer Bills'!G$2,'Utility Revenue'!$B$38:$L$38,0))</f>
        <v>9.375</v>
      </c>
      <c r="H9" s="15">
        <f>INDEX('Utility Revenue'!$B$59:$L$59,1,MATCH('Customer Bills'!H$2,'Utility Revenue'!$B$38:$L$38,0))</f>
        <v>9.375</v>
      </c>
      <c r="I9" s="15">
        <f>INDEX('Utility Revenue'!$B$59:$L$59,1,MATCH('Customer Bills'!I$2,'Utility Revenue'!$B$38:$L$38,0))</f>
        <v>9.375</v>
      </c>
      <c r="J9" s="15">
        <f>INDEX('Utility Revenue'!$B$59:$L$59,1,MATCH('Customer Bills'!J$2,'Utility Revenue'!$B$38:$L$38,0))</f>
        <v>9.375</v>
      </c>
      <c r="K9" s="15">
        <f>INDEX('Utility Revenue'!$B$59:$L$59,1,MATCH('Customer Bills'!K$2,'Utility Revenue'!$B$38:$L$38,0))</f>
        <v>9.375</v>
      </c>
      <c r="L9" s="15">
        <f>INDEX('Utility Revenue'!$B$59:$L$59,1,MATCH('Customer Bills'!L$2,'Utility Revenue'!$B$38:$L$38,0))</f>
        <v>9.375</v>
      </c>
    </row>
    <row r="10" spans="1:15" x14ac:dyDescent="0.25">
      <c r="A10" s="22" t="s">
        <v>139</v>
      </c>
      <c r="B10" s="59">
        <f>'Game Assumptions'!$B$8</f>
        <v>5</v>
      </c>
      <c r="C10" s="59">
        <f>'Game Assumptions'!$B$8</f>
        <v>5</v>
      </c>
      <c r="D10" s="59">
        <f>'Game Assumptions'!$B$8</f>
        <v>5</v>
      </c>
      <c r="E10" s="59">
        <f>'Game Assumptions'!$B$8</f>
        <v>5</v>
      </c>
      <c r="F10" s="59">
        <f>'Game Assumptions'!$B$8</f>
        <v>5</v>
      </c>
      <c r="G10" s="59">
        <f>'Game Assumptions'!$B$8</f>
        <v>5</v>
      </c>
      <c r="H10" s="59">
        <f>'Game Assumptions'!$B$8</f>
        <v>5</v>
      </c>
      <c r="I10" s="59">
        <f>'Game Assumptions'!$B$8</f>
        <v>5</v>
      </c>
      <c r="J10" s="59">
        <f>'Game Assumptions'!$B$8</f>
        <v>5</v>
      </c>
      <c r="K10" s="59">
        <f>'Game Assumptions'!$B$8</f>
        <v>5</v>
      </c>
      <c r="L10" s="59">
        <f>'Game Assumptions'!$B$8</f>
        <v>5</v>
      </c>
    </row>
    <row r="11" spans="1:15" ht="15.75" thickBot="1" x14ac:dyDescent="0.3">
      <c r="A11" s="55" t="s">
        <v>141</v>
      </c>
      <c r="B11" s="56">
        <f>SUM(B9:B10)</f>
        <v>14.375</v>
      </c>
      <c r="C11" s="56">
        <f t="shared" ref="C11:L11" si="1">SUM(C9:C10)</f>
        <v>14.375</v>
      </c>
      <c r="D11" s="56">
        <f t="shared" si="1"/>
        <v>14.375</v>
      </c>
      <c r="E11" s="56">
        <f t="shared" si="1"/>
        <v>14.375</v>
      </c>
      <c r="F11" s="56">
        <f t="shared" si="1"/>
        <v>14.375</v>
      </c>
      <c r="G11" s="56">
        <f t="shared" si="1"/>
        <v>14.375</v>
      </c>
      <c r="H11" s="56">
        <f t="shared" si="1"/>
        <v>14.375</v>
      </c>
      <c r="I11" s="56">
        <f t="shared" si="1"/>
        <v>14.375</v>
      </c>
      <c r="J11" s="56">
        <f t="shared" si="1"/>
        <v>14.375</v>
      </c>
      <c r="K11" s="56">
        <f t="shared" si="1"/>
        <v>14.375</v>
      </c>
      <c r="L11" s="56">
        <f t="shared" si="1"/>
        <v>14.375</v>
      </c>
    </row>
    <row r="12" spans="1:15" ht="16.5" thickTop="1" thickBot="1" x14ac:dyDescent="0.3">
      <c r="A12" s="60" t="s">
        <v>142</v>
      </c>
      <c r="B12" s="61">
        <f>B11+B7</f>
        <v>81.049479225863763</v>
      </c>
      <c r="C12" s="61">
        <f t="shared" ref="C12:L12" si="2">C11+C7</f>
        <v>77.691632372829218</v>
      </c>
      <c r="D12" s="61">
        <f t="shared" si="2"/>
        <v>85.060094284031962</v>
      </c>
      <c r="E12" s="61">
        <f t="shared" si="2"/>
        <v>75.647778008898328</v>
      </c>
      <c r="F12" s="61">
        <f t="shared" si="2"/>
        <v>76.190512430906978</v>
      </c>
      <c r="G12" s="61">
        <f t="shared" si="2"/>
        <v>72.643673000881051</v>
      </c>
      <c r="H12" s="61">
        <f t="shared" si="2"/>
        <v>71.304561803837871</v>
      </c>
      <c r="I12" s="61">
        <f t="shared" si="2"/>
        <v>77.642109290906944</v>
      </c>
      <c r="J12" s="61">
        <f t="shared" si="2"/>
        <v>74.973806939855137</v>
      </c>
      <c r="K12" s="61">
        <f t="shared" si="2"/>
        <v>73.671778136829232</v>
      </c>
      <c r="L12" s="61">
        <f t="shared" si="2"/>
        <v>76.770519950863772</v>
      </c>
    </row>
    <row r="13" spans="1:15" ht="15.75" thickTop="1" x14ac:dyDescent="0.25"/>
    <row r="15" spans="1:15" x14ac:dyDescent="0.25">
      <c r="A15" s="4"/>
    </row>
    <row r="16" spans="1:15" x14ac:dyDescent="0.25">
      <c r="A16" s="17"/>
    </row>
    <row r="17" spans="1:3" x14ac:dyDescent="0.25">
      <c r="A17" s="17"/>
    </row>
    <row r="18" spans="1:3" x14ac:dyDescent="0.25">
      <c r="A18" s="17"/>
    </row>
    <row r="19" spans="1:3" x14ac:dyDescent="0.25">
      <c r="A19" s="17"/>
    </row>
    <row r="20" spans="1:3" x14ac:dyDescent="0.25">
      <c r="A20" s="17"/>
    </row>
    <row r="21" spans="1:3" x14ac:dyDescent="0.25">
      <c r="A21" s="17"/>
    </row>
    <row r="22" spans="1:3" x14ac:dyDescent="0.25">
      <c r="A22" s="1"/>
      <c r="B22" s="1"/>
      <c r="C22"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5"/>
  </sheetPr>
  <dimension ref="A1:L149"/>
  <sheetViews>
    <sheetView topLeftCell="A68" workbookViewId="0">
      <selection activeCell="B101" sqref="B101"/>
    </sheetView>
  </sheetViews>
  <sheetFormatPr defaultRowHeight="15" x14ac:dyDescent="0.25"/>
  <cols>
    <col min="1" max="1" width="62.42578125" customWidth="1"/>
    <col min="2" max="2" width="25.42578125" customWidth="1"/>
    <col min="3" max="3" width="16.28515625" bestFit="1" customWidth="1"/>
    <col min="4" max="4" width="15.28515625" customWidth="1"/>
    <col min="5" max="12" width="16.28515625" bestFit="1" customWidth="1"/>
  </cols>
  <sheetData>
    <row r="1" spans="1:12" ht="15.75" thickBot="1" x14ac:dyDescent="0.3">
      <c r="A1" s="1" t="s">
        <v>15</v>
      </c>
      <c r="B1" s="32">
        <f>'Event Tracker'!P1</f>
        <v>0</v>
      </c>
    </row>
    <row r="2" spans="1:12" ht="15.75" thickBot="1" x14ac:dyDescent="0.3">
      <c r="A2" s="1" t="s">
        <v>37</v>
      </c>
      <c r="B2" s="32" t="str">
        <f>'Initial Setup'!B3</f>
        <v>Vertically Integrated Cost of Service Model</v>
      </c>
    </row>
    <row r="6" spans="1:12" x14ac:dyDescent="0.25">
      <c r="A6" s="9" t="s">
        <v>67</v>
      </c>
      <c r="B6" s="9">
        <v>0</v>
      </c>
      <c r="C6" s="9">
        <v>1</v>
      </c>
      <c r="D6" s="9">
        <v>2</v>
      </c>
      <c r="E6" s="9">
        <v>3</v>
      </c>
      <c r="F6" s="9">
        <v>4</v>
      </c>
      <c r="G6" s="9">
        <v>5</v>
      </c>
      <c r="H6" s="9">
        <v>6</v>
      </c>
      <c r="I6" s="9">
        <v>7</v>
      </c>
      <c r="J6" s="9">
        <v>8</v>
      </c>
      <c r="K6" s="9">
        <v>9</v>
      </c>
      <c r="L6" s="9">
        <v>10</v>
      </c>
    </row>
    <row r="7" spans="1:12" x14ac:dyDescent="0.25">
      <c r="A7" s="24" t="s">
        <v>109</v>
      </c>
    </row>
    <row r="8" spans="1:12" x14ac:dyDescent="0.25">
      <c r="A8" s="28" t="s">
        <v>66</v>
      </c>
      <c r="B8" s="27"/>
      <c r="C8" s="27"/>
      <c r="D8" s="27"/>
      <c r="E8" s="27"/>
      <c r="F8" s="27"/>
      <c r="G8" s="27"/>
      <c r="H8" s="27"/>
      <c r="I8" s="27"/>
      <c r="J8" s="27"/>
      <c r="K8" s="27"/>
      <c r="L8" s="27"/>
    </row>
    <row r="9" spans="1:12" x14ac:dyDescent="0.25">
      <c r="A9" s="26" t="s">
        <v>92</v>
      </c>
      <c r="B9" s="27">
        <f>PMT('Game Assumptions'!$B$5,'Game Assumptions'!$B$14,'Game Assumptions'!$B$2)*-1</f>
        <v>100000000</v>
      </c>
      <c r="C9" s="27">
        <f>PMT('Game Assumptions'!$B$5,'Game Assumptions'!$B$14,'Game Assumptions'!$B$2)*-1</f>
        <v>100000000</v>
      </c>
      <c r="D9" s="27">
        <f>PMT('Game Assumptions'!$B$5,'Game Assumptions'!$B$14,'Game Assumptions'!$B$2)*-1</f>
        <v>100000000</v>
      </c>
      <c r="E9" s="27">
        <f>PMT('Game Assumptions'!$B$5,'Game Assumptions'!$B$14,'Game Assumptions'!$B$2)*-1</f>
        <v>100000000</v>
      </c>
      <c r="F9" s="27">
        <f>PMT('Game Assumptions'!$B$5,'Game Assumptions'!$B$14,'Game Assumptions'!$B$2)*-1</f>
        <v>100000000</v>
      </c>
      <c r="G9" s="27">
        <f>PMT('Game Assumptions'!$B$5,'Game Assumptions'!$B$14,'Game Assumptions'!$B$2)*-1</f>
        <v>100000000</v>
      </c>
      <c r="H9" s="27">
        <f>PMT('Game Assumptions'!$B$5,'Game Assumptions'!$B$14,'Game Assumptions'!$B$2)*-1</f>
        <v>100000000</v>
      </c>
      <c r="I9" s="27">
        <f>PMT('Game Assumptions'!$B$5,'Game Assumptions'!$B$14,'Game Assumptions'!$B$2)*-1</f>
        <v>100000000</v>
      </c>
      <c r="J9" s="27">
        <f>PMT('Game Assumptions'!$B$5,'Game Assumptions'!$B$14,'Game Assumptions'!$B$2)*-1</f>
        <v>100000000</v>
      </c>
      <c r="K9" s="27">
        <f>PMT('Game Assumptions'!$B$5,'Game Assumptions'!$B$14,'Game Assumptions'!$B$2)*-1</f>
        <v>100000000</v>
      </c>
      <c r="L9" s="27">
        <f>PMT('Game Assumptions'!$B$5,'Game Assumptions'!$B$14,'Game Assumptions'!$B$2)*-1</f>
        <v>100000000</v>
      </c>
    </row>
    <row r="10" spans="1:12" x14ac:dyDescent="0.25">
      <c r="A10" s="26" t="s">
        <v>93</v>
      </c>
      <c r="B10" s="27">
        <f>PMT('Game Assumptions'!$B$5,'Game Assumptions'!$B$14,'Game Assumptions'!$B$2)*-1</f>
        <v>100000000</v>
      </c>
      <c r="C10" s="27">
        <f>PMT('Game Assumptions'!$B$5,'Game Assumptions'!$B$14,'Game Assumptions'!$B$2)*-1</f>
        <v>100000000</v>
      </c>
      <c r="D10" s="27">
        <f>PMT('Game Assumptions'!$B$5,'Game Assumptions'!$B$14,'Game Assumptions'!$B$2)*-1</f>
        <v>100000000</v>
      </c>
      <c r="E10" s="27">
        <f>PMT('Game Assumptions'!$B$5,'Game Assumptions'!$B$14,'Game Assumptions'!$B$2)*-1</f>
        <v>100000000</v>
      </c>
      <c r="F10" s="27">
        <f>PMT('Game Assumptions'!$B$5,'Game Assumptions'!$B$14,'Game Assumptions'!$B$2)*-1</f>
        <v>100000000</v>
      </c>
      <c r="G10" s="27">
        <f>PMT('Game Assumptions'!$B$5,'Game Assumptions'!$B$14,'Game Assumptions'!$B$2)*-1</f>
        <v>100000000</v>
      </c>
      <c r="H10" s="27">
        <f>PMT('Game Assumptions'!$B$5,'Game Assumptions'!$B$14,'Game Assumptions'!$B$2)*-1</f>
        <v>100000000</v>
      </c>
      <c r="I10" s="27">
        <f>PMT('Game Assumptions'!$B$5,'Game Assumptions'!$B$14,'Game Assumptions'!$B$2)*-1</f>
        <v>100000000</v>
      </c>
      <c r="J10" s="27">
        <f>PMT('Game Assumptions'!$B$5,'Game Assumptions'!$B$14,'Game Assumptions'!$B$2)*-1</f>
        <v>100000000</v>
      </c>
      <c r="K10" s="27">
        <f>PMT('Game Assumptions'!$B$5,'Game Assumptions'!$B$14,'Game Assumptions'!$B$2)*-1</f>
        <v>100000000</v>
      </c>
      <c r="L10" s="27">
        <f>PMT('Game Assumptions'!$B$5,'Game Assumptions'!$B$14,'Game Assumptions'!$B$2)*-1</f>
        <v>100000000</v>
      </c>
    </row>
    <row r="11" spans="1:12" x14ac:dyDescent="0.25">
      <c r="A11" s="29" t="s">
        <v>94</v>
      </c>
      <c r="B11" s="23">
        <f>PMT('Game Assumptions'!$B$5,'Game Assumptions'!$B$14,'Game Assumptions'!$B$2)*-1</f>
        <v>100000000</v>
      </c>
      <c r="C11" s="23">
        <f>PMT('Game Assumptions'!$B$5,'Game Assumptions'!$B$14,'Game Assumptions'!$B$2)*-1</f>
        <v>100000000</v>
      </c>
      <c r="D11" s="23">
        <f>PMT('Game Assumptions'!$B$5,'Game Assumptions'!$B$14,'Game Assumptions'!$B$2)*-1</f>
        <v>100000000</v>
      </c>
      <c r="E11" s="23">
        <f>PMT('Game Assumptions'!$B$5,'Game Assumptions'!$B$14,'Game Assumptions'!$B$2)*-1</f>
        <v>100000000</v>
      </c>
      <c r="F11" s="23">
        <f>PMT('Game Assumptions'!$B$5,'Game Assumptions'!$B$14,'Game Assumptions'!$B$2)*-1</f>
        <v>100000000</v>
      </c>
      <c r="G11" s="23">
        <f>PMT('Game Assumptions'!$B$5,'Game Assumptions'!$B$14,'Game Assumptions'!$B$2)*-1</f>
        <v>100000000</v>
      </c>
      <c r="H11" s="23">
        <f>PMT('Game Assumptions'!$B$5,'Game Assumptions'!$B$14,'Game Assumptions'!$B$2)*-1</f>
        <v>100000000</v>
      </c>
      <c r="I11" s="23">
        <f>PMT('Game Assumptions'!$B$5,'Game Assumptions'!$B$14,'Game Assumptions'!$B$2)*-1</f>
        <v>100000000</v>
      </c>
      <c r="J11" s="23">
        <f>PMT('Game Assumptions'!$B$5,'Game Assumptions'!$B$14,'Game Assumptions'!$B$2)*-1</f>
        <v>100000000</v>
      </c>
      <c r="K11" s="23">
        <f>PMT('Game Assumptions'!$B$5,'Game Assumptions'!$B$14,'Game Assumptions'!$B$2)*-1</f>
        <v>100000000</v>
      </c>
      <c r="L11" s="23">
        <f>PMT('Game Assumptions'!$B$5,'Game Assumptions'!$B$14,'Game Assumptions'!$B$2)*-1</f>
        <v>100000000</v>
      </c>
    </row>
    <row r="12" spans="1:12" x14ac:dyDescent="0.25">
      <c r="A12" s="4" t="s">
        <v>71</v>
      </c>
    </row>
    <row r="13" spans="1:12" x14ac:dyDescent="0.25">
      <c r="A13" t="s">
        <v>68</v>
      </c>
      <c r="B13" s="7">
        <f>PMT('Game Assumptions'!$B$5,'Game Assumptions'!$B$14,'Game Assumptions'!$G28*'Resource Mix and Demand'!B2)*-1</f>
        <v>0</v>
      </c>
      <c r="C13" s="7">
        <f>PMT('Game Assumptions'!$B$5,'Game Assumptions'!$B$14,'Game Assumptions'!$G28*'Resource Mix and Demand'!C2)*-1+B13</f>
        <v>0</v>
      </c>
      <c r="D13" s="7">
        <f>PMT('Game Assumptions'!$B$5,'Game Assumptions'!$B$14,'Game Assumptions'!$G28*'Resource Mix and Demand'!D2)*-1+C13</f>
        <v>0</v>
      </c>
      <c r="E13" s="7">
        <f>PMT('Game Assumptions'!$B$5,'Game Assumptions'!$B$14,'Game Assumptions'!$G28*'Resource Mix and Demand'!E2)*-1+D13</f>
        <v>0</v>
      </c>
      <c r="F13" s="7">
        <f>PMT('Game Assumptions'!$B$5,'Game Assumptions'!$B$14,'Game Assumptions'!$G28*'Resource Mix and Demand'!F2)*-1+E13</f>
        <v>0</v>
      </c>
      <c r="G13" s="7">
        <f>PMT('Game Assumptions'!$B$5,'Game Assumptions'!$B$14,'Game Assumptions'!$G28*'Resource Mix and Demand'!G2)*-1+F13</f>
        <v>0</v>
      </c>
      <c r="H13" s="7">
        <f>PMT('Game Assumptions'!$B$5,'Game Assumptions'!$B$14,'Game Assumptions'!$G28*'Resource Mix and Demand'!H2)*-1+G13</f>
        <v>0</v>
      </c>
      <c r="I13" s="7">
        <f>PMT('Game Assumptions'!$B$5,'Game Assumptions'!$B$14,'Game Assumptions'!$G28*'Resource Mix and Demand'!I2)*-1+H13</f>
        <v>0</v>
      </c>
      <c r="J13" s="7">
        <f>PMT('Game Assumptions'!$B$5,'Game Assumptions'!$B$14,'Game Assumptions'!$G28*'Resource Mix and Demand'!J2)*-1+I13</f>
        <v>0</v>
      </c>
      <c r="K13" s="7">
        <f>PMT('Game Assumptions'!$B$5,'Game Assumptions'!$B$14,'Game Assumptions'!$G28*'Resource Mix and Demand'!K2)*-1+J13</f>
        <v>0</v>
      </c>
      <c r="L13" s="7">
        <f>PMT('Game Assumptions'!$B$5,'Game Assumptions'!$B$14,'Game Assumptions'!$G28*'Resource Mix and Demand'!L2)*-1+K13</f>
        <v>0</v>
      </c>
    </row>
    <row r="14" spans="1:12" x14ac:dyDescent="0.25">
      <c r="A14" t="s">
        <v>74</v>
      </c>
      <c r="B14" s="7">
        <f>PMT('Game Assumptions'!$B$5,'Game Assumptions'!$B$14,'Game Assumptions'!$G29*'Resource Mix and Demand'!B3)*-1</f>
        <v>0</v>
      </c>
      <c r="C14" s="7">
        <f>PMT('Game Assumptions'!$B$5,'Game Assumptions'!$B$14,'Game Assumptions'!$G29*'Resource Mix and Demand'!C3)*-1+B14</f>
        <v>0</v>
      </c>
      <c r="D14" s="7">
        <f>PMT('Game Assumptions'!$B$5,'Game Assumptions'!$B$14,'Game Assumptions'!$G29*'Resource Mix and Demand'!D3)*-1+C14</f>
        <v>0</v>
      </c>
      <c r="E14" s="7">
        <f>PMT('Game Assumptions'!$B$5,'Game Assumptions'!$B$14,'Game Assumptions'!$G29*'Resource Mix and Demand'!E3)*-1+D14</f>
        <v>0</v>
      </c>
      <c r="F14" s="7">
        <f>PMT('Game Assumptions'!$B$5,'Game Assumptions'!$B$14,'Game Assumptions'!$G29*'Resource Mix and Demand'!F3)*-1+E14</f>
        <v>0</v>
      </c>
      <c r="G14" s="7">
        <f>PMT('Game Assumptions'!$B$5,'Game Assumptions'!$B$14,'Game Assumptions'!$G29*'Resource Mix and Demand'!G3)*-1+F14</f>
        <v>0</v>
      </c>
      <c r="H14" s="7">
        <f>PMT('Game Assumptions'!$B$5,'Game Assumptions'!$B$14,'Game Assumptions'!$G29*'Resource Mix and Demand'!H3)*-1+G14</f>
        <v>0</v>
      </c>
      <c r="I14" s="7">
        <f>PMT('Game Assumptions'!$B$5,'Game Assumptions'!$B$14,'Game Assumptions'!$G29*'Resource Mix and Demand'!I3)*-1+H14</f>
        <v>0</v>
      </c>
      <c r="J14" s="7">
        <f>PMT('Game Assumptions'!$B$5,'Game Assumptions'!$B$14,'Game Assumptions'!$G29*'Resource Mix and Demand'!J3)*-1+I14</f>
        <v>0</v>
      </c>
      <c r="K14" s="7">
        <f>PMT('Game Assumptions'!$B$5,'Game Assumptions'!$B$14,'Game Assumptions'!$G29*'Resource Mix and Demand'!K3)*-1+J14</f>
        <v>0</v>
      </c>
      <c r="L14" s="7">
        <f>PMT('Game Assumptions'!$B$5,'Game Assumptions'!$B$14,'Game Assumptions'!$G29*'Resource Mix and Demand'!L3)*-1+K14</f>
        <v>0</v>
      </c>
    </row>
    <row r="15" spans="1:12" x14ac:dyDescent="0.25">
      <c r="A15" t="s">
        <v>69</v>
      </c>
      <c r="B15" s="7">
        <f>PMT('Game Assumptions'!$B$5,'Game Assumptions'!$B$14,'Game Assumptions'!$G30*'Resource Mix and Demand'!B4)*-1</f>
        <v>0</v>
      </c>
      <c r="C15" s="7">
        <f>PMT('Game Assumptions'!$B$5,'Game Assumptions'!$B$14,'Game Assumptions'!$G30*'Resource Mix and Demand'!C4)*-1+B15</f>
        <v>0</v>
      </c>
      <c r="D15" s="7">
        <f>PMT('Game Assumptions'!$B$5,'Game Assumptions'!$B$14,'Game Assumptions'!$G30*'Resource Mix and Demand'!D4)*-1+C15</f>
        <v>0</v>
      </c>
      <c r="E15" s="7">
        <f>PMT('Game Assumptions'!$B$5,'Game Assumptions'!$B$14,'Game Assumptions'!$G30*'Resource Mix and Demand'!E4)*-1+D15</f>
        <v>0</v>
      </c>
      <c r="F15" s="7">
        <f>PMT('Game Assumptions'!$B$5,'Game Assumptions'!$B$14,'Game Assumptions'!$G30*'Resource Mix and Demand'!F4)*-1+E15</f>
        <v>0</v>
      </c>
      <c r="G15" s="7">
        <f>PMT('Game Assumptions'!$B$5,'Game Assumptions'!$B$14,'Game Assumptions'!$G30*'Resource Mix and Demand'!G4)*-1+F15</f>
        <v>0</v>
      </c>
      <c r="H15" s="7">
        <f>PMT('Game Assumptions'!$B$5,'Game Assumptions'!$B$14,'Game Assumptions'!$G30*'Resource Mix and Demand'!H4)*-1+G15</f>
        <v>0</v>
      </c>
      <c r="I15" s="7">
        <f>PMT('Game Assumptions'!$B$5,'Game Assumptions'!$B$14,'Game Assumptions'!$G30*'Resource Mix and Demand'!I4)*-1+H15</f>
        <v>0</v>
      </c>
      <c r="J15" s="7">
        <f>PMT('Game Assumptions'!$B$5,'Game Assumptions'!$B$14,'Game Assumptions'!$G30*'Resource Mix and Demand'!J4)*-1+I15</f>
        <v>0</v>
      </c>
      <c r="K15" s="7">
        <f>PMT('Game Assumptions'!$B$5,'Game Assumptions'!$B$14,'Game Assumptions'!$G30*'Resource Mix and Demand'!K4)*-1+J15</f>
        <v>0</v>
      </c>
      <c r="L15" s="7">
        <f>PMT('Game Assumptions'!$B$5,'Game Assumptions'!$B$14,'Game Assumptions'!$G30*'Resource Mix and Demand'!L4)*-1+K15</f>
        <v>0</v>
      </c>
    </row>
    <row r="16" spans="1:12" x14ac:dyDescent="0.25">
      <c r="A16" t="s">
        <v>72</v>
      </c>
      <c r="B16" s="7">
        <f>PMT('Game Assumptions'!$B$5,'Game Assumptions'!$B$14,'Game Assumptions'!$G31*'Resource Mix and Demand'!B5)*-1</f>
        <v>0</v>
      </c>
      <c r="C16" s="7">
        <f>PMT('Game Assumptions'!$B$5,'Game Assumptions'!$B$14,'Game Assumptions'!$G31*'Resource Mix and Demand'!C5)*-1+B16</f>
        <v>0</v>
      </c>
      <c r="D16" s="7">
        <f>PMT('Game Assumptions'!$B$5,'Game Assumptions'!$B$14,'Game Assumptions'!$G31*'Resource Mix and Demand'!D5)*-1+C16</f>
        <v>0</v>
      </c>
      <c r="E16" s="7">
        <f>PMT('Game Assumptions'!$B$5,'Game Assumptions'!$B$14,'Game Assumptions'!$G31*'Resource Mix and Demand'!E5)*-1+D16</f>
        <v>0</v>
      </c>
      <c r="F16" s="7">
        <f>PMT('Game Assumptions'!$B$5,'Game Assumptions'!$B$14,'Game Assumptions'!$G31*'Resource Mix and Demand'!F5)*-1+E16</f>
        <v>0</v>
      </c>
      <c r="G16" s="7">
        <f>PMT('Game Assumptions'!$B$5,'Game Assumptions'!$B$14,'Game Assumptions'!$G31*'Resource Mix and Demand'!G5)*-1+F16</f>
        <v>0</v>
      </c>
      <c r="H16" s="7">
        <f>PMT('Game Assumptions'!$B$5,'Game Assumptions'!$B$14,'Game Assumptions'!$G31*'Resource Mix and Demand'!H5)*-1+G16</f>
        <v>0</v>
      </c>
      <c r="I16" s="7">
        <f>PMT('Game Assumptions'!$B$5,'Game Assumptions'!$B$14,'Game Assumptions'!$G31*'Resource Mix and Demand'!I5)*-1+H16</f>
        <v>0</v>
      </c>
      <c r="J16" s="7">
        <f>PMT('Game Assumptions'!$B$5,'Game Assumptions'!$B$14,'Game Assumptions'!$G31*'Resource Mix and Demand'!J5)*-1+I16</f>
        <v>0</v>
      </c>
      <c r="K16" s="7">
        <f>PMT('Game Assumptions'!$B$5,'Game Assumptions'!$B$14,'Game Assumptions'!$G31*'Resource Mix and Demand'!K5)*-1+J16</f>
        <v>0</v>
      </c>
      <c r="L16" s="7">
        <f>PMT('Game Assumptions'!$B$5,'Game Assumptions'!$B$14,'Game Assumptions'!$G31*'Resource Mix and Demand'!L5)*-1+K16</f>
        <v>0</v>
      </c>
    </row>
    <row r="17" spans="1:12" x14ac:dyDescent="0.25">
      <c r="A17" t="s">
        <v>73</v>
      </c>
      <c r="B17" s="7">
        <f>PMT('Game Assumptions'!$B$5,'Game Assumptions'!$B$14,'Game Assumptions'!$G32*'Resource Mix and Demand'!B6)*-1</f>
        <v>0</v>
      </c>
      <c r="C17" s="7">
        <f>PMT('Game Assumptions'!$B$5,'Game Assumptions'!$B$14,'Game Assumptions'!$G32*'Resource Mix and Demand'!C6)*-1+B17</f>
        <v>0</v>
      </c>
      <c r="D17" s="7">
        <f>PMT('Game Assumptions'!$B$5,'Game Assumptions'!$B$14,'Game Assumptions'!$G32*'Resource Mix and Demand'!D6)*-1+C17</f>
        <v>0</v>
      </c>
      <c r="E17" s="7">
        <f>PMT('Game Assumptions'!$B$5,'Game Assumptions'!$B$14,'Game Assumptions'!$G32*'Resource Mix and Demand'!E6)*-1+D17</f>
        <v>0</v>
      </c>
      <c r="F17" s="7">
        <f>PMT('Game Assumptions'!$B$5,'Game Assumptions'!$B$14,'Game Assumptions'!$G32*'Resource Mix and Demand'!F6)*-1+E17</f>
        <v>0</v>
      </c>
      <c r="G17" s="7">
        <f>PMT('Game Assumptions'!$B$5,'Game Assumptions'!$B$14,'Game Assumptions'!$G32*'Resource Mix and Demand'!G6)*-1+F17</f>
        <v>0</v>
      </c>
      <c r="H17" s="7">
        <f>PMT('Game Assumptions'!$B$5,'Game Assumptions'!$B$14,'Game Assumptions'!$G32*'Resource Mix and Demand'!H6)*-1+G17</f>
        <v>0</v>
      </c>
      <c r="I17" s="7">
        <f>PMT('Game Assumptions'!$B$5,'Game Assumptions'!$B$14,'Game Assumptions'!$G32*'Resource Mix and Demand'!I6)*-1+H17</f>
        <v>0</v>
      </c>
      <c r="J17" s="7">
        <f>PMT('Game Assumptions'!$B$5,'Game Assumptions'!$B$14,'Game Assumptions'!$G32*'Resource Mix and Demand'!J6)*-1+I17</f>
        <v>0</v>
      </c>
      <c r="K17" s="7">
        <f>PMT('Game Assumptions'!$B$5,'Game Assumptions'!$B$14,'Game Assumptions'!$G32*'Resource Mix and Demand'!K6)*-1+J17</f>
        <v>0</v>
      </c>
      <c r="L17" s="7">
        <f>PMT('Game Assumptions'!$B$5,'Game Assumptions'!$B$14,'Game Assumptions'!$G32*'Resource Mix and Demand'!L6)*-1+K17</f>
        <v>0</v>
      </c>
    </row>
    <row r="18" spans="1:12" x14ac:dyDescent="0.25">
      <c r="A18" t="s">
        <v>70</v>
      </c>
      <c r="B18" s="7">
        <f>PMT('Game Assumptions'!$B$5,'Game Assumptions'!$B$14,'Game Assumptions'!$G33*'Resource Mix and Demand'!B7)*-1</f>
        <v>0</v>
      </c>
      <c r="C18" s="7">
        <f>PMT('Game Assumptions'!$B$5,'Game Assumptions'!$B$14,'Game Assumptions'!$G33*'Resource Mix and Demand'!C7)*-1+B18</f>
        <v>0</v>
      </c>
      <c r="D18" s="7">
        <f>PMT('Game Assumptions'!$B$5,'Game Assumptions'!$B$14,'Game Assumptions'!$G33*'Resource Mix and Demand'!D7)*-1+C18</f>
        <v>0</v>
      </c>
      <c r="E18" s="7">
        <f>PMT('Game Assumptions'!$B$5,'Game Assumptions'!$B$14,'Game Assumptions'!$G33*'Resource Mix and Demand'!E7)*-1+D18</f>
        <v>0</v>
      </c>
      <c r="F18" s="7">
        <f>PMT('Game Assumptions'!$B$5,'Game Assumptions'!$B$14,'Game Assumptions'!$G33*'Resource Mix and Demand'!F7)*-1+E18</f>
        <v>0</v>
      </c>
      <c r="G18" s="7">
        <f>PMT('Game Assumptions'!$B$5,'Game Assumptions'!$B$14,'Game Assumptions'!$G33*'Resource Mix and Demand'!G7)*-1+F18</f>
        <v>0</v>
      </c>
      <c r="H18" s="7">
        <f>PMT('Game Assumptions'!$B$5,'Game Assumptions'!$B$14,'Game Assumptions'!$G33*'Resource Mix and Demand'!H7)*-1+G18</f>
        <v>0</v>
      </c>
      <c r="I18" s="7">
        <f>PMT('Game Assumptions'!$B$5,'Game Assumptions'!$B$14,'Game Assumptions'!$G33*'Resource Mix and Demand'!I7)*-1+H18</f>
        <v>0</v>
      </c>
      <c r="J18" s="7">
        <f>PMT('Game Assumptions'!$B$5,'Game Assumptions'!$B$14,'Game Assumptions'!$G33*'Resource Mix and Demand'!J7)*-1+I18</f>
        <v>0</v>
      </c>
      <c r="K18" s="7">
        <f>PMT('Game Assumptions'!$B$5,'Game Assumptions'!$B$14,'Game Assumptions'!$G33*'Resource Mix and Demand'!K7)*-1+J18</f>
        <v>0</v>
      </c>
      <c r="L18" s="7">
        <f>PMT('Game Assumptions'!$B$5,'Game Assumptions'!$B$14,'Game Assumptions'!$G33*'Resource Mix and Demand'!L7)*-1+K18</f>
        <v>0</v>
      </c>
    </row>
    <row r="19" spans="1:12" x14ac:dyDescent="0.25">
      <c r="A19" s="12" t="s">
        <v>75</v>
      </c>
      <c r="B19" s="7">
        <f>PMT(0,'Game Assumptions'!$B$14,'Game Assumptions'!$G34*'Resource Mix and Demand'!B8)*-1</f>
        <v>0</v>
      </c>
      <c r="C19" s="7">
        <f>PMT(0,'Game Assumptions'!$B$14,'Game Assumptions'!$G34*'Resource Mix and Demand'!C8)*-1+B19</f>
        <v>0</v>
      </c>
      <c r="D19" s="7">
        <f>PMT(0,'Game Assumptions'!$B$14,'Game Assumptions'!$G34*'Resource Mix and Demand'!D8)*-1+C19</f>
        <v>0</v>
      </c>
      <c r="E19" s="7">
        <f>PMT(0,'Game Assumptions'!$B$14,'Game Assumptions'!$G34*'Resource Mix and Demand'!E8)*-1+D19</f>
        <v>0</v>
      </c>
      <c r="F19" s="7">
        <f>PMT(0,'Game Assumptions'!$B$14,'Game Assumptions'!$G34*'Resource Mix and Demand'!F8)*-1+E19</f>
        <v>0</v>
      </c>
      <c r="G19" s="7">
        <f>PMT(0,'Game Assumptions'!$B$14,'Game Assumptions'!$G34*'Resource Mix and Demand'!G8)*-1+F19</f>
        <v>0</v>
      </c>
      <c r="H19" s="7">
        <f>PMT(0,'Game Assumptions'!$B$14,'Game Assumptions'!$G34*'Resource Mix and Demand'!H8)*-1+G19</f>
        <v>0</v>
      </c>
      <c r="I19" s="7">
        <f>PMT(0,'Game Assumptions'!$B$14,'Game Assumptions'!$G34*'Resource Mix and Demand'!I8)*-1+H19</f>
        <v>0</v>
      </c>
      <c r="J19" s="7">
        <f>PMT(0,'Game Assumptions'!$B$14,'Game Assumptions'!$G34*'Resource Mix and Demand'!J8)*-1+I19</f>
        <v>0</v>
      </c>
      <c r="K19" s="7">
        <f>PMT(0,'Game Assumptions'!$B$14,'Game Assumptions'!$G34*'Resource Mix and Demand'!K8)*-1+J19</f>
        <v>0</v>
      </c>
      <c r="L19" s="7">
        <f>PMT(0,'Game Assumptions'!$B$14,'Game Assumptions'!$G34*'Resource Mix and Demand'!L8)*-1+K19</f>
        <v>0</v>
      </c>
    </row>
    <row r="20" spans="1:12" x14ac:dyDescent="0.25">
      <c r="A20" t="s">
        <v>340</v>
      </c>
      <c r="B20" s="7">
        <f>PMT('Game Assumptions'!$B$5,'Game Assumptions'!$B$14,Reliability!B9*'Game Assumptions'!$G35)*-1</f>
        <v>0</v>
      </c>
      <c r="C20" s="7">
        <f>PMT('Game Assumptions'!$B$5,'Game Assumptions'!$B$14,Reliability!C9*'Game Assumptions'!$G35)*-1+B20</f>
        <v>0</v>
      </c>
      <c r="D20" s="7">
        <f>PMT('Game Assumptions'!$B$5,'Game Assumptions'!$B$14,Reliability!D9*'Game Assumptions'!$G35)*-1+C20</f>
        <v>0</v>
      </c>
      <c r="E20" s="7">
        <f>PMT('Game Assumptions'!$B$5,'Game Assumptions'!$B$14,Reliability!E9*'Game Assumptions'!$G35)*-1+D20</f>
        <v>0</v>
      </c>
      <c r="F20" s="7">
        <f>PMT('Game Assumptions'!$B$5,'Game Assumptions'!$B$14,Reliability!F9*'Game Assumptions'!$G35)*-1+E20</f>
        <v>0</v>
      </c>
      <c r="G20" s="7">
        <f>PMT('Game Assumptions'!$B$5,'Game Assumptions'!$B$14,Reliability!G9*'Game Assumptions'!$G35)*-1+F20</f>
        <v>0</v>
      </c>
      <c r="H20" s="7">
        <f>PMT('Game Assumptions'!$B$5,'Game Assumptions'!$B$14,Reliability!H9*'Game Assumptions'!$G35)*-1+G20</f>
        <v>0</v>
      </c>
      <c r="I20" s="7">
        <f>PMT('Game Assumptions'!$B$5,'Game Assumptions'!$B$14,Reliability!I9*'Game Assumptions'!$G35)*-1+H20</f>
        <v>0</v>
      </c>
      <c r="J20" s="7">
        <f>PMT('Game Assumptions'!$B$5,'Game Assumptions'!$B$14,Reliability!J9*'Game Assumptions'!$G35)*-1+I20</f>
        <v>0</v>
      </c>
      <c r="K20" s="7">
        <f>PMT('Game Assumptions'!$B$5,'Game Assumptions'!$B$14,Reliability!K9*'Game Assumptions'!$G35)*-1+J20</f>
        <v>0</v>
      </c>
      <c r="L20" s="7">
        <f>PMT('Game Assumptions'!$B$5,'Game Assumptions'!$B$14,Reliability!L9*'Game Assumptions'!$G35)*-1+K20</f>
        <v>0</v>
      </c>
    </row>
    <row r="21" spans="1:12" x14ac:dyDescent="0.25">
      <c r="A21" t="s">
        <v>341</v>
      </c>
      <c r="B21" s="7">
        <f>PMT('Game Assumptions'!$B$5,'Game Assumptions'!$B$14,Reliability!B10*'Game Assumptions'!$G36)*-1</f>
        <v>0</v>
      </c>
      <c r="C21" s="7">
        <f>PMT('Game Assumptions'!$B$5,'Game Assumptions'!$B$14,Reliability!C10*'Game Assumptions'!$G36)*-1+B21</f>
        <v>0</v>
      </c>
      <c r="D21" s="7">
        <f>PMT('Game Assumptions'!$B$5,'Game Assumptions'!$B$14,Reliability!D10*'Game Assumptions'!$G36)*-1+C21</f>
        <v>0</v>
      </c>
      <c r="E21" s="7">
        <f>PMT('Game Assumptions'!$B$5,'Game Assumptions'!$B$14,Reliability!E10*'Game Assumptions'!$G36)*-1+D21</f>
        <v>0</v>
      </c>
      <c r="F21" s="7">
        <f>PMT('Game Assumptions'!$B$5,'Game Assumptions'!$B$14,Reliability!F10*'Game Assumptions'!$G36)*-1+E21</f>
        <v>0</v>
      </c>
      <c r="G21" s="7">
        <f>PMT('Game Assumptions'!$B$5,'Game Assumptions'!$B$14,Reliability!G10*'Game Assumptions'!$G36)*-1+F21</f>
        <v>0</v>
      </c>
      <c r="H21" s="7">
        <f>PMT('Game Assumptions'!$B$5,'Game Assumptions'!$B$14,Reliability!H10*'Game Assumptions'!$G36)*-1+G21</f>
        <v>0</v>
      </c>
      <c r="I21" s="7">
        <f>PMT('Game Assumptions'!$B$5,'Game Assumptions'!$B$14,Reliability!I10*'Game Assumptions'!$G36)*-1+H21</f>
        <v>0</v>
      </c>
      <c r="J21" s="7">
        <f>PMT('Game Assumptions'!$B$5,'Game Assumptions'!$B$14,Reliability!J10*'Game Assumptions'!$G36)*-1+I21</f>
        <v>0</v>
      </c>
      <c r="K21" s="7">
        <f>PMT('Game Assumptions'!$B$5,'Game Assumptions'!$B$14,Reliability!K10*'Game Assumptions'!$G36)*-1+J21</f>
        <v>0</v>
      </c>
      <c r="L21" s="7">
        <f>PMT('Game Assumptions'!$B$5,'Game Assumptions'!$B$14,Reliability!L10*'Game Assumptions'!$G36)*-1+K21</f>
        <v>0</v>
      </c>
    </row>
    <row r="22" spans="1:12" x14ac:dyDescent="0.25">
      <c r="A22" t="s">
        <v>342</v>
      </c>
      <c r="B22" s="7">
        <f>PMT('Game Assumptions'!$B$5,'Game Assumptions'!$B$14,Reliability!B11*'Game Assumptions'!$G37)*-1</f>
        <v>0</v>
      </c>
      <c r="C22" s="7">
        <f>PMT('Game Assumptions'!$B$5,'Game Assumptions'!$B$14,Reliability!C11*'Game Assumptions'!$G37)*-1*+B22</f>
        <v>0</v>
      </c>
      <c r="D22" s="7">
        <f>PMT('Game Assumptions'!$B$5,'Game Assumptions'!$B$14,Reliability!D11*'Game Assumptions'!$G37)*-1*+C22</f>
        <v>0</v>
      </c>
      <c r="E22" s="7">
        <f>PMT('Game Assumptions'!$B$5,'Game Assumptions'!$B$14,Reliability!E11*'Game Assumptions'!$G37)*-1*+D22</f>
        <v>0</v>
      </c>
      <c r="F22" s="7">
        <f>PMT('Game Assumptions'!$B$5,'Game Assumptions'!$B$14,Reliability!F11*'Game Assumptions'!$G37)*-1*+E22</f>
        <v>0</v>
      </c>
      <c r="G22" s="7">
        <f>PMT('Game Assumptions'!$B$5,'Game Assumptions'!$B$14,Reliability!G11*'Game Assumptions'!$G37)*-1*+F22</f>
        <v>0</v>
      </c>
      <c r="H22" s="7">
        <f>PMT('Game Assumptions'!$B$5,'Game Assumptions'!$B$14,Reliability!H11*'Game Assumptions'!$G37)*-1*+G22</f>
        <v>0</v>
      </c>
      <c r="I22" s="7">
        <f>PMT('Game Assumptions'!$B$5,'Game Assumptions'!$B$14,Reliability!I11*'Game Assumptions'!$G37)*-1*+H22</f>
        <v>0</v>
      </c>
      <c r="J22" s="7">
        <f>PMT('Game Assumptions'!$B$5,'Game Assumptions'!$B$14,Reliability!J11*'Game Assumptions'!$G37)*-1*+I22</f>
        <v>0</v>
      </c>
      <c r="K22" s="7">
        <f>PMT('Game Assumptions'!$B$5,'Game Assumptions'!$B$14,Reliability!K11*'Game Assumptions'!$G37)*-1*+J22</f>
        <v>0</v>
      </c>
      <c r="L22" s="7">
        <f>PMT('Game Assumptions'!$B$5,'Game Assumptions'!$B$14,Reliability!L11*'Game Assumptions'!$G37)*-1*+K22</f>
        <v>0</v>
      </c>
    </row>
    <row r="23" spans="1:12" s="149" customFormat="1" x14ac:dyDescent="0.25">
      <c r="A23" s="149" t="s">
        <v>343</v>
      </c>
      <c r="B23" s="150">
        <f>PMT(0,'Game Assumptions'!$B$14,Reliability!B12*'Game Assumptions'!$G38)*-1</f>
        <v>0</v>
      </c>
      <c r="C23" s="150">
        <f>PMT(0,'Game Assumptions'!$B$14,Reliability!C12*'Game Assumptions'!$G38)*-1+B23</f>
        <v>0</v>
      </c>
      <c r="D23" s="150">
        <f>PMT(0,'Game Assumptions'!$B$14,Reliability!D12*'Game Assumptions'!$G38)*-1+C23</f>
        <v>0</v>
      </c>
      <c r="E23" s="150">
        <f>PMT(0,'Game Assumptions'!$B$14,Reliability!E12*'Game Assumptions'!$G38)*-1+D23</f>
        <v>0</v>
      </c>
      <c r="F23" s="150">
        <f>PMT(0,'Game Assumptions'!$B$14,Reliability!F12*'Game Assumptions'!$G38)*-1+E23</f>
        <v>0</v>
      </c>
      <c r="G23" s="150">
        <f>PMT(0,'Game Assumptions'!$B$14,Reliability!G12*'Game Assumptions'!$G38)*-1+F23</f>
        <v>0</v>
      </c>
      <c r="H23" s="150">
        <f>PMT(0,'Game Assumptions'!$B$14,Reliability!H12*'Game Assumptions'!$G38)*-1+G23</f>
        <v>0</v>
      </c>
      <c r="I23" s="150">
        <f>PMT(0,'Game Assumptions'!$B$14,Reliability!I12*'Game Assumptions'!$G38)*-1+H23</f>
        <v>0</v>
      </c>
      <c r="J23" s="150">
        <f>PMT(0,'Game Assumptions'!$B$14,Reliability!J12*'Game Assumptions'!$G38)*-1+I23</f>
        <v>0</v>
      </c>
      <c r="K23" s="150">
        <f>PMT(0,'Game Assumptions'!$B$14,Reliability!K12*'Game Assumptions'!$G38)*-1+J23</f>
        <v>0</v>
      </c>
      <c r="L23" s="150">
        <f>PMT(0,'Game Assumptions'!$B$14,Reliability!L12*'Game Assumptions'!$G38)*-1+K23</f>
        <v>0</v>
      </c>
    </row>
    <row r="24" spans="1:12" x14ac:dyDescent="0.25">
      <c r="A24" s="12" t="s">
        <v>95</v>
      </c>
      <c r="B24" s="27">
        <f>PMT('Game Assumptions'!$B$5,'Game Assumptions'!$B$14,Reliability!B39*'Game Assumptions'!$B$111)*-1</f>
        <v>0</v>
      </c>
      <c r="C24" s="27">
        <f>PMT('Game Assumptions'!$B$5,'Game Assumptions'!$B$14,Reliability!C39*'Game Assumptions'!$B$111)*-1+B24</f>
        <v>0</v>
      </c>
      <c r="D24" s="27">
        <f>PMT('Game Assumptions'!$B$5,'Game Assumptions'!$B$14,Reliability!D39*'Game Assumptions'!$B$111)*-1+C24</f>
        <v>0</v>
      </c>
      <c r="E24" s="27">
        <f>PMT('Game Assumptions'!$B$5,'Game Assumptions'!$B$14,Reliability!E39*'Game Assumptions'!$B$111)*-1+D24</f>
        <v>0</v>
      </c>
      <c r="F24" s="27">
        <f>PMT('Game Assumptions'!$B$5,'Game Assumptions'!$B$14,Reliability!F39*'Game Assumptions'!$B$111)*-1+E24</f>
        <v>0</v>
      </c>
      <c r="G24" s="27">
        <f>PMT('Game Assumptions'!$B$5,'Game Assumptions'!$B$14,Reliability!G39*'Game Assumptions'!$B$111)*-1+F24</f>
        <v>0</v>
      </c>
      <c r="H24" s="27">
        <f>PMT('Game Assumptions'!$B$5,'Game Assumptions'!$B$14,Reliability!H39*'Game Assumptions'!$B$111)*-1+G24</f>
        <v>0</v>
      </c>
      <c r="I24" s="27">
        <f>PMT('Game Assumptions'!$B$5,'Game Assumptions'!$B$14,Reliability!I39*'Game Assumptions'!$B$111)*-1+H24</f>
        <v>0</v>
      </c>
      <c r="J24" s="27">
        <f>PMT('Game Assumptions'!$B$5,'Game Assumptions'!$B$14,Reliability!J39*'Game Assumptions'!$B$111)*-1+I24</f>
        <v>0</v>
      </c>
      <c r="K24" s="27">
        <f>PMT('Game Assumptions'!$B$5,'Game Assumptions'!$B$14,Reliability!K39*'Game Assumptions'!$B$111)*-1+J24</f>
        <v>0</v>
      </c>
      <c r="L24" s="27">
        <f>PMT('Game Assumptions'!$B$5,'Game Assumptions'!$B$14,Reliability!L39*'Game Assumptions'!$B$111)*-1+K24</f>
        <v>0</v>
      </c>
    </row>
    <row r="25" spans="1:12" x14ac:dyDescent="0.25">
      <c r="A25" s="12" t="s">
        <v>96</v>
      </c>
      <c r="B25" s="148">
        <f>PMT('Game Assumptions'!$B$5,'Game Assumptions'!$B$14,SUM('Game Assumptions'!$B$135:$B$136)*Reliability!B13)*-1</f>
        <v>0</v>
      </c>
      <c r="C25" s="148">
        <f>PMT('Game Assumptions'!$B$5,'Game Assumptions'!$B$14,SUM('Game Assumptions'!$B$135:$B$136)*Reliability!C13)*-1+B25</f>
        <v>0</v>
      </c>
      <c r="D25" s="148">
        <f>PMT('Game Assumptions'!$B$5,'Game Assumptions'!$B$14,SUM('Game Assumptions'!$B$135:$B$136)*Reliability!D13)*-1+C25</f>
        <v>0</v>
      </c>
      <c r="E25" s="148">
        <f>PMT('Game Assumptions'!$B$5,'Game Assumptions'!$B$14,SUM('Game Assumptions'!$B$135:$B$136)*Reliability!E13)*-1+D25</f>
        <v>0</v>
      </c>
      <c r="F25" s="148">
        <f>PMT('Game Assumptions'!$B$5,'Game Assumptions'!$B$14,SUM('Game Assumptions'!$B$135:$B$136)*Reliability!F13)*-1+E25</f>
        <v>0</v>
      </c>
      <c r="G25" s="148">
        <f>PMT('Game Assumptions'!$B$5,'Game Assumptions'!$B$14,SUM('Game Assumptions'!$B$135:$B$136)*Reliability!G13)*-1+F25</f>
        <v>0</v>
      </c>
      <c r="H25" s="148">
        <f>PMT('Game Assumptions'!$B$5,'Game Assumptions'!$B$14,SUM('Game Assumptions'!$B$135:$B$136)*Reliability!H13)*-1+G25</f>
        <v>0</v>
      </c>
      <c r="I25" s="148">
        <f>PMT('Game Assumptions'!$B$5,'Game Assumptions'!$B$14,SUM('Game Assumptions'!$B$135:$B$136)*Reliability!I13)*-1+H25</f>
        <v>0</v>
      </c>
      <c r="J25" s="148">
        <f>PMT('Game Assumptions'!$B$5,'Game Assumptions'!$B$14,SUM('Game Assumptions'!$B$135:$B$136)*Reliability!J13)*-1+I25</f>
        <v>0</v>
      </c>
      <c r="K25" s="148">
        <f>PMT('Game Assumptions'!$B$5,'Game Assumptions'!$B$14,SUM('Game Assumptions'!$B$135:$B$136)*Reliability!K13)*-1+J25</f>
        <v>0</v>
      </c>
      <c r="L25" s="148">
        <f>PMT('Game Assumptions'!$B$5,'Game Assumptions'!$B$14,SUM('Game Assumptions'!$B$135:$B$136)*Reliability!L13)*-1+K25</f>
        <v>0</v>
      </c>
    </row>
    <row r="26" spans="1:12" x14ac:dyDescent="0.25">
      <c r="A26" s="12" t="s">
        <v>458</v>
      </c>
      <c r="B26" s="80"/>
      <c r="C26" s="80"/>
      <c r="D26" s="80"/>
      <c r="E26" s="80"/>
      <c r="F26" s="80"/>
      <c r="G26" s="80"/>
      <c r="H26" s="80"/>
      <c r="I26" s="80"/>
      <c r="J26" s="80"/>
      <c r="K26" s="80"/>
      <c r="L26" s="80"/>
    </row>
    <row r="27" spans="1:12" x14ac:dyDescent="0.25">
      <c r="A27" s="34" t="s">
        <v>108</v>
      </c>
      <c r="B27" s="167"/>
      <c r="C27" s="167"/>
      <c r="D27" s="167"/>
      <c r="E27" s="167"/>
      <c r="F27" s="167"/>
      <c r="G27" s="167"/>
      <c r="H27" s="167"/>
      <c r="I27" s="167"/>
      <c r="J27" s="167"/>
      <c r="K27" s="167"/>
      <c r="L27" s="167"/>
    </row>
    <row r="28" spans="1:12" ht="15.75" thickBot="1" x14ac:dyDescent="0.3">
      <c r="A28" s="75" t="s">
        <v>106</v>
      </c>
      <c r="B28" s="36"/>
      <c r="C28" s="36"/>
      <c r="D28" s="36"/>
      <c r="E28" s="36"/>
      <c r="F28" s="36"/>
      <c r="G28" s="36"/>
      <c r="H28" s="36"/>
      <c r="I28" s="36"/>
      <c r="J28" s="36"/>
      <c r="K28" s="36"/>
      <c r="L28" s="36"/>
    </row>
    <row r="29" spans="1:12" ht="15.75" thickTop="1" x14ac:dyDescent="0.25">
      <c r="A29" t="s">
        <v>83</v>
      </c>
      <c r="B29" s="7">
        <f>SUMPRODUCT('Resource Mix and Demand'!B$24:B$30,'Game Assumptions'!$B$41:$B$47)+SUMPRODUCT(Reliability!B$19:B$22,'Game Assumptions'!$B$48:$B$51)</f>
        <v>87508900</v>
      </c>
      <c r="C29" s="7">
        <f>SUMPRODUCT('Resource Mix and Demand'!C$24:C$30,'Game Assumptions'!$B$41:$B$47)+SUMPRODUCT(Reliability!C$19:C$22,'Game Assumptions'!$B$48:$B$51)</f>
        <v>78152500</v>
      </c>
      <c r="D29" s="7">
        <f>SUMPRODUCT('Resource Mix and Demand'!D$24:D$30,'Game Assumptions'!$B$41:$B$47)+SUMPRODUCT(Reliability!D$19:D$22,'Game Assumptions'!$B$48:$B$51)</f>
        <v>78152500</v>
      </c>
      <c r="E29" s="7">
        <f>SUMPRODUCT('Resource Mix and Demand'!E$24:E$30,'Game Assumptions'!$B$41:$B$47)+SUMPRODUCT(Reliability!E$19:E$22,'Game Assumptions'!$B$48:$B$51)</f>
        <v>31512500</v>
      </c>
      <c r="F29" s="7">
        <f>SUMPRODUCT('Resource Mix and Demand'!F$24:F$30,'Game Assumptions'!$B$41:$B$47)+SUMPRODUCT(Reliability!F$19:F$22,'Game Assumptions'!$B$48:$B$51)</f>
        <v>31512500</v>
      </c>
      <c r="G29" s="7">
        <f>SUMPRODUCT('Resource Mix and Demand'!G$24:G$30,'Game Assumptions'!$B$41:$B$47)+SUMPRODUCT(Reliability!G$19:G$22,'Game Assumptions'!$B$48:$B$51)</f>
        <v>28393700</v>
      </c>
      <c r="H29" s="7">
        <f>SUMPRODUCT('Resource Mix and Demand'!H$24:H$30,'Game Assumptions'!$B$41:$B$47)+SUMPRODUCT(Reliability!H$19:H$22,'Game Assumptions'!$B$48:$B$51)</f>
        <v>28393700</v>
      </c>
      <c r="I29" s="7">
        <f>SUMPRODUCT('Resource Mix and Demand'!I$24:I$30,'Game Assumptions'!$B$41:$B$47)+SUMPRODUCT(Reliability!I$19:I$22,'Game Assumptions'!$B$48:$B$51)</f>
        <v>28393700</v>
      </c>
      <c r="J29" s="7">
        <f>SUMPRODUCT('Resource Mix and Demand'!J$24:J$30,'Game Assumptions'!$B$41:$B$47)+SUMPRODUCT(Reliability!J$19:J$22,'Game Assumptions'!$B$48:$B$51)</f>
        <v>28393700</v>
      </c>
      <c r="K29" s="7">
        <f>SUMPRODUCT('Resource Mix and Demand'!K$24:K$30,'Game Assumptions'!$B$41:$B$47)+SUMPRODUCT(Reliability!K$19:K$22,'Game Assumptions'!$B$48:$B$51)</f>
        <v>28393700</v>
      </c>
      <c r="L29" s="7">
        <f>SUMPRODUCT('Resource Mix and Demand'!L$24:L$30,'Game Assumptions'!$B$41:$B$47)+SUMPRODUCT(Reliability!L$19:L$22,'Game Assumptions'!$B$48:$B$51)</f>
        <v>28393700</v>
      </c>
    </row>
    <row r="30" spans="1:12" x14ac:dyDescent="0.25">
      <c r="A30" t="s">
        <v>84</v>
      </c>
      <c r="B30" s="7">
        <f>SUMPRODUCT(Dispatch!B118:B124,'Game Assumptions'!$G$41:$G$47)</f>
        <v>34089442.200000003</v>
      </c>
      <c r="C30" s="7">
        <f>SUMPRODUCT(Dispatch!C118:C124,'Game Assumptions'!$G$41:$G$47)</f>
        <v>33733932.299999997</v>
      </c>
      <c r="D30" s="7">
        <f>SUMPRODUCT(Dispatch!D118:D124,'Game Assumptions'!$G$41:$G$47)</f>
        <v>38143545.299999997</v>
      </c>
      <c r="E30" s="7">
        <f>SUMPRODUCT(Dispatch!E118:E124,'Game Assumptions'!$G$41:$G$47)</f>
        <v>33682681.799999997</v>
      </c>
      <c r="F30" s="7">
        <f>SUMPRODUCT(Dispatch!F118:F124,'Game Assumptions'!$G$41:$G$47)</f>
        <v>33682681.799999997</v>
      </c>
      <c r="G30" s="7">
        <f>SUMPRODUCT(Dispatch!G118:G124,'Game Assumptions'!$G$41:$G$47)</f>
        <v>31333249.800000001</v>
      </c>
      <c r="H30" s="7">
        <f>SUMPRODUCT(Dispatch!H118:H124,'Game Assumptions'!$G$41:$G$47)</f>
        <v>31333249.800000001</v>
      </c>
      <c r="I30" s="7">
        <f>SUMPRODUCT(Dispatch!I118:I124,'Game Assumptions'!$G$41:$G$47)</f>
        <v>31333249.800000001</v>
      </c>
      <c r="J30" s="7">
        <f>SUMPRODUCT(Dispatch!J118:J124,'Game Assumptions'!$G$41:$G$47)</f>
        <v>31333249.800000001</v>
      </c>
      <c r="K30" s="7">
        <f>SUMPRODUCT(Dispatch!K118:K124,'Game Assumptions'!$G$41:$G$47)</f>
        <v>31333249.800000001</v>
      </c>
      <c r="L30" s="7">
        <f>SUMPRODUCT(Dispatch!L118:L124,'Game Assumptions'!$G$41:$G$47)</f>
        <v>31333249.800000001</v>
      </c>
    </row>
    <row r="31" spans="1:12" x14ac:dyDescent="0.25">
      <c r="A31" s="12" t="s">
        <v>85</v>
      </c>
      <c r="B31" s="27">
        <f>SUMPRODUCT(Dispatch!B127:B129,'Game Assumptions'!B68:B70)</f>
        <v>156582030.59999999</v>
      </c>
      <c r="C31" s="27">
        <f>SUMPRODUCT(Dispatch!C127:C129,'Game Assumptions'!C68:C70)</f>
        <v>160536709.80000001</v>
      </c>
      <c r="D31" s="27">
        <f>SUMPRODUCT(Dispatch!D127:D129,'Game Assumptions'!D68:D70)</f>
        <v>167041593</v>
      </c>
      <c r="E31" s="27">
        <f>SUMPRODUCT(Dispatch!E127:E129,'Game Assumptions'!E68:E70)</f>
        <v>150918418.80000001</v>
      </c>
      <c r="F31" s="27">
        <f>SUMPRODUCT(Dispatch!F127:F129,'Game Assumptions'!F68:F70)</f>
        <v>150564690</v>
      </c>
      <c r="G31" s="27">
        <f>SUMPRODUCT(Dispatch!G127:G129,'Game Assumptions'!G68:G70)</f>
        <v>142066789.19999999</v>
      </c>
      <c r="H31" s="27">
        <f>SUMPRODUCT(Dispatch!H127:H129,'Game Assumptions'!H68:H70)</f>
        <v>154579748.40000001</v>
      </c>
      <c r="I31" s="27">
        <f>SUMPRODUCT(Dispatch!I127:I129,'Game Assumptions'!I68:I70)</f>
        <v>167092707.59999999</v>
      </c>
      <c r="J31" s="27">
        <f>SUMPRODUCT(Dispatch!J127:J129,'Game Assumptions'!J68:J70)</f>
        <v>174744918</v>
      </c>
      <c r="K31" s="27">
        <f>SUMPRODUCT(Dispatch!K127:K129,'Game Assumptions'!K68:K70)</f>
        <v>179197407</v>
      </c>
      <c r="L31" s="27">
        <f>SUMPRODUCT(Dispatch!L127:L129,'Game Assumptions'!L68:L70)</f>
        <v>184221748.79999998</v>
      </c>
    </row>
    <row r="32" spans="1:12" ht="15.75" thickBot="1" x14ac:dyDescent="0.3">
      <c r="A32" s="75" t="s">
        <v>245</v>
      </c>
      <c r="B32" s="36"/>
      <c r="C32" s="36"/>
      <c r="D32" s="36"/>
      <c r="E32" s="36"/>
      <c r="F32" s="36"/>
      <c r="G32" s="36"/>
      <c r="H32" s="36"/>
      <c r="I32" s="36"/>
      <c r="J32" s="36"/>
      <c r="K32" s="36"/>
      <c r="L32" s="36"/>
    </row>
    <row r="33" spans="1:12" ht="15.75" thickTop="1" x14ac:dyDescent="0.25">
      <c r="A33" s="71" t="s">
        <v>246</v>
      </c>
      <c r="B33" s="27">
        <f>Reliability!B42*'Game Assumptions'!$B$117</f>
        <v>29791461.006910168</v>
      </c>
      <c r="C33" s="27">
        <f>Reliability!C42*'Game Assumptions'!$B$117</f>
        <v>29791461.006910168</v>
      </c>
      <c r="D33" s="27">
        <f>Reliability!D42*'Game Assumptions'!$B$117</f>
        <v>29791461.006910168</v>
      </c>
      <c r="E33" s="27">
        <f>Reliability!E42*'Game Assumptions'!$B$117</f>
        <v>29791461.006910168</v>
      </c>
      <c r="F33" s="27">
        <f>Reliability!F42*'Game Assumptions'!$B$117</f>
        <v>29791461.006910168</v>
      </c>
      <c r="G33" s="27">
        <f>Reliability!G42*'Game Assumptions'!$B$117</f>
        <v>29791461.006910168</v>
      </c>
      <c r="H33" s="27">
        <f>Reliability!H42*'Game Assumptions'!$B$117</f>
        <v>29791461.006910168</v>
      </c>
      <c r="I33" s="27">
        <f>Reliability!I42*'Game Assumptions'!$B$117</f>
        <v>29791461.006910168</v>
      </c>
      <c r="J33" s="27">
        <f>Reliability!J42*'Game Assumptions'!$B$117</f>
        <v>29791461.006910168</v>
      </c>
      <c r="K33" s="27">
        <f>Reliability!K42*'Game Assumptions'!$B$117</f>
        <v>29791461.006910168</v>
      </c>
      <c r="L33" s="27">
        <f>Reliability!L42*'Game Assumptions'!$B$117</f>
        <v>29791461.006910168</v>
      </c>
    </row>
    <row r="34" spans="1:12" x14ac:dyDescent="0.25">
      <c r="A34" s="72" t="s">
        <v>248</v>
      </c>
      <c r="B34" s="27">
        <f>'Game Assumptions'!$B$124*'Game Assumptions'!$B$120</f>
        <v>424000</v>
      </c>
      <c r="C34" s="27">
        <f>'Game Assumptions'!$B$124*'Game Assumptions'!$B$120</f>
        <v>424000</v>
      </c>
      <c r="D34" s="27">
        <f>'Game Assumptions'!$B$124*'Game Assumptions'!$B$120</f>
        <v>424000</v>
      </c>
      <c r="E34" s="27">
        <f>'Game Assumptions'!$B$124*'Game Assumptions'!$B$120</f>
        <v>424000</v>
      </c>
      <c r="F34" s="27">
        <f>'Game Assumptions'!$B$124*'Game Assumptions'!$B$120</f>
        <v>424000</v>
      </c>
      <c r="G34" s="27">
        <f>'Game Assumptions'!$B$124*'Game Assumptions'!$B$120</f>
        <v>424000</v>
      </c>
      <c r="H34" s="27">
        <f>'Game Assumptions'!$B$124*'Game Assumptions'!$B$120</f>
        <v>424000</v>
      </c>
      <c r="I34" s="27">
        <f>'Game Assumptions'!$B$124*'Game Assumptions'!$B$120</f>
        <v>424000</v>
      </c>
      <c r="J34" s="27">
        <f>'Game Assumptions'!$B$124*'Game Assumptions'!$B$120</f>
        <v>424000</v>
      </c>
      <c r="K34" s="27">
        <f>'Game Assumptions'!$B$124*'Game Assumptions'!$B$120</f>
        <v>424000</v>
      </c>
      <c r="L34" s="27">
        <f>'Game Assumptions'!$B$124*'Game Assumptions'!$B$120</f>
        <v>424000</v>
      </c>
    </row>
    <row r="35" spans="1:12" x14ac:dyDescent="0.25">
      <c r="A35" s="34" t="s">
        <v>470</v>
      </c>
      <c r="B35" s="98">
        <f t="shared" ref="B35:L35" si="0">SUM(B29:B31,B13:B26,B9:B11,B33:B34)</f>
        <v>608395833.80691016</v>
      </c>
      <c r="C35" s="98">
        <f t="shared" si="0"/>
        <v>602638603.10691023</v>
      </c>
      <c r="D35" s="98">
        <f t="shared" si="0"/>
        <v>613553099.30691016</v>
      </c>
      <c r="E35" s="98">
        <f t="shared" si="0"/>
        <v>546329061.60691023</v>
      </c>
      <c r="F35" s="98">
        <f t="shared" si="0"/>
        <v>545975332.80691016</v>
      </c>
      <c r="G35" s="98">
        <f t="shared" si="0"/>
        <v>532009200.00691015</v>
      </c>
      <c r="H35" s="98">
        <f t="shared" si="0"/>
        <v>544522159.20691013</v>
      </c>
      <c r="I35" s="98">
        <f t="shared" si="0"/>
        <v>557035118.40691018</v>
      </c>
      <c r="J35" s="98">
        <f t="shared" si="0"/>
        <v>564687328.80691016</v>
      </c>
      <c r="K35" s="98">
        <f t="shared" si="0"/>
        <v>569139817.80691016</v>
      </c>
      <c r="L35" s="98">
        <f t="shared" si="0"/>
        <v>574164159.60691011</v>
      </c>
    </row>
    <row r="36" spans="1:12" x14ac:dyDescent="0.25">
      <c r="A36" s="34" t="s">
        <v>471</v>
      </c>
      <c r="B36" s="98">
        <f>SUM(B11,B19,B21,B23,B25,B29:B31,B34)</f>
        <v>378604372.79999995</v>
      </c>
      <c r="C36" s="98">
        <f t="shared" ref="C36:L36" si="1">SUM(C11,C19,C21,C23,C25,C29:C31,C34)</f>
        <v>372847142.10000002</v>
      </c>
      <c r="D36" s="98">
        <f t="shared" si="1"/>
        <v>383761638.30000001</v>
      </c>
      <c r="E36" s="98">
        <f t="shared" si="1"/>
        <v>316537600.60000002</v>
      </c>
      <c r="F36" s="98">
        <f t="shared" si="1"/>
        <v>316183871.80000001</v>
      </c>
      <c r="G36" s="98">
        <f t="shared" si="1"/>
        <v>302217739</v>
      </c>
      <c r="H36" s="98">
        <f t="shared" si="1"/>
        <v>314730698.20000005</v>
      </c>
      <c r="I36" s="98">
        <f t="shared" si="1"/>
        <v>327243657.39999998</v>
      </c>
      <c r="J36" s="98">
        <f t="shared" si="1"/>
        <v>334895867.80000001</v>
      </c>
      <c r="K36" s="98">
        <f t="shared" si="1"/>
        <v>339348356.80000001</v>
      </c>
      <c r="L36" s="98">
        <f t="shared" si="1"/>
        <v>344372698.60000002</v>
      </c>
    </row>
    <row r="38" spans="1:12" x14ac:dyDescent="0.25">
      <c r="A38" s="9" t="s">
        <v>111</v>
      </c>
      <c r="B38" s="9">
        <v>0</v>
      </c>
      <c r="C38" s="9">
        <v>1</v>
      </c>
      <c r="D38" s="9">
        <v>2</v>
      </c>
      <c r="E38" s="9">
        <v>3</v>
      </c>
      <c r="F38" s="9">
        <v>4</v>
      </c>
      <c r="G38" s="9">
        <v>5</v>
      </c>
      <c r="H38" s="9">
        <v>6</v>
      </c>
      <c r="I38" s="9">
        <v>7</v>
      </c>
      <c r="J38" s="9">
        <v>8</v>
      </c>
      <c r="K38" s="9">
        <v>9</v>
      </c>
      <c r="L38" s="9">
        <v>10</v>
      </c>
    </row>
    <row r="39" spans="1:12" x14ac:dyDescent="0.25">
      <c r="A39" s="28" t="s">
        <v>66</v>
      </c>
    </row>
    <row r="40" spans="1:12" x14ac:dyDescent="0.25">
      <c r="A40" s="26" t="s">
        <v>92</v>
      </c>
      <c r="B40" s="7">
        <f>'Game Assumptions'!$B$7*'Utility Revenue'!B9*IF('Event Tracker'!B$4=1,2,1)</f>
        <v>25000000</v>
      </c>
      <c r="C40" s="7">
        <f>'Game Assumptions'!$B$7*'Utility Revenue'!C9*IF('Event Tracker'!C$4=1,2,1)</f>
        <v>25000000</v>
      </c>
      <c r="D40" s="7">
        <f>'Game Assumptions'!$B$7*'Utility Revenue'!D9*IF('Event Tracker'!D$4=1,2,1)</f>
        <v>25000000</v>
      </c>
      <c r="E40" s="7">
        <f>'Game Assumptions'!$B$7*'Utility Revenue'!E9*IF('Event Tracker'!E$4=1,2,1)</f>
        <v>25000000</v>
      </c>
      <c r="F40" s="7">
        <f>'Game Assumptions'!$B$7*'Utility Revenue'!F9*IF('Event Tracker'!F$4=1,2,1)</f>
        <v>25000000</v>
      </c>
      <c r="G40" s="7">
        <f>'Game Assumptions'!$B$7*'Utility Revenue'!G9*IF('Event Tracker'!G$4=1,2,1)</f>
        <v>25000000</v>
      </c>
      <c r="H40" s="7">
        <f>'Game Assumptions'!$B$7*'Utility Revenue'!H9*IF('Event Tracker'!H$4=1,2,1)</f>
        <v>25000000</v>
      </c>
      <c r="I40" s="7">
        <f>'Game Assumptions'!$B$7*'Utility Revenue'!I9*IF('Event Tracker'!I$4=1,2,1)</f>
        <v>25000000</v>
      </c>
      <c r="J40" s="7">
        <f>'Game Assumptions'!$B$7*'Utility Revenue'!J9*IF('Event Tracker'!J$4=1,2,1)</f>
        <v>25000000</v>
      </c>
      <c r="K40" s="7">
        <f>'Game Assumptions'!$B$7*'Utility Revenue'!K9*IF('Event Tracker'!K$4=1,2,1)</f>
        <v>25000000</v>
      </c>
      <c r="L40" s="7">
        <f>'Game Assumptions'!$B$7*'Utility Revenue'!L9*IF('Event Tracker'!L$4=1,2,1)</f>
        <v>25000000</v>
      </c>
    </row>
    <row r="41" spans="1:12" x14ac:dyDescent="0.25">
      <c r="A41" s="26" t="s">
        <v>93</v>
      </c>
      <c r="B41" s="7">
        <f>'Game Assumptions'!$B$7*'Utility Revenue'!B10*IF('Event Tracker'!B$4=1,2,1)</f>
        <v>25000000</v>
      </c>
      <c r="C41" s="7">
        <f>'Game Assumptions'!$B$7*'Utility Revenue'!C10*IF('Event Tracker'!C$4=1,2,1)</f>
        <v>25000000</v>
      </c>
      <c r="D41" s="7">
        <f>'Game Assumptions'!$B$7*'Utility Revenue'!D10*IF('Event Tracker'!D$4=1,2,1)</f>
        <v>25000000</v>
      </c>
      <c r="E41" s="7">
        <f>'Game Assumptions'!$B$7*'Utility Revenue'!E10*IF('Event Tracker'!E$4=1,2,1)</f>
        <v>25000000</v>
      </c>
      <c r="F41" s="7">
        <f>'Game Assumptions'!$B$7*'Utility Revenue'!F10*IF('Event Tracker'!F$4=1,2,1)</f>
        <v>25000000</v>
      </c>
      <c r="G41" s="7">
        <f>'Game Assumptions'!$B$7*'Utility Revenue'!G10*IF('Event Tracker'!G$4=1,2,1)</f>
        <v>25000000</v>
      </c>
      <c r="H41" s="7">
        <f>'Game Assumptions'!$B$7*'Utility Revenue'!H10*IF('Event Tracker'!H$4=1,2,1)</f>
        <v>25000000</v>
      </c>
      <c r="I41" s="7">
        <f>'Game Assumptions'!$B$7*'Utility Revenue'!I10*IF('Event Tracker'!I$4=1,2,1)</f>
        <v>25000000</v>
      </c>
      <c r="J41" s="7">
        <f>'Game Assumptions'!$B$7*'Utility Revenue'!J10*IF('Event Tracker'!J$4=1,2,1)</f>
        <v>25000000</v>
      </c>
      <c r="K41" s="7">
        <f>'Game Assumptions'!$B$7*'Utility Revenue'!K10*IF('Event Tracker'!K$4=1,2,1)</f>
        <v>25000000</v>
      </c>
      <c r="L41" s="7">
        <f>'Game Assumptions'!$B$7*'Utility Revenue'!L10*IF('Event Tracker'!L$4=1,2,1)</f>
        <v>25000000</v>
      </c>
    </row>
    <row r="42" spans="1:12" x14ac:dyDescent="0.25">
      <c r="A42" s="29" t="s">
        <v>94</v>
      </c>
      <c r="B42" s="23">
        <f>'Game Assumptions'!$B$7*'Utility Revenue'!B11*IF('Event Tracker'!B$4=1,2,1)</f>
        <v>25000000</v>
      </c>
      <c r="C42" s="23">
        <f>'Game Assumptions'!$B$7*'Utility Revenue'!C11*IF('Event Tracker'!C$4=1,2,1)</f>
        <v>25000000</v>
      </c>
      <c r="D42" s="23">
        <f>'Game Assumptions'!$B$7*'Utility Revenue'!D11*IF('Event Tracker'!D$4=1,2,1)</f>
        <v>25000000</v>
      </c>
      <c r="E42" s="23">
        <f>'Game Assumptions'!$B$7*'Utility Revenue'!E11*IF('Event Tracker'!E$4=1,2,1)</f>
        <v>25000000</v>
      </c>
      <c r="F42" s="23">
        <f>'Game Assumptions'!$B$7*'Utility Revenue'!F11*IF('Event Tracker'!F$4=1,2,1)</f>
        <v>25000000</v>
      </c>
      <c r="G42" s="23">
        <f>'Game Assumptions'!$B$7*'Utility Revenue'!G11*IF('Event Tracker'!G$4=1,2,1)</f>
        <v>25000000</v>
      </c>
      <c r="H42" s="23">
        <f>'Game Assumptions'!$B$7*'Utility Revenue'!H11*IF('Event Tracker'!H$4=1,2,1)</f>
        <v>25000000</v>
      </c>
      <c r="I42" s="23">
        <f>'Game Assumptions'!$B$7*'Utility Revenue'!I11*IF('Event Tracker'!I$4=1,2,1)</f>
        <v>25000000</v>
      </c>
      <c r="J42" s="23">
        <f>'Game Assumptions'!$B$7*'Utility Revenue'!J11*IF('Event Tracker'!J$4=1,2,1)</f>
        <v>25000000</v>
      </c>
      <c r="K42" s="23">
        <f>'Game Assumptions'!$B$7*'Utility Revenue'!K11*IF('Event Tracker'!K$4=1,2,1)</f>
        <v>25000000</v>
      </c>
      <c r="L42" s="23">
        <f>'Game Assumptions'!$B$7*'Utility Revenue'!L11*IF('Event Tracker'!L$4=1,2,1)</f>
        <v>25000000</v>
      </c>
    </row>
    <row r="43" spans="1:12" x14ac:dyDescent="0.25">
      <c r="A43" s="4" t="s">
        <v>71</v>
      </c>
    </row>
    <row r="44" spans="1:12" x14ac:dyDescent="0.25">
      <c r="A44" t="s">
        <v>68</v>
      </c>
      <c r="B44" s="27">
        <f>'Game Assumptions'!$B$7*'Utility Revenue'!B13*IF('Event Tracker'!B$4=1,2,1)</f>
        <v>0</v>
      </c>
      <c r="C44" s="27">
        <f>'Game Assumptions'!$B$7*'Utility Revenue'!C13*IF('Event Tracker'!C$4=1,2,1)</f>
        <v>0</v>
      </c>
      <c r="D44" s="27">
        <f>'Game Assumptions'!$B$7*'Utility Revenue'!D13*IF('Event Tracker'!D$4=1,2,1)</f>
        <v>0</v>
      </c>
      <c r="E44" s="27">
        <f>'Game Assumptions'!$B$7*'Utility Revenue'!E13*IF('Event Tracker'!E$4=1,2,1)</f>
        <v>0</v>
      </c>
      <c r="F44" s="27">
        <f>'Game Assumptions'!$B$7*'Utility Revenue'!F13*IF('Event Tracker'!F$4=1,2,1)</f>
        <v>0</v>
      </c>
      <c r="G44" s="27">
        <f>'Game Assumptions'!$B$7*'Utility Revenue'!G13*IF('Event Tracker'!G$4=1,2,1)</f>
        <v>0</v>
      </c>
      <c r="H44" s="27">
        <f>'Game Assumptions'!$B$7*'Utility Revenue'!H13*IF('Event Tracker'!H$4=1,2,1)</f>
        <v>0</v>
      </c>
      <c r="I44" s="27">
        <f>'Game Assumptions'!$B$7*'Utility Revenue'!I13*IF('Event Tracker'!I$4=1,2,1)</f>
        <v>0</v>
      </c>
      <c r="J44" s="27">
        <f>'Game Assumptions'!$B$7*'Utility Revenue'!J13*IF('Event Tracker'!J$4=1,2,1)</f>
        <v>0</v>
      </c>
      <c r="K44" s="27">
        <f>'Game Assumptions'!$B$7*'Utility Revenue'!K13*IF('Event Tracker'!K$4=1,2,1)</f>
        <v>0</v>
      </c>
      <c r="L44" s="27">
        <f>'Game Assumptions'!$B$7*'Utility Revenue'!L13*IF('Event Tracker'!L$4=1,2,1)</f>
        <v>0</v>
      </c>
    </row>
    <row r="45" spans="1:12" x14ac:dyDescent="0.25">
      <c r="A45" t="s">
        <v>74</v>
      </c>
      <c r="B45" s="27">
        <f>'Game Assumptions'!$B$7*'Utility Revenue'!B14*IF('Event Tracker'!B$4=1,2,1)</f>
        <v>0</v>
      </c>
      <c r="C45" s="27">
        <f>'Game Assumptions'!$B$7*'Utility Revenue'!C14*IF('Event Tracker'!C$4=1,2,1)</f>
        <v>0</v>
      </c>
      <c r="D45" s="27">
        <f>'Game Assumptions'!$B$7*'Utility Revenue'!D14*IF('Event Tracker'!D$4=1,2,1)</f>
        <v>0</v>
      </c>
      <c r="E45" s="27">
        <f>'Game Assumptions'!$B$7*'Utility Revenue'!E14*IF('Event Tracker'!E$4=1,2,1)</f>
        <v>0</v>
      </c>
      <c r="F45" s="27">
        <f>'Game Assumptions'!$B$7*'Utility Revenue'!F14*IF('Event Tracker'!F$4=1,2,1)</f>
        <v>0</v>
      </c>
      <c r="G45" s="27">
        <f>'Game Assumptions'!$B$7*'Utility Revenue'!G14*IF('Event Tracker'!G$4=1,2,1)</f>
        <v>0</v>
      </c>
      <c r="H45" s="27">
        <f>'Game Assumptions'!$B$7*'Utility Revenue'!H14*IF('Event Tracker'!H$4=1,2,1)</f>
        <v>0</v>
      </c>
      <c r="I45" s="27">
        <f>'Game Assumptions'!$B$7*'Utility Revenue'!I14*IF('Event Tracker'!I$4=1,2,1)</f>
        <v>0</v>
      </c>
      <c r="J45" s="27">
        <f>'Game Assumptions'!$B$7*'Utility Revenue'!J14*IF('Event Tracker'!J$4=1,2,1)</f>
        <v>0</v>
      </c>
      <c r="K45" s="27">
        <f>'Game Assumptions'!$B$7*'Utility Revenue'!K14*IF('Event Tracker'!K$4=1,2,1)</f>
        <v>0</v>
      </c>
      <c r="L45" s="27">
        <f>'Game Assumptions'!$B$7*'Utility Revenue'!L14*IF('Event Tracker'!L$4=1,2,1)</f>
        <v>0</v>
      </c>
    </row>
    <row r="46" spans="1:12" x14ac:dyDescent="0.25">
      <c r="A46" t="s">
        <v>69</v>
      </c>
      <c r="B46" s="27">
        <f>'Game Assumptions'!$B$7*'Utility Revenue'!B15*IF('Event Tracker'!B$4=1,2,1)</f>
        <v>0</v>
      </c>
      <c r="C46" s="27">
        <f>'Game Assumptions'!$B$7*'Utility Revenue'!C15*IF('Event Tracker'!C$4=1,2,1)</f>
        <v>0</v>
      </c>
      <c r="D46" s="27">
        <f>'Game Assumptions'!$B$7*'Utility Revenue'!D15*IF('Event Tracker'!D$4=1,2,1)</f>
        <v>0</v>
      </c>
      <c r="E46" s="27">
        <f>'Game Assumptions'!$B$7*'Utility Revenue'!E15*IF('Event Tracker'!E$4=1,2,1)</f>
        <v>0</v>
      </c>
      <c r="F46" s="27">
        <f>'Game Assumptions'!$B$7*'Utility Revenue'!F15*IF('Event Tracker'!F$4=1,2,1)</f>
        <v>0</v>
      </c>
      <c r="G46" s="27">
        <f>'Game Assumptions'!$B$7*'Utility Revenue'!G15*IF('Event Tracker'!G$4=1,2,1)</f>
        <v>0</v>
      </c>
      <c r="H46" s="27">
        <f>'Game Assumptions'!$B$7*'Utility Revenue'!H15*IF('Event Tracker'!H$4=1,2,1)</f>
        <v>0</v>
      </c>
      <c r="I46" s="27">
        <f>'Game Assumptions'!$B$7*'Utility Revenue'!I15*IF('Event Tracker'!I$4=1,2,1)</f>
        <v>0</v>
      </c>
      <c r="J46" s="27">
        <f>'Game Assumptions'!$B$7*'Utility Revenue'!J15*IF('Event Tracker'!J$4=1,2,1)</f>
        <v>0</v>
      </c>
      <c r="K46" s="27">
        <f>'Game Assumptions'!$B$7*'Utility Revenue'!K15*IF('Event Tracker'!K$4=1,2,1)</f>
        <v>0</v>
      </c>
      <c r="L46" s="27">
        <f>'Game Assumptions'!$B$7*'Utility Revenue'!L15*IF('Event Tracker'!L$4=1,2,1)</f>
        <v>0</v>
      </c>
    </row>
    <row r="47" spans="1:12" x14ac:dyDescent="0.25">
      <c r="A47" t="s">
        <v>72</v>
      </c>
      <c r="B47" s="27">
        <f>'Game Assumptions'!$B$7*'Utility Revenue'!B16*IF('Event Tracker'!B$4=1,2,1)</f>
        <v>0</v>
      </c>
      <c r="C47" s="27">
        <f>'Game Assumptions'!$B$7*'Utility Revenue'!C16*IF('Event Tracker'!C$4=1,2,1)</f>
        <v>0</v>
      </c>
      <c r="D47" s="27">
        <f>'Game Assumptions'!$B$7*'Utility Revenue'!D16*IF('Event Tracker'!D$4=1,2,1)</f>
        <v>0</v>
      </c>
      <c r="E47" s="27">
        <f>'Game Assumptions'!$B$7*'Utility Revenue'!E16*IF('Event Tracker'!E$4=1,2,1)</f>
        <v>0</v>
      </c>
      <c r="F47" s="27">
        <f>'Game Assumptions'!$B$7*'Utility Revenue'!F16*IF('Event Tracker'!F$4=1,2,1)</f>
        <v>0</v>
      </c>
      <c r="G47" s="27">
        <f>'Game Assumptions'!$B$7*'Utility Revenue'!G16*IF('Event Tracker'!G$4=1,2,1)</f>
        <v>0</v>
      </c>
      <c r="H47" s="27">
        <f>'Game Assumptions'!$B$7*'Utility Revenue'!H16*IF('Event Tracker'!H$4=1,2,1)</f>
        <v>0</v>
      </c>
      <c r="I47" s="27">
        <f>'Game Assumptions'!$B$7*'Utility Revenue'!I16*IF('Event Tracker'!I$4=1,2,1)</f>
        <v>0</v>
      </c>
      <c r="J47" s="27">
        <f>'Game Assumptions'!$B$7*'Utility Revenue'!J16*IF('Event Tracker'!J$4=1,2,1)</f>
        <v>0</v>
      </c>
      <c r="K47" s="27">
        <f>'Game Assumptions'!$B$7*'Utility Revenue'!K16*IF('Event Tracker'!K$4=1,2,1)</f>
        <v>0</v>
      </c>
      <c r="L47" s="27">
        <f>'Game Assumptions'!$B$7*'Utility Revenue'!L16*IF('Event Tracker'!L$4=1,2,1)</f>
        <v>0</v>
      </c>
    </row>
    <row r="48" spans="1:12" x14ac:dyDescent="0.25">
      <c r="A48" t="s">
        <v>73</v>
      </c>
      <c r="B48" s="27">
        <f>'Game Assumptions'!$B$7*'Utility Revenue'!B17*IF('Event Tracker'!B$4=1,2,1)</f>
        <v>0</v>
      </c>
      <c r="C48" s="27">
        <f>'Game Assumptions'!$B$7*'Utility Revenue'!C17*IF('Event Tracker'!C$4=1,2,1)</f>
        <v>0</v>
      </c>
      <c r="D48" s="27">
        <f>'Game Assumptions'!$B$7*'Utility Revenue'!D17*IF('Event Tracker'!D$4=1,2,1)</f>
        <v>0</v>
      </c>
      <c r="E48" s="27">
        <f>'Game Assumptions'!$B$7*'Utility Revenue'!E17*IF('Event Tracker'!E$4=1,2,1)</f>
        <v>0</v>
      </c>
      <c r="F48" s="27">
        <f>'Game Assumptions'!$B$7*'Utility Revenue'!F17*IF('Event Tracker'!F$4=1,2,1)</f>
        <v>0</v>
      </c>
      <c r="G48" s="27">
        <f>'Game Assumptions'!$B$7*'Utility Revenue'!G17*IF('Event Tracker'!G$4=1,2,1)</f>
        <v>0</v>
      </c>
      <c r="H48" s="27">
        <f>'Game Assumptions'!$B$7*'Utility Revenue'!H17*IF('Event Tracker'!H$4=1,2,1)</f>
        <v>0</v>
      </c>
      <c r="I48" s="27">
        <f>'Game Assumptions'!$B$7*'Utility Revenue'!I17*IF('Event Tracker'!I$4=1,2,1)</f>
        <v>0</v>
      </c>
      <c r="J48" s="27">
        <f>'Game Assumptions'!$B$7*'Utility Revenue'!J17*IF('Event Tracker'!J$4=1,2,1)</f>
        <v>0</v>
      </c>
      <c r="K48" s="27">
        <f>'Game Assumptions'!$B$7*'Utility Revenue'!K17*IF('Event Tracker'!K$4=1,2,1)</f>
        <v>0</v>
      </c>
      <c r="L48" s="27">
        <f>'Game Assumptions'!$B$7*'Utility Revenue'!L17*IF('Event Tracker'!L$4=1,2,1)</f>
        <v>0</v>
      </c>
    </row>
    <row r="49" spans="1:12" x14ac:dyDescent="0.25">
      <c r="A49" t="s">
        <v>70</v>
      </c>
      <c r="B49" s="27">
        <f>'Game Assumptions'!$B$7*'Utility Revenue'!B18*IF('Event Tracker'!B$4=1,2,1)</f>
        <v>0</v>
      </c>
      <c r="C49" s="27">
        <f>'Game Assumptions'!$B$7*'Utility Revenue'!C18*IF('Event Tracker'!C$4=1,2,1)</f>
        <v>0</v>
      </c>
      <c r="D49" s="27">
        <f>'Game Assumptions'!$B$7*'Utility Revenue'!D18*IF('Event Tracker'!D$4=1,2,1)</f>
        <v>0</v>
      </c>
      <c r="E49" s="27">
        <f>'Game Assumptions'!$B$7*'Utility Revenue'!E18*IF('Event Tracker'!E$4=1,2,1)</f>
        <v>0</v>
      </c>
      <c r="F49" s="27">
        <f>'Game Assumptions'!$B$7*'Utility Revenue'!F18*IF('Event Tracker'!F$4=1,2,1)</f>
        <v>0</v>
      </c>
      <c r="G49" s="27">
        <f>'Game Assumptions'!$B$7*'Utility Revenue'!G18*IF('Event Tracker'!G$4=1,2,1)</f>
        <v>0</v>
      </c>
      <c r="H49" s="27">
        <f>'Game Assumptions'!$B$7*'Utility Revenue'!H18*IF('Event Tracker'!H$4=1,2,1)</f>
        <v>0</v>
      </c>
      <c r="I49" s="27">
        <f>'Game Assumptions'!$B$7*'Utility Revenue'!I18*IF('Event Tracker'!I$4=1,2,1)</f>
        <v>0</v>
      </c>
      <c r="J49" s="27">
        <f>'Game Assumptions'!$B$7*'Utility Revenue'!J18*IF('Event Tracker'!J$4=1,2,1)</f>
        <v>0</v>
      </c>
      <c r="K49" s="27">
        <f>'Game Assumptions'!$B$7*'Utility Revenue'!K18*IF('Event Tracker'!K$4=1,2,1)</f>
        <v>0</v>
      </c>
      <c r="L49" s="27">
        <f>'Game Assumptions'!$B$7*'Utility Revenue'!L18*IF('Event Tracker'!L$4=1,2,1)</f>
        <v>0</v>
      </c>
    </row>
    <row r="50" spans="1:12" x14ac:dyDescent="0.25">
      <c r="A50" s="12" t="s">
        <v>75</v>
      </c>
      <c r="B50" s="27">
        <f>'Game Assumptions'!$B$7*'Utility Revenue'!B19*IF('Event Tracker'!B$4=1,2,1)</f>
        <v>0</v>
      </c>
      <c r="C50" s="27">
        <f>'Game Assumptions'!$B$7*'Utility Revenue'!C19*IF('Event Tracker'!C$4=1,2,1)</f>
        <v>0</v>
      </c>
      <c r="D50" s="27">
        <f>'Game Assumptions'!$B$7*'Utility Revenue'!D19*IF('Event Tracker'!D$4=1,2,1)</f>
        <v>0</v>
      </c>
      <c r="E50" s="27">
        <f>'Game Assumptions'!$B$7*'Utility Revenue'!E19*IF('Event Tracker'!E$4=1,2,1)</f>
        <v>0</v>
      </c>
      <c r="F50" s="27">
        <f>'Game Assumptions'!$B$7*'Utility Revenue'!F19*IF('Event Tracker'!F$4=1,2,1)</f>
        <v>0</v>
      </c>
      <c r="G50" s="27">
        <f>'Game Assumptions'!$B$7*'Utility Revenue'!G19*IF('Event Tracker'!G$4=1,2,1)</f>
        <v>0</v>
      </c>
      <c r="H50" s="27">
        <f>'Game Assumptions'!$B$7*'Utility Revenue'!H19*IF('Event Tracker'!H$4=1,2,1)</f>
        <v>0</v>
      </c>
      <c r="I50" s="27">
        <f>'Game Assumptions'!$B$7*'Utility Revenue'!I19*IF('Event Tracker'!I$4=1,2,1)</f>
        <v>0</v>
      </c>
      <c r="J50" s="27">
        <f>'Game Assumptions'!$B$7*'Utility Revenue'!J19*IF('Event Tracker'!J$4=1,2,1)</f>
        <v>0</v>
      </c>
      <c r="K50" s="27">
        <f>'Game Assumptions'!$B$7*'Utility Revenue'!K19*IF('Event Tracker'!K$4=1,2,1)</f>
        <v>0</v>
      </c>
      <c r="L50" s="27">
        <f>'Game Assumptions'!$B$7*'Utility Revenue'!L19*IF('Event Tracker'!L$4=1,2,1)</f>
        <v>0</v>
      </c>
    </row>
    <row r="51" spans="1:12" x14ac:dyDescent="0.25">
      <c r="A51" t="s">
        <v>340</v>
      </c>
      <c r="B51" s="27">
        <f>'Game Assumptions'!$B$7*'Utility Revenue'!B20*IF('Event Tracker'!B$4=1,2,1)</f>
        <v>0</v>
      </c>
      <c r="C51" s="27">
        <f>'Game Assumptions'!$B$7*'Utility Revenue'!C20*IF('Event Tracker'!C$4=1,2,1)</f>
        <v>0</v>
      </c>
      <c r="D51" s="27">
        <f>'Game Assumptions'!$B$7*'Utility Revenue'!D20*IF('Event Tracker'!D$4=1,2,1)</f>
        <v>0</v>
      </c>
      <c r="E51" s="27">
        <f>'Game Assumptions'!$B$7*'Utility Revenue'!E20*IF('Event Tracker'!E$4=1,2,1)</f>
        <v>0</v>
      </c>
      <c r="F51" s="27">
        <f>'Game Assumptions'!$B$7*'Utility Revenue'!F20*IF('Event Tracker'!F$4=1,2,1)</f>
        <v>0</v>
      </c>
      <c r="G51" s="27">
        <f>'Game Assumptions'!$B$7*'Utility Revenue'!G20*IF('Event Tracker'!G$4=1,2,1)</f>
        <v>0</v>
      </c>
      <c r="H51" s="27">
        <f>'Game Assumptions'!$B$7*'Utility Revenue'!H20*IF('Event Tracker'!H$4=1,2,1)</f>
        <v>0</v>
      </c>
      <c r="I51" s="27">
        <f>'Game Assumptions'!$B$7*'Utility Revenue'!I20*IF('Event Tracker'!I$4=1,2,1)</f>
        <v>0</v>
      </c>
      <c r="J51" s="27">
        <f>'Game Assumptions'!$B$7*'Utility Revenue'!J20*IF('Event Tracker'!J$4=1,2,1)</f>
        <v>0</v>
      </c>
      <c r="K51" s="27">
        <f>'Game Assumptions'!$B$7*'Utility Revenue'!K20*IF('Event Tracker'!K$4=1,2,1)</f>
        <v>0</v>
      </c>
      <c r="L51" s="27">
        <f>'Game Assumptions'!$B$7*'Utility Revenue'!L20*IF('Event Tracker'!L$4=1,2,1)</f>
        <v>0</v>
      </c>
    </row>
    <row r="52" spans="1:12" x14ac:dyDescent="0.25">
      <c r="A52" t="s">
        <v>341</v>
      </c>
      <c r="B52" s="27">
        <f>'Game Assumptions'!$B$7*'Utility Revenue'!B21*IF('Event Tracker'!B$4=1,2,1)</f>
        <v>0</v>
      </c>
      <c r="C52" s="27">
        <f>'Game Assumptions'!$B$7*'Utility Revenue'!C21*IF('Event Tracker'!C$4=1,2,1)</f>
        <v>0</v>
      </c>
      <c r="D52" s="27">
        <f>'Game Assumptions'!$B$7*'Utility Revenue'!D21*IF('Event Tracker'!D$4=1,2,1)</f>
        <v>0</v>
      </c>
      <c r="E52" s="27">
        <f>'Game Assumptions'!$B$7*'Utility Revenue'!E21*IF('Event Tracker'!E$4=1,2,1)</f>
        <v>0</v>
      </c>
      <c r="F52" s="27">
        <f>'Game Assumptions'!$B$7*'Utility Revenue'!F21*IF('Event Tracker'!F$4=1,2,1)</f>
        <v>0</v>
      </c>
      <c r="G52" s="27">
        <f>'Game Assumptions'!$B$7*'Utility Revenue'!G21*IF('Event Tracker'!G$4=1,2,1)</f>
        <v>0</v>
      </c>
      <c r="H52" s="27">
        <f>'Game Assumptions'!$B$7*'Utility Revenue'!H21*IF('Event Tracker'!H$4=1,2,1)</f>
        <v>0</v>
      </c>
      <c r="I52" s="27">
        <f>'Game Assumptions'!$B$7*'Utility Revenue'!I21*IF('Event Tracker'!I$4=1,2,1)</f>
        <v>0</v>
      </c>
      <c r="J52" s="27">
        <f>'Game Assumptions'!$B$7*'Utility Revenue'!J21*IF('Event Tracker'!J$4=1,2,1)</f>
        <v>0</v>
      </c>
      <c r="K52" s="27">
        <f>'Game Assumptions'!$B$7*'Utility Revenue'!K21*IF('Event Tracker'!K$4=1,2,1)</f>
        <v>0</v>
      </c>
      <c r="L52" s="27">
        <f>'Game Assumptions'!$B$7*'Utility Revenue'!L21*IF('Event Tracker'!L$4=1,2,1)</f>
        <v>0</v>
      </c>
    </row>
    <row r="53" spans="1:12" x14ac:dyDescent="0.25">
      <c r="A53" t="s">
        <v>342</v>
      </c>
      <c r="B53" s="27">
        <f>'Game Assumptions'!$B$7*'Utility Revenue'!B22*IF('Event Tracker'!B$4=1,2,1)</f>
        <v>0</v>
      </c>
      <c r="C53" s="27">
        <f>'Game Assumptions'!$B$7*'Utility Revenue'!C22*IF('Event Tracker'!C$4=1,2,1)</f>
        <v>0</v>
      </c>
      <c r="D53" s="27">
        <f>'Game Assumptions'!$B$7*'Utility Revenue'!D22*IF('Event Tracker'!D$4=1,2,1)</f>
        <v>0</v>
      </c>
      <c r="E53" s="27">
        <f>'Game Assumptions'!$B$7*'Utility Revenue'!E22*IF('Event Tracker'!E$4=1,2,1)</f>
        <v>0</v>
      </c>
      <c r="F53" s="27">
        <f>'Game Assumptions'!$B$7*'Utility Revenue'!F22*IF('Event Tracker'!F$4=1,2,1)</f>
        <v>0</v>
      </c>
      <c r="G53" s="27">
        <f>'Game Assumptions'!$B$7*'Utility Revenue'!G22*IF('Event Tracker'!G$4=1,2,1)</f>
        <v>0</v>
      </c>
      <c r="H53" s="27">
        <f>'Game Assumptions'!$B$7*'Utility Revenue'!H22*IF('Event Tracker'!H$4=1,2,1)</f>
        <v>0</v>
      </c>
      <c r="I53" s="27">
        <f>'Game Assumptions'!$B$7*'Utility Revenue'!I22*IF('Event Tracker'!I$4=1,2,1)</f>
        <v>0</v>
      </c>
      <c r="J53" s="27">
        <f>'Game Assumptions'!$B$7*'Utility Revenue'!J22*IF('Event Tracker'!J$4=1,2,1)</f>
        <v>0</v>
      </c>
      <c r="K53" s="27">
        <f>'Game Assumptions'!$B$7*'Utility Revenue'!K22*IF('Event Tracker'!K$4=1,2,1)</f>
        <v>0</v>
      </c>
      <c r="L53" s="27">
        <f>'Game Assumptions'!$B$7*'Utility Revenue'!L22*IF('Event Tracker'!L$4=1,2,1)</f>
        <v>0</v>
      </c>
    </row>
    <row r="54" spans="1:12" x14ac:dyDescent="0.25">
      <c r="A54" t="s">
        <v>343</v>
      </c>
      <c r="B54" s="27">
        <f>'Game Assumptions'!$B$7*'Utility Revenue'!B23*IF('Event Tracker'!B$4=1,2,1)</f>
        <v>0</v>
      </c>
      <c r="C54" s="27">
        <f>'Game Assumptions'!$B$7*'Utility Revenue'!C23*IF('Event Tracker'!C$4=1,2,1)</f>
        <v>0</v>
      </c>
      <c r="D54" s="27">
        <f>'Game Assumptions'!$B$7*'Utility Revenue'!D23*IF('Event Tracker'!D$4=1,2,1)</f>
        <v>0</v>
      </c>
      <c r="E54" s="27">
        <f>'Game Assumptions'!$B$7*'Utility Revenue'!E23*IF('Event Tracker'!E$4=1,2,1)</f>
        <v>0</v>
      </c>
      <c r="F54" s="27">
        <f>'Game Assumptions'!$B$7*'Utility Revenue'!F23*IF('Event Tracker'!F$4=1,2,1)</f>
        <v>0</v>
      </c>
      <c r="G54" s="27">
        <f>'Game Assumptions'!$B$7*'Utility Revenue'!G23*IF('Event Tracker'!G$4=1,2,1)</f>
        <v>0</v>
      </c>
      <c r="H54" s="27">
        <f>'Game Assumptions'!$B$7*'Utility Revenue'!H23*IF('Event Tracker'!H$4=1,2,1)</f>
        <v>0</v>
      </c>
      <c r="I54" s="27">
        <f>'Game Assumptions'!$B$7*'Utility Revenue'!I23*IF('Event Tracker'!I$4=1,2,1)</f>
        <v>0</v>
      </c>
      <c r="J54" s="27">
        <f>'Game Assumptions'!$B$7*'Utility Revenue'!J23*IF('Event Tracker'!J$4=1,2,1)</f>
        <v>0</v>
      </c>
      <c r="K54" s="27">
        <f>'Game Assumptions'!$B$7*'Utility Revenue'!K23*IF('Event Tracker'!K$4=1,2,1)</f>
        <v>0</v>
      </c>
      <c r="L54" s="27">
        <f>'Game Assumptions'!$B$7*'Utility Revenue'!L23*IF('Event Tracker'!L$4=1,2,1)</f>
        <v>0</v>
      </c>
    </row>
    <row r="55" spans="1:12" x14ac:dyDescent="0.25">
      <c r="A55" s="12" t="s">
        <v>95</v>
      </c>
      <c r="B55" s="27">
        <f>'Game Assumptions'!$B$7*'Utility Revenue'!B24*IF('Event Tracker'!B$4=1,2,1)</f>
        <v>0</v>
      </c>
      <c r="C55" s="27">
        <f>'Game Assumptions'!$B$7*'Utility Revenue'!C24*IF('Event Tracker'!C$4=1,2,1)</f>
        <v>0</v>
      </c>
      <c r="D55" s="27">
        <f>'Game Assumptions'!$B$7*'Utility Revenue'!D24*IF('Event Tracker'!D$4=1,2,1)</f>
        <v>0</v>
      </c>
      <c r="E55" s="27">
        <f>'Game Assumptions'!$B$7*'Utility Revenue'!E24*IF('Event Tracker'!E$4=1,2,1)</f>
        <v>0</v>
      </c>
      <c r="F55" s="27">
        <f>'Game Assumptions'!$B$7*'Utility Revenue'!F24*IF('Event Tracker'!F$4=1,2,1)</f>
        <v>0</v>
      </c>
      <c r="G55" s="27">
        <f>'Game Assumptions'!$B$7*'Utility Revenue'!G24*IF('Event Tracker'!G$4=1,2,1)</f>
        <v>0</v>
      </c>
      <c r="H55" s="27">
        <f>'Game Assumptions'!$B$7*'Utility Revenue'!H24*IF('Event Tracker'!H$4=1,2,1)</f>
        <v>0</v>
      </c>
      <c r="I55" s="27">
        <f>'Game Assumptions'!$B$7*'Utility Revenue'!I24*IF('Event Tracker'!I$4=1,2,1)</f>
        <v>0</v>
      </c>
      <c r="J55" s="27">
        <f>'Game Assumptions'!$B$7*'Utility Revenue'!J24*IF('Event Tracker'!J$4=1,2,1)</f>
        <v>0</v>
      </c>
      <c r="K55" s="27">
        <f>'Game Assumptions'!$B$7*'Utility Revenue'!K24*IF('Event Tracker'!K$4=1,2,1)</f>
        <v>0</v>
      </c>
      <c r="L55" s="27">
        <f>'Game Assumptions'!$B$7*'Utility Revenue'!L24*IF('Event Tracker'!L$4=1,2,1)</f>
        <v>0</v>
      </c>
    </row>
    <row r="56" spans="1:12" x14ac:dyDescent="0.25">
      <c r="A56" s="12" t="s">
        <v>96</v>
      </c>
      <c r="B56" s="27">
        <f>'Game Assumptions'!$B$7*'Utility Revenue'!B25*IF('Event Tracker'!B$4=1,2,1)</f>
        <v>0</v>
      </c>
      <c r="C56" s="27">
        <f>'Game Assumptions'!$B$7*'Utility Revenue'!C25*IF('Event Tracker'!C$4=1,2,1)</f>
        <v>0</v>
      </c>
      <c r="D56" s="27">
        <f>'Game Assumptions'!$B$7*'Utility Revenue'!D25*IF('Event Tracker'!D$4=1,2,1)</f>
        <v>0</v>
      </c>
      <c r="E56" s="27">
        <f>'Game Assumptions'!$B$7*'Utility Revenue'!E25*IF('Event Tracker'!E$4=1,2,1)</f>
        <v>0</v>
      </c>
      <c r="F56" s="27">
        <f>'Game Assumptions'!$B$7*'Utility Revenue'!F25*IF('Event Tracker'!F$4=1,2,1)</f>
        <v>0</v>
      </c>
      <c r="G56" s="27">
        <f>'Game Assumptions'!$B$7*'Utility Revenue'!G25*IF('Event Tracker'!G$4=1,2,1)</f>
        <v>0</v>
      </c>
      <c r="H56" s="27">
        <f>'Game Assumptions'!$B$7*'Utility Revenue'!H25*IF('Event Tracker'!H$4=1,2,1)</f>
        <v>0</v>
      </c>
      <c r="I56" s="27">
        <f>'Game Assumptions'!$B$7*'Utility Revenue'!I25*IF('Event Tracker'!I$4=1,2,1)</f>
        <v>0</v>
      </c>
      <c r="J56" s="27">
        <f>'Game Assumptions'!$B$7*'Utility Revenue'!J25*IF('Event Tracker'!J$4=1,2,1)</f>
        <v>0</v>
      </c>
      <c r="K56" s="27">
        <f>'Game Assumptions'!$B$7*'Utility Revenue'!K25*IF('Event Tracker'!K$4=1,2,1)</f>
        <v>0</v>
      </c>
      <c r="L56" s="27">
        <f>'Game Assumptions'!$B$7*'Utility Revenue'!L25*IF('Event Tracker'!L$4=1,2,1)</f>
        <v>0</v>
      </c>
    </row>
    <row r="57" spans="1:12" x14ac:dyDescent="0.25">
      <c r="A57" s="22" t="s">
        <v>458</v>
      </c>
      <c r="B57" s="23">
        <f>'Game Assumptions'!$B$7*'Utility Revenue'!B26*IF('Event Tracker'!B$4=1,2,1)</f>
        <v>0</v>
      </c>
      <c r="C57" s="23">
        <f>'Game Assumptions'!$B$7*'Utility Revenue'!C26*IF('Event Tracker'!C$4=1,2,1)</f>
        <v>0</v>
      </c>
      <c r="D57" s="23">
        <f>'Game Assumptions'!$B$7*'Utility Revenue'!D26*IF('Event Tracker'!D$4=1,2,1)</f>
        <v>0</v>
      </c>
      <c r="E57" s="23">
        <f>'Game Assumptions'!$B$7*'Utility Revenue'!E26*IF('Event Tracker'!E$4=1,2,1)</f>
        <v>0</v>
      </c>
      <c r="F57" s="23">
        <f>'Game Assumptions'!$B$7*'Utility Revenue'!F26*IF('Event Tracker'!F$4=1,2,1)</f>
        <v>0</v>
      </c>
      <c r="G57" s="23">
        <f>'Game Assumptions'!$B$7*'Utility Revenue'!G26*IF('Event Tracker'!G$4=1,2,1)</f>
        <v>0</v>
      </c>
      <c r="H57" s="23">
        <f>'Game Assumptions'!$B$7*'Utility Revenue'!H26*IF('Event Tracker'!H$4=1,2,1)</f>
        <v>0</v>
      </c>
      <c r="I57" s="23">
        <f>'Game Assumptions'!$B$7*'Utility Revenue'!I26*IF('Event Tracker'!I$4=1,2,1)</f>
        <v>0</v>
      </c>
      <c r="J57" s="23">
        <f>'Game Assumptions'!$B$7*'Utility Revenue'!J26*IF('Event Tracker'!J$4=1,2,1)</f>
        <v>0</v>
      </c>
      <c r="K57" s="23">
        <f>'Game Assumptions'!$B$7*'Utility Revenue'!K26*IF('Event Tracker'!K$4=1,2,1)</f>
        <v>0</v>
      </c>
      <c r="L57" s="23">
        <f>'Game Assumptions'!$B$7*'Utility Revenue'!L26*IF('Event Tracker'!L$4=1,2,1)</f>
        <v>0</v>
      </c>
    </row>
    <row r="58" spans="1:12" ht="15.75" thickBot="1" x14ac:dyDescent="0.3">
      <c r="A58" s="37" t="s">
        <v>254</v>
      </c>
      <c r="B58" s="38">
        <f>'Game Assumptions'!B82</f>
        <v>8000000</v>
      </c>
      <c r="C58" s="38">
        <f>B58</f>
        <v>8000000</v>
      </c>
      <c r="D58" s="38">
        <f t="shared" ref="D58:L58" si="2">C58</f>
        <v>8000000</v>
      </c>
      <c r="E58" s="38">
        <f t="shared" si="2"/>
        <v>8000000</v>
      </c>
      <c r="F58" s="38">
        <f t="shared" si="2"/>
        <v>8000000</v>
      </c>
      <c r="G58" s="38">
        <f t="shared" si="2"/>
        <v>8000000</v>
      </c>
      <c r="H58" s="38">
        <f t="shared" si="2"/>
        <v>8000000</v>
      </c>
      <c r="I58" s="38">
        <f t="shared" si="2"/>
        <v>8000000</v>
      </c>
      <c r="J58" s="38">
        <f t="shared" si="2"/>
        <v>8000000</v>
      </c>
      <c r="K58" s="38">
        <f t="shared" si="2"/>
        <v>8000000</v>
      </c>
      <c r="L58" s="38">
        <f t="shared" si="2"/>
        <v>8000000</v>
      </c>
    </row>
    <row r="59" spans="1:12" ht="16.5" thickTop="1" thickBot="1" x14ac:dyDescent="0.3">
      <c r="A59" s="39" t="s">
        <v>114</v>
      </c>
      <c r="B59" s="50">
        <f>SUM(B40:B57)/B58</f>
        <v>9.375</v>
      </c>
      <c r="C59" s="50">
        <f t="shared" ref="C59:L59" si="3">SUM(C40:C57)/C58</f>
        <v>9.375</v>
      </c>
      <c r="D59" s="50">
        <f t="shared" si="3"/>
        <v>9.375</v>
      </c>
      <c r="E59" s="50">
        <f t="shared" si="3"/>
        <v>9.375</v>
      </c>
      <c r="F59" s="50">
        <f t="shared" si="3"/>
        <v>9.375</v>
      </c>
      <c r="G59" s="50">
        <f t="shared" si="3"/>
        <v>9.375</v>
      </c>
      <c r="H59" s="50">
        <f t="shared" si="3"/>
        <v>9.375</v>
      </c>
      <c r="I59" s="50">
        <f t="shared" si="3"/>
        <v>9.375</v>
      </c>
      <c r="J59" s="50">
        <f t="shared" si="3"/>
        <v>9.375</v>
      </c>
      <c r="K59" s="50">
        <f t="shared" si="3"/>
        <v>9.375</v>
      </c>
      <c r="L59" s="50">
        <f t="shared" si="3"/>
        <v>9.375</v>
      </c>
    </row>
    <row r="60" spans="1:12" ht="15.75" thickTop="1" x14ac:dyDescent="0.25">
      <c r="A60" s="39" t="s">
        <v>474</v>
      </c>
      <c r="B60" s="50">
        <f>SUM(B42,B50,B52,B54,B56)/B58</f>
        <v>3.125</v>
      </c>
      <c r="C60" s="50">
        <f t="shared" ref="C60:L60" si="4">SUM(C42,C50,C52,C54,C56)/C58</f>
        <v>3.125</v>
      </c>
      <c r="D60" s="50">
        <f t="shared" si="4"/>
        <v>3.125</v>
      </c>
      <c r="E60" s="50">
        <f t="shared" si="4"/>
        <v>3.125</v>
      </c>
      <c r="F60" s="50">
        <f t="shared" si="4"/>
        <v>3.125</v>
      </c>
      <c r="G60" s="50">
        <f t="shared" si="4"/>
        <v>3.125</v>
      </c>
      <c r="H60" s="50">
        <f t="shared" si="4"/>
        <v>3.125</v>
      </c>
      <c r="I60" s="50">
        <f t="shared" si="4"/>
        <v>3.125</v>
      </c>
      <c r="J60" s="50">
        <f t="shared" si="4"/>
        <v>3.125</v>
      </c>
      <c r="K60" s="50">
        <f t="shared" si="4"/>
        <v>3.125</v>
      </c>
      <c r="L60" s="50">
        <f t="shared" si="4"/>
        <v>3.125</v>
      </c>
    </row>
    <row r="62" spans="1:12" x14ac:dyDescent="0.25">
      <c r="A62" s="9" t="s">
        <v>112</v>
      </c>
      <c r="B62" s="9">
        <v>0</v>
      </c>
      <c r="C62" s="9">
        <v>1</v>
      </c>
      <c r="D62" s="9">
        <v>2</v>
      </c>
      <c r="E62" s="9">
        <v>3</v>
      </c>
      <c r="F62" s="9">
        <v>4</v>
      </c>
      <c r="G62" s="9">
        <v>5</v>
      </c>
      <c r="H62" s="9">
        <v>6</v>
      </c>
      <c r="I62" s="9">
        <v>7</v>
      </c>
      <c r="J62" s="9">
        <v>8</v>
      </c>
      <c r="K62" s="9">
        <v>9</v>
      </c>
      <c r="L62" s="9">
        <v>10</v>
      </c>
    </row>
    <row r="63" spans="1:12" x14ac:dyDescent="0.25">
      <c r="A63" s="24" t="s">
        <v>109</v>
      </c>
    </row>
    <row r="64" spans="1:12" x14ac:dyDescent="0.25">
      <c r="A64" s="28" t="s">
        <v>66</v>
      </c>
      <c r="B64" s="27"/>
      <c r="C64" s="27"/>
      <c r="D64" s="27"/>
      <c r="E64" s="27"/>
      <c r="F64" s="27"/>
      <c r="G64" s="27"/>
      <c r="H64" s="27"/>
      <c r="I64" s="27"/>
      <c r="J64" s="27"/>
      <c r="K64" s="27"/>
      <c r="L64" s="27"/>
    </row>
    <row r="65" spans="1:12" x14ac:dyDescent="0.25">
      <c r="A65" s="26" t="s">
        <v>92</v>
      </c>
      <c r="B65" s="27">
        <f>(1-('Game Assumptions'!$B$7*IF('Event Tracker'!B$4=1,2,1)))*'Utility Revenue'!B9</f>
        <v>75000000</v>
      </c>
      <c r="C65" s="27">
        <f>(1-('Game Assumptions'!$B$7*IF('Event Tracker'!C$4=1,2,1)))*'Utility Revenue'!C9</f>
        <v>75000000</v>
      </c>
      <c r="D65" s="27">
        <f>(1-('Game Assumptions'!$B$7*IF('Event Tracker'!D$4=1,2,1)))*'Utility Revenue'!D9</f>
        <v>75000000</v>
      </c>
      <c r="E65" s="27">
        <f>(1-('Game Assumptions'!$B$7*IF('Event Tracker'!E$4=1,2,1)))*'Utility Revenue'!E9</f>
        <v>75000000</v>
      </c>
      <c r="F65" s="27">
        <f>(1-('Game Assumptions'!$B$7*IF('Event Tracker'!F$4=1,2,1)))*'Utility Revenue'!F9</f>
        <v>75000000</v>
      </c>
      <c r="G65" s="27">
        <f>(1-('Game Assumptions'!$B$7*IF('Event Tracker'!G$4=1,2,1)))*'Utility Revenue'!G9</f>
        <v>75000000</v>
      </c>
      <c r="H65" s="27">
        <f>(1-('Game Assumptions'!$B$7*IF('Event Tracker'!H$4=1,2,1)))*'Utility Revenue'!H9</f>
        <v>75000000</v>
      </c>
      <c r="I65" s="27">
        <f>(1-('Game Assumptions'!$B$7*IF('Event Tracker'!I$4=1,2,1)))*'Utility Revenue'!I9</f>
        <v>75000000</v>
      </c>
      <c r="J65" s="27">
        <f>(1-('Game Assumptions'!$B$7*IF('Event Tracker'!J$4=1,2,1)))*'Utility Revenue'!J9</f>
        <v>75000000</v>
      </c>
      <c r="K65" s="27">
        <f>(1-('Game Assumptions'!$B$7*IF('Event Tracker'!K$4=1,2,1)))*'Utility Revenue'!K9</f>
        <v>75000000</v>
      </c>
      <c r="L65" s="27">
        <f>(1-('Game Assumptions'!$B$7*IF('Event Tracker'!L$4=1,2,1)))*'Utility Revenue'!L9</f>
        <v>75000000</v>
      </c>
    </row>
    <row r="66" spans="1:12" x14ac:dyDescent="0.25">
      <c r="A66" s="26" t="s">
        <v>93</v>
      </c>
      <c r="B66" s="27">
        <f>(1-('Game Assumptions'!$B$7*IF('Event Tracker'!B$4=1,2,1)))*'Utility Revenue'!B10</f>
        <v>75000000</v>
      </c>
      <c r="C66" s="27">
        <f>(1-('Game Assumptions'!$B$7*IF('Event Tracker'!C$4=1,2,1)))*'Utility Revenue'!C10</f>
        <v>75000000</v>
      </c>
      <c r="D66" s="27">
        <f>(1-('Game Assumptions'!$B$7*IF('Event Tracker'!D$4=1,2,1)))*'Utility Revenue'!D10</f>
        <v>75000000</v>
      </c>
      <c r="E66" s="27">
        <f>(1-('Game Assumptions'!$B$7*IF('Event Tracker'!E$4=1,2,1)))*'Utility Revenue'!E10</f>
        <v>75000000</v>
      </c>
      <c r="F66" s="27">
        <f>(1-('Game Assumptions'!$B$7*IF('Event Tracker'!F$4=1,2,1)))*'Utility Revenue'!F10</f>
        <v>75000000</v>
      </c>
      <c r="G66" s="27">
        <f>(1-('Game Assumptions'!$B$7*IF('Event Tracker'!G$4=1,2,1)))*'Utility Revenue'!G10</f>
        <v>75000000</v>
      </c>
      <c r="H66" s="27">
        <f>(1-('Game Assumptions'!$B$7*IF('Event Tracker'!H$4=1,2,1)))*'Utility Revenue'!H10</f>
        <v>75000000</v>
      </c>
      <c r="I66" s="27">
        <f>(1-('Game Assumptions'!$B$7*IF('Event Tracker'!I$4=1,2,1)))*'Utility Revenue'!I10</f>
        <v>75000000</v>
      </c>
      <c r="J66" s="27">
        <f>(1-('Game Assumptions'!$B$7*IF('Event Tracker'!J$4=1,2,1)))*'Utility Revenue'!J10</f>
        <v>75000000</v>
      </c>
      <c r="K66" s="27">
        <f>(1-('Game Assumptions'!$B$7*IF('Event Tracker'!K$4=1,2,1)))*'Utility Revenue'!K10</f>
        <v>75000000</v>
      </c>
      <c r="L66" s="27">
        <f>(1-('Game Assumptions'!$B$7*IF('Event Tracker'!L$4=1,2,1)))*'Utility Revenue'!L10</f>
        <v>75000000</v>
      </c>
    </row>
    <row r="67" spans="1:12" x14ac:dyDescent="0.25">
      <c r="A67" s="29" t="s">
        <v>94</v>
      </c>
      <c r="B67" s="23">
        <f>(1-('Game Assumptions'!$B$7*IF('Event Tracker'!B$4=1,2,1)))*'Utility Revenue'!B11</f>
        <v>75000000</v>
      </c>
      <c r="C67" s="23">
        <f>(1-('Game Assumptions'!$B$7*IF('Event Tracker'!C$4=1,2,1)))*'Utility Revenue'!C11</f>
        <v>75000000</v>
      </c>
      <c r="D67" s="23">
        <f>(1-('Game Assumptions'!$B$7*IF('Event Tracker'!D$4=1,2,1)))*'Utility Revenue'!D11</f>
        <v>75000000</v>
      </c>
      <c r="E67" s="23">
        <f>(1-('Game Assumptions'!$B$7*IF('Event Tracker'!E$4=1,2,1)))*'Utility Revenue'!E11</f>
        <v>75000000</v>
      </c>
      <c r="F67" s="23">
        <f>(1-('Game Assumptions'!$B$7*IF('Event Tracker'!F$4=1,2,1)))*'Utility Revenue'!F11</f>
        <v>75000000</v>
      </c>
      <c r="G67" s="23">
        <f>(1-('Game Assumptions'!$B$7*IF('Event Tracker'!G$4=1,2,1)))*'Utility Revenue'!G11</f>
        <v>75000000</v>
      </c>
      <c r="H67" s="23">
        <f>(1-('Game Assumptions'!$B$7*IF('Event Tracker'!H$4=1,2,1)))*'Utility Revenue'!H11</f>
        <v>75000000</v>
      </c>
      <c r="I67" s="23">
        <f>(1-('Game Assumptions'!$B$7*IF('Event Tracker'!I$4=1,2,1)))*'Utility Revenue'!I11</f>
        <v>75000000</v>
      </c>
      <c r="J67" s="23">
        <f>(1-('Game Assumptions'!$B$7*IF('Event Tracker'!J$4=1,2,1)))*'Utility Revenue'!J11</f>
        <v>75000000</v>
      </c>
      <c r="K67" s="23">
        <f>(1-('Game Assumptions'!$B$7*IF('Event Tracker'!K$4=1,2,1)))*'Utility Revenue'!K11</f>
        <v>75000000</v>
      </c>
      <c r="L67" s="23">
        <f>(1-('Game Assumptions'!$B$7*IF('Event Tracker'!L$4=1,2,1)))*'Utility Revenue'!L11</f>
        <v>75000000</v>
      </c>
    </row>
    <row r="68" spans="1:12" x14ac:dyDescent="0.25">
      <c r="A68" s="4" t="s">
        <v>71</v>
      </c>
    </row>
    <row r="69" spans="1:12" x14ac:dyDescent="0.25">
      <c r="A69" t="s">
        <v>68</v>
      </c>
      <c r="B69" s="7">
        <f>(1-('Game Assumptions'!$B$7*IF('Event Tracker'!B$4=1,2,1)))*'Utility Revenue'!B13</f>
        <v>0</v>
      </c>
      <c r="C69" s="7">
        <f>(1-('Game Assumptions'!$B$7*IF('Event Tracker'!C$4=1,2,1)))*'Utility Revenue'!C13</f>
        <v>0</v>
      </c>
      <c r="D69" s="7">
        <f>(1-('Game Assumptions'!$B$7*IF('Event Tracker'!D$4=1,2,1)))*'Utility Revenue'!D13</f>
        <v>0</v>
      </c>
      <c r="E69" s="7">
        <f>(1-('Game Assumptions'!$B$7*IF('Event Tracker'!E$4=1,2,1)))*'Utility Revenue'!E13</f>
        <v>0</v>
      </c>
      <c r="F69" s="7">
        <f>(1-('Game Assumptions'!$B$7*IF('Event Tracker'!F$4=1,2,1)))*'Utility Revenue'!F13</f>
        <v>0</v>
      </c>
      <c r="G69" s="7">
        <f>(1-('Game Assumptions'!$B$7*IF('Event Tracker'!G$4=1,2,1)))*'Utility Revenue'!G13</f>
        <v>0</v>
      </c>
      <c r="H69" s="7">
        <f>(1-('Game Assumptions'!$B$7*IF('Event Tracker'!H$4=1,2,1)))*'Utility Revenue'!H13</f>
        <v>0</v>
      </c>
      <c r="I69" s="7">
        <f>(1-('Game Assumptions'!$B$7*IF('Event Tracker'!I$4=1,2,1)))*'Utility Revenue'!I13</f>
        <v>0</v>
      </c>
      <c r="J69" s="7">
        <f>(1-('Game Assumptions'!$B$7*IF('Event Tracker'!J$4=1,2,1)))*'Utility Revenue'!J13</f>
        <v>0</v>
      </c>
      <c r="K69" s="7">
        <f>(1-('Game Assumptions'!$B$7*IF('Event Tracker'!K$4=1,2,1)))*'Utility Revenue'!K13</f>
        <v>0</v>
      </c>
      <c r="L69" s="7">
        <f>(1-('Game Assumptions'!$B$7*IF('Event Tracker'!L$4=1,2,1)))*'Utility Revenue'!L13</f>
        <v>0</v>
      </c>
    </row>
    <row r="70" spans="1:12" x14ac:dyDescent="0.25">
      <c r="A70" t="s">
        <v>74</v>
      </c>
      <c r="B70" s="7">
        <f>(1-('Game Assumptions'!$B$7*IF('Event Tracker'!B$4=1,2,1)))*'Utility Revenue'!B14</f>
        <v>0</v>
      </c>
      <c r="C70" s="7">
        <f>(1-('Game Assumptions'!$B$7*IF('Event Tracker'!C$4=1,2,1)))*'Utility Revenue'!C14</f>
        <v>0</v>
      </c>
      <c r="D70" s="7">
        <f>(1-('Game Assumptions'!$B$7*IF('Event Tracker'!D$4=1,2,1)))*'Utility Revenue'!D14</f>
        <v>0</v>
      </c>
      <c r="E70" s="7">
        <f>(1-('Game Assumptions'!$B$7*IF('Event Tracker'!E$4=1,2,1)))*'Utility Revenue'!E14</f>
        <v>0</v>
      </c>
      <c r="F70" s="7">
        <f>(1-('Game Assumptions'!$B$7*IF('Event Tracker'!F$4=1,2,1)))*'Utility Revenue'!F14</f>
        <v>0</v>
      </c>
      <c r="G70" s="7">
        <f>(1-('Game Assumptions'!$B$7*IF('Event Tracker'!G$4=1,2,1)))*'Utility Revenue'!G14</f>
        <v>0</v>
      </c>
      <c r="H70" s="7">
        <f>(1-('Game Assumptions'!$B$7*IF('Event Tracker'!H$4=1,2,1)))*'Utility Revenue'!H14</f>
        <v>0</v>
      </c>
      <c r="I70" s="7">
        <f>(1-('Game Assumptions'!$B$7*IF('Event Tracker'!I$4=1,2,1)))*'Utility Revenue'!I14</f>
        <v>0</v>
      </c>
      <c r="J70" s="7">
        <f>(1-('Game Assumptions'!$B$7*IF('Event Tracker'!J$4=1,2,1)))*'Utility Revenue'!J14</f>
        <v>0</v>
      </c>
      <c r="K70" s="7">
        <f>(1-('Game Assumptions'!$B$7*IF('Event Tracker'!K$4=1,2,1)))*'Utility Revenue'!K14</f>
        <v>0</v>
      </c>
      <c r="L70" s="7">
        <f>(1-('Game Assumptions'!$B$7*IF('Event Tracker'!L$4=1,2,1)))*'Utility Revenue'!L14</f>
        <v>0</v>
      </c>
    </row>
    <row r="71" spans="1:12" x14ac:dyDescent="0.25">
      <c r="A71" t="s">
        <v>69</v>
      </c>
      <c r="B71" s="7">
        <f>(1-('Game Assumptions'!$B$7*IF('Event Tracker'!B$4=1,2,1)))*'Utility Revenue'!B15</f>
        <v>0</v>
      </c>
      <c r="C71" s="7">
        <f>(1-('Game Assumptions'!$B$7*IF('Event Tracker'!C$4=1,2,1)))*'Utility Revenue'!C15</f>
        <v>0</v>
      </c>
      <c r="D71" s="7">
        <f>(1-('Game Assumptions'!$B$7*IF('Event Tracker'!D$4=1,2,1)))*'Utility Revenue'!D15</f>
        <v>0</v>
      </c>
      <c r="E71" s="7">
        <f>(1-('Game Assumptions'!$B$7*IF('Event Tracker'!E$4=1,2,1)))*'Utility Revenue'!E15</f>
        <v>0</v>
      </c>
      <c r="F71" s="7">
        <f>(1-('Game Assumptions'!$B$7*IF('Event Tracker'!F$4=1,2,1)))*'Utility Revenue'!F15</f>
        <v>0</v>
      </c>
      <c r="G71" s="7">
        <f>(1-('Game Assumptions'!$B$7*IF('Event Tracker'!G$4=1,2,1)))*'Utility Revenue'!G15</f>
        <v>0</v>
      </c>
      <c r="H71" s="7">
        <f>(1-('Game Assumptions'!$B$7*IF('Event Tracker'!H$4=1,2,1)))*'Utility Revenue'!H15</f>
        <v>0</v>
      </c>
      <c r="I71" s="7">
        <f>(1-('Game Assumptions'!$B$7*IF('Event Tracker'!I$4=1,2,1)))*'Utility Revenue'!I15</f>
        <v>0</v>
      </c>
      <c r="J71" s="7">
        <f>(1-('Game Assumptions'!$B$7*IF('Event Tracker'!J$4=1,2,1)))*'Utility Revenue'!J15</f>
        <v>0</v>
      </c>
      <c r="K71" s="7">
        <f>(1-('Game Assumptions'!$B$7*IF('Event Tracker'!K$4=1,2,1)))*'Utility Revenue'!K15</f>
        <v>0</v>
      </c>
      <c r="L71" s="7">
        <f>(1-('Game Assumptions'!$B$7*IF('Event Tracker'!L$4=1,2,1)))*'Utility Revenue'!L15</f>
        <v>0</v>
      </c>
    </row>
    <row r="72" spans="1:12" x14ac:dyDescent="0.25">
      <c r="A72" t="s">
        <v>72</v>
      </c>
      <c r="B72" s="7">
        <f>(1-('Game Assumptions'!$B$7*IF('Event Tracker'!B$4=1,2,1)))*'Utility Revenue'!B16</f>
        <v>0</v>
      </c>
      <c r="C72" s="7">
        <f>(1-('Game Assumptions'!$B$7*IF('Event Tracker'!C$4=1,2,1)))*'Utility Revenue'!C16</f>
        <v>0</v>
      </c>
      <c r="D72" s="7">
        <f>(1-('Game Assumptions'!$B$7*IF('Event Tracker'!D$4=1,2,1)))*'Utility Revenue'!D16</f>
        <v>0</v>
      </c>
      <c r="E72" s="7">
        <f>(1-('Game Assumptions'!$B$7*IF('Event Tracker'!E$4=1,2,1)))*'Utility Revenue'!E16</f>
        <v>0</v>
      </c>
      <c r="F72" s="7">
        <f>(1-('Game Assumptions'!$B$7*IF('Event Tracker'!F$4=1,2,1)))*'Utility Revenue'!F16</f>
        <v>0</v>
      </c>
      <c r="G72" s="7">
        <f>(1-('Game Assumptions'!$B$7*IF('Event Tracker'!G$4=1,2,1)))*'Utility Revenue'!G16</f>
        <v>0</v>
      </c>
      <c r="H72" s="7">
        <f>(1-('Game Assumptions'!$B$7*IF('Event Tracker'!H$4=1,2,1)))*'Utility Revenue'!H16</f>
        <v>0</v>
      </c>
      <c r="I72" s="7">
        <f>(1-('Game Assumptions'!$B$7*IF('Event Tracker'!I$4=1,2,1)))*'Utility Revenue'!I16</f>
        <v>0</v>
      </c>
      <c r="J72" s="7">
        <f>(1-('Game Assumptions'!$B$7*IF('Event Tracker'!J$4=1,2,1)))*'Utility Revenue'!J16</f>
        <v>0</v>
      </c>
      <c r="K72" s="7">
        <f>(1-('Game Assumptions'!$B$7*IF('Event Tracker'!K$4=1,2,1)))*'Utility Revenue'!K16</f>
        <v>0</v>
      </c>
      <c r="L72" s="7">
        <f>(1-('Game Assumptions'!$B$7*IF('Event Tracker'!L$4=1,2,1)))*'Utility Revenue'!L16</f>
        <v>0</v>
      </c>
    </row>
    <row r="73" spans="1:12" x14ac:dyDescent="0.25">
      <c r="A73" t="s">
        <v>73</v>
      </c>
      <c r="B73" s="7">
        <f>(1-('Game Assumptions'!$B$7*IF('Event Tracker'!B$4=1,2,1)))*'Utility Revenue'!B17</f>
        <v>0</v>
      </c>
      <c r="C73" s="7">
        <f>(1-('Game Assumptions'!$B$7*IF('Event Tracker'!C$4=1,2,1)))*'Utility Revenue'!C17</f>
        <v>0</v>
      </c>
      <c r="D73" s="7">
        <f>(1-('Game Assumptions'!$B$7*IF('Event Tracker'!D$4=1,2,1)))*'Utility Revenue'!D17</f>
        <v>0</v>
      </c>
      <c r="E73" s="7">
        <f>(1-('Game Assumptions'!$B$7*IF('Event Tracker'!E$4=1,2,1)))*'Utility Revenue'!E17</f>
        <v>0</v>
      </c>
      <c r="F73" s="7">
        <f>(1-('Game Assumptions'!$B$7*IF('Event Tracker'!F$4=1,2,1)))*'Utility Revenue'!F17</f>
        <v>0</v>
      </c>
      <c r="G73" s="7">
        <f>(1-('Game Assumptions'!$B$7*IF('Event Tracker'!G$4=1,2,1)))*'Utility Revenue'!G17</f>
        <v>0</v>
      </c>
      <c r="H73" s="7">
        <f>(1-('Game Assumptions'!$B$7*IF('Event Tracker'!H$4=1,2,1)))*'Utility Revenue'!H17</f>
        <v>0</v>
      </c>
      <c r="I73" s="7">
        <f>(1-('Game Assumptions'!$B$7*IF('Event Tracker'!I$4=1,2,1)))*'Utility Revenue'!I17</f>
        <v>0</v>
      </c>
      <c r="J73" s="7">
        <f>(1-('Game Assumptions'!$B$7*IF('Event Tracker'!J$4=1,2,1)))*'Utility Revenue'!J17</f>
        <v>0</v>
      </c>
      <c r="K73" s="7">
        <f>(1-('Game Assumptions'!$B$7*IF('Event Tracker'!K$4=1,2,1)))*'Utility Revenue'!K17</f>
        <v>0</v>
      </c>
      <c r="L73" s="7">
        <f>(1-('Game Assumptions'!$B$7*IF('Event Tracker'!L$4=1,2,1)))*'Utility Revenue'!L17</f>
        <v>0</v>
      </c>
    </row>
    <row r="74" spans="1:12" x14ac:dyDescent="0.25">
      <c r="A74" t="s">
        <v>70</v>
      </c>
      <c r="B74" s="7">
        <f>(1-('Game Assumptions'!$B$7*IF('Event Tracker'!B$4=1,2,1)))*'Utility Revenue'!B18</f>
        <v>0</v>
      </c>
      <c r="C74" s="7">
        <f>(1-('Game Assumptions'!$B$7*IF('Event Tracker'!C$4=1,2,1)))*'Utility Revenue'!C18</f>
        <v>0</v>
      </c>
      <c r="D74" s="7">
        <f>(1-('Game Assumptions'!$B$7*IF('Event Tracker'!D$4=1,2,1)))*'Utility Revenue'!D18</f>
        <v>0</v>
      </c>
      <c r="E74" s="7">
        <f>(1-('Game Assumptions'!$B$7*IF('Event Tracker'!E$4=1,2,1)))*'Utility Revenue'!E18</f>
        <v>0</v>
      </c>
      <c r="F74" s="7">
        <f>(1-('Game Assumptions'!$B$7*IF('Event Tracker'!F$4=1,2,1)))*'Utility Revenue'!F18</f>
        <v>0</v>
      </c>
      <c r="G74" s="7">
        <f>(1-('Game Assumptions'!$B$7*IF('Event Tracker'!G$4=1,2,1)))*'Utility Revenue'!G18</f>
        <v>0</v>
      </c>
      <c r="H74" s="7">
        <f>(1-('Game Assumptions'!$B$7*IF('Event Tracker'!H$4=1,2,1)))*'Utility Revenue'!H18</f>
        <v>0</v>
      </c>
      <c r="I74" s="7">
        <f>(1-('Game Assumptions'!$B$7*IF('Event Tracker'!I$4=1,2,1)))*'Utility Revenue'!I18</f>
        <v>0</v>
      </c>
      <c r="J74" s="7">
        <f>(1-('Game Assumptions'!$B$7*IF('Event Tracker'!J$4=1,2,1)))*'Utility Revenue'!J18</f>
        <v>0</v>
      </c>
      <c r="K74" s="7">
        <f>(1-('Game Assumptions'!$B$7*IF('Event Tracker'!K$4=1,2,1)))*'Utility Revenue'!K18</f>
        <v>0</v>
      </c>
      <c r="L74" s="7">
        <f>(1-('Game Assumptions'!$B$7*IF('Event Tracker'!L$4=1,2,1)))*'Utility Revenue'!L18</f>
        <v>0</v>
      </c>
    </row>
    <row r="75" spans="1:12" x14ac:dyDescent="0.25">
      <c r="A75" s="12" t="s">
        <v>75</v>
      </c>
      <c r="B75" s="7">
        <f>(1-('Game Assumptions'!$B$7*IF('Event Tracker'!B$4=1,2,1)))*'Utility Revenue'!B19</f>
        <v>0</v>
      </c>
      <c r="C75" s="7">
        <f>(1-('Game Assumptions'!$B$7*IF('Event Tracker'!C$4=1,2,1)))*'Utility Revenue'!C19</f>
        <v>0</v>
      </c>
      <c r="D75" s="7">
        <f>(1-('Game Assumptions'!$B$7*IF('Event Tracker'!D$4=1,2,1)))*'Utility Revenue'!D19</f>
        <v>0</v>
      </c>
      <c r="E75" s="7">
        <f>(1-('Game Assumptions'!$B$7*IF('Event Tracker'!E$4=1,2,1)))*'Utility Revenue'!E19</f>
        <v>0</v>
      </c>
      <c r="F75" s="7">
        <f>(1-('Game Assumptions'!$B$7*IF('Event Tracker'!F$4=1,2,1)))*'Utility Revenue'!F19</f>
        <v>0</v>
      </c>
      <c r="G75" s="7">
        <f>(1-('Game Assumptions'!$B$7*IF('Event Tracker'!G$4=1,2,1)))*'Utility Revenue'!G19</f>
        <v>0</v>
      </c>
      <c r="H75" s="7">
        <f>(1-('Game Assumptions'!$B$7*IF('Event Tracker'!H$4=1,2,1)))*'Utility Revenue'!H19</f>
        <v>0</v>
      </c>
      <c r="I75" s="7">
        <f>(1-('Game Assumptions'!$B$7*IF('Event Tracker'!I$4=1,2,1)))*'Utility Revenue'!I19</f>
        <v>0</v>
      </c>
      <c r="J75" s="7">
        <f>(1-('Game Assumptions'!$B$7*IF('Event Tracker'!J$4=1,2,1)))*'Utility Revenue'!J19</f>
        <v>0</v>
      </c>
      <c r="K75" s="7">
        <f>(1-('Game Assumptions'!$B$7*IF('Event Tracker'!K$4=1,2,1)))*'Utility Revenue'!K19</f>
        <v>0</v>
      </c>
      <c r="L75" s="7">
        <f>(1-('Game Assumptions'!$B$7*IF('Event Tracker'!L$4=1,2,1)))*'Utility Revenue'!L19</f>
        <v>0</v>
      </c>
    </row>
    <row r="76" spans="1:12" x14ac:dyDescent="0.25">
      <c r="A76" t="s">
        <v>340</v>
      </c>
      <c r="B76" s="7">
        <f>(1-('Game Assumptions'!$B$7*IF('Event Tracker'!B$4=1,2,1)))*'Utility Revenue'!B20</f>
        <v>0</v>
      </c>
      <c r="C76" s="7">
        <f>(1-('Game Assumptions'!$B$7*IF('Event Tracker'!C$4=1,2,1)))*'Utility Revenue'!C20</f>
        <v>0</v>
      </c>
      <c r="D76" s="7">
        <f>(1-('Game Assumptions'!$B$7*IF('Event Tracker'!D$4=1,2,1)))*'Utility Revenue'!D20</f>
        <v>0</v>
      </c>
      <c r="E76" s="7">
        <f>(1-('Game Assumptions'!$B$7*IF('Event Tracker'!E$4=1,2,1)))*'Utility Revenue'!E20</f>
        <v>0</v>
      </c>
      <c r="F76" s="7">
        <f>(1-('Game Assumptions'!$B$7*IF('Event Tracker'!F$4=1,2,1)))*'Utility Revenue'!F20</f>
        <v>0</v>
      </c>
      <c r="G76" s="7">
        <f>(1-('Game Assumptions'!$B$7*IF('Event Tracker'!G$4=1,2,1)))*'Utility Revenue'!G20</f>
        <v>0</v>
      </c>
      <c r="H76" s="7">
        <f>(1-('Game Assumptions'!$B$7*IF('Event Tracker'!H$4=1,2,1)))*'Utility Revenue'!H20</f>
        <v>0</v>
      </c>
      <c r="I76" s="7">
        <f>(1-('Game Assumptions'!$B$7*IF('Event Tracker'!I$4=1,2,1)))*'Utility Revenue'!I20</f>
        <v>0</v>
      </c>
      <c r="J76" s="7">
        <f>(1-('Game Assumptions'!$B$7*IF('Event Tracker'!J$4=1,2,1)))*'Utility Revenue'!J20</f>
        <v>0</v>
      </c>
      <c r="K76" s="7">
        <f>(1-('Game Assumptions'!$B$7*IF('Event Tracker'!K$4=1,2,1)))*'Utility Revenue'!K20</f>
        <v>0</v>
      </c>
      <c r="L76" s="7">
        <f>(1-('Game Assumptions'!$B$7*IF('Event Tracker'!L$4=1,2,1)))*'Utility Revenue'!L20</f>
        <v>0</v>
      </c>
    </row>
    <row r="77" spans="1:12" x14ac:dyDescent="0.25">
      <c r="A77" t="s">
        <v>341</v>
      </c>
      <c r="B77" s="7">
        <f>(1-('Game Assumptions'!$B$7*IF('Event Tracker'!B$4=1,2,1)))*'Utility Revenue'!B21</f>
        <v>0</v>
      </c>
      <c r="C77" s="7">
        <f>(1-('Game Assumptions'!$B$7*IF('Event Tracker'!C$4=1,2,1)))*'Utility Revenue'!C21</f>
        <v>0</v>
      </c>
      <c r="D77" s="7">
        <f>(1-('Game Assumptions'!$B$7*IF('Event Tracker'!D$4=1,2,1)))*'Utility Revenue'!D21</f>
        <v>0</v>
      </c>
      <c r="E77" s="7">
        <f>(1-('Game Assumptions'!$B$7*IF('Event Tracker'!E$4=1,2,1)))*'Utility Revenue'!E21</f>
        <v>0</v>
      </c>
      <c r="F77" s="7">
        <f>(1-('Game Assumptions'!$B$7*IF('Event Tracker'!F$4=1,2,1)))*'Utility Revenue'!F21</f>
        <v>0</v>
      </c>
      <c r="G77" s="7">
        <f>(1-('Game Assumptions'!$B$7*IF('Event Tracker'!G$4=1,2,1)))*'Utility Revenue'!G21</f>
        <v>0</v>
      </c>
      <c r="H77" s="7">
        <f>(1-('Game Assumptions'!$B$7*IF('Event Tracker'!H$4=1,2,1)))*'Utility Revenue'!H21</f>
        <v>0</v>
      </c>
      <c r="I77" s="7">
        <f>(1-('Game Assumptions'!$B$7*IF('Event Tracker'!I$4=1,2,1)))*'Utility Revenue'!I21</f>
        <v>0</v>
      </c>
      <c r="J77" s="7">
        <f>(1-('Game Assumptions'!$B$7*IF('Event Tracker'!J$4=1,2,1)))*'Utility Revenue'!J21</f>
        <v>0</v>
      </c>
      <c r="K77" s="7">
        <f>(1-('Game Assumptions'!$B$7*IF('Event Tracker'!K$4=1,2,1)))*'Utility Revenue'!K21</f>
        <v>0</v>
      </c>
      <c r="L77" s="7">
        <f>(1-('Game Assumptions'!$B$7*IF('Event Tracker'!L$4=1,2,1)))*'Utility Revenue'!L21</f>
        <v>0</v>
      </c>
    </row>
    <row r="78" spans="1:12" x14ac:dyDescent="0.25">
      <c r="A78" t="s">
        <v>342</v>
      </c>
      <c r="B78" s="7">
        <f>(1-('Game Assumptions'!$B$7*IF('Event Tracker'!B$4=1,2,1)))*'Utility Revenue'!B22</f>
        <v>0</v>
      </c>
      <c r="C78" s="7">
        <f>(1-('Game Assumptions'!$B$7*IF('Event Tracker'!C$4=1,2,1)))*'Utility Revenue'!C22</f>
        <v>0</v>
      </c>
      <c r="D78" s="7">
        <f>(1-('Game Assumptions'!$B$7*IF('Event Tracker'!D$4=1,2,1)))*'Utility Revenue'!D22</f>
        <v>0</v>
      </c>
      <c r="E78" s="7">
        <f>(1-('Game Assumptions'!$B$7*IF('Event Tracker'!E$4=1,2,1)))*'Utility Revenue'!E22</f>
        <v>0</v>
      </c>
      <c r="F78" s="7">
        <f>(1-('Game Assumptions'!$B$7*IF('Event Tracker'!F$4=1,2,1)))*'Utility Revenue'!F22</f>
        <v>0</v>
      </c>
      <c r="G78" s="7">
        <f>(1-('Game Assumptions'!$B$7*IF('Event Tracker'!G$4=1,2,1)))*'Utility Revenue'!G22</f>
        <v>0</v>
      </c>
      <c r="H78" s="7">
        <f>(1-('Game Assumptions'!$B$7*IF('Event Tracker'!H$4=1,2,1)))*'Utility Revenue'!H22</f>
        <v>0</v>
      </c>
      <c r="I78" s="7">
        <f>(1-('Game Assumptions'!$B$7*IF('Event Tracker'!I$4=1,2,1)))*'Utility Revenue'!I22</f>
        <v>0</v>
      </c>
      <c r="J78" s="7">
        <f>(1-('Game Assumptions'!$B$7*IF('Event Tracker'!J$4=1,2,1)))*'Utility Revenue'!J22</f>
        <v>0</v>
      </c>
      <c r="K78" s="7">
        <f>(1-('Game Assumptions'!$B$7*IF('Event Tracker'!K$4=1,2,1)))*'Utility Revenue'!K22</f>
        <v>0</v>
      </c>
      <c r="L78" s="7">
        <f>(1-('Game Assumptions'!$B$7*IF('Event Tracker'!L$4=1,2,1)))*'Utility Revenue'!L22</f>
        <v>0</v>
      </c>
    </row>
    <row r="79" spans="1:12" x14ac:dyDescent="0.25">
      <c r="A79" t="s">
        <v>343</v>
      </c>
      <c r="B79" s="7">
        <f>(1-('Game Assumptions'!$B$7*IF('Event Tracker'!B$4=1,2,1)))*'Utility Revenue'!B23</f>
        <v>0</v>
      </c>
      <c r="C79" s="7">
        <f>(1-('Game Assumptions'!$B$7*IF('Event Tracker'!C$4=1,2,1)))*'Utility Revenue'!C23</f>
        <v>0</v>
      </c>
      <c r="D79" s="7">
        <f>(1-('Game Assumptions'!$B$7*IF('Event Tracker'!D$4=1,2,1)))*'Utility Revenue'!D23</f>
        <v>0</v>
      </c>
      <c r="E79" s="7">
        <f>(1-('Game Assumptions'!$B$7*IF('Event Tracker'!E$4=1,2,1)))*'Utility Revenue'!E23</f>
        <v>0</v>
      </c>
      <c r="F79" s="7">
        <f>(1-('Game Assumptions'!$B$7*IF('Event Tracker'!F$4=1,2,1)))*'Utility Revenue'!F23</f>
        <v>0</v>
      </c>
      <c r="G79" s="7">
        <f>(1-('Game Assumptions'!$B$7*IF('Event Tracker'!G$4=1,2,1)))*'Utility Revenue'!G23</f>
        <v>0</v>
      </c>
      <c r="H79" s="7">
        <f>(1-('Game Assumptions'!$B$7*IF('Event Tracker'!H$4=1,2,1)))*'Utility Revenue'!H23</f>
        <v>0</v>
      </c>
      <c r="I79" s="7">
        <f>(1-('Game Assumptions'!$B$7*IF('Event Tracker'!I$4=1,2,1)))*'Utility Revenue'!I23</f>
        <v>0</v>
      </c>
      <c r="J79" s="7">
        <f>(1-('Game Assumptions'!$B$7*IF('Event Tracker'!J$4=1,2,1)))*'Utility Revenue'!J23</f>
        <v>0</v>
      </c>
      <c r="K79" s="7">
        <f>(1-('Game Assumptions'!$B$7*IF('Event Tracker'!K$4=1,2,1)))*'Utility Revenue'!K23</f>
        <v>0</v>
      </c>
      <c r="L79" s="7">
        <f>(1-('Game Assumptions'!$B$7*IF('Event Tracker'!L$4=1,2,1)))*'Utility Revenue'!L23</f>
        <v>0</v>
      </c>
    </row>
    <row r="80" spans="1:12" x14ac:dyDescent="0.25">
      <c r="A80" s="12" t="s">
        <v>95</v>
      </c>
      <c r="B80" s="7">
        <f>(1-('Game Assumptions'!$B$7*IF('Event Tracker'!B$4=1,2,1)))*'Utility Revenue'!B24</f>
        <v>0</v>
      </c>
      <c r="C80" s="7">
        <f>(1-('Game Assumptions'!$B$7*IF('Event Tracker'!C$4=1,2,1)))*'Utility Revenue'!C24</f>
        <v>0</v>
      </c>
      <c r="D80" s="7">
        <f>(1-('Game Assumptions'!$B$7*IF('Event Tracker'!D$4=1,2,1)))*'Utility Revenue'!D24</f>
        <v>0</v>
      </c>
      <c r="E80" s="7">
        <f>(1-('Game Assumptions'!$B$7*IF('Event Tracker'!E$4=1,2,1)))*'Utility Revenue'!E24</f>
        <v>0</v>
      </c>
      <c r="F80" s="7">
        <f>(1-('Game Assumptions'!$B$7*IF('Event Tracker'!F$4=1,2,1)))*'Utility Revenue'!F24</f>
        <v>0</v>
      </c>
      <c r="G80" s="7">
        <f>(1-('Game Assumptions'!$B$7*IF('Event Tracker'!G$4=1,2,1)))*'Utility Revenue'!G24</f>
        <v>0</v>
      </c>
      <c r="H80" s="7">
        <f>(1-('Game Assumptions'!$B$7*IF('Event Tracker'!H$4=1,2,1)))*'Utility Revenue'!H24</f>
        <v>0</v>
      </c>
      <c r="I80" s="7">
        <f>(1-('Game Assumptions'!$B$7*IF('Event Tracker'!I$4=1,2,1)))*'Utility Revenue'!I24</f>
        <v>0</v>
      </c>
      <c r="J80" s="7">
        <f>(1-('Game Assumptions'!$B$7*IF('Event Tracker'!J$4=1,2,1)))*'Utility Revenue'!J24</f>
        <v>0</v>
      </c>
      <c r="K80" s="7">
        <f>(1-('Game Assumptions'!$B$7*IF('Event Tracker'!K$4=1,2,1)))*'Utility Revenue'!K24</f>
        <v>0</v>
      </c>
      <c r="L80" s="7">
        <f>(1-('Game Assumptions'!$B$7*IF('Event Tracker'!L$4=1,2,1)))*'Utility Revenue'!L24</f>
        <v>0</v>
      </c>
    </row>
    <row r="81" spans="1:12" x14ac:dyDescent="0.25">
      <c r="A81" s="12" t="s">
        <v>96</v>
      </c>
      <c r="B81" s="7">
        <f>(1-('Game Assumptions'!$B$7*IF('Event Tracker'!B$4=1,2,1)))*'Utility Revenue'!B25</f>
        <v>0</v>
      </c>
      <c r="C81" s="7">
        <f>(1-('Game Assumptions'!$B$7*IF('Event Tracker'!C$4=1,2,1)))*'Utility Revenue'!C25</f>
        <v>0</v>
      </c>
      <c r="D81" s="7">
        <f>(1-('Game Assumptions'!$B$7*IF('Event Tracker'!D$4=1,2,1)))*'Utility Revenue'!D25</f>
        <v>0</v>
      </c>
      <c r="E81" s="7">
        <f>(1-('Game Assumptions'!$B$7*IF('Event Tracker'!E$4=1,2,1)))*'Utility Revenue'!E25</f>
        <v>0</v>
      </c>
      <c r="F81" s="7">
        <f>(1-('Game Assumptions'!$B$7*IF('Event Tracker'!F$4=1,2,1)))*'Utility Revenue'!F25</f>
        <v>0</v>
      </c>
      <c r="G81" s="7">
        <f>(1-('Game Assumptions'!$B$7*IF('Event Tracker'!G$4=1,2,1)))*'Utility Revenue'!G25</f>
        <v>0</v>
      </c>
      <c r="H81" s="7">
        <f>(1-('Game Assumptions'!$B$7*IF('Event Tracker'!H$4=1,2,1)))*'Utility Revenue'!H25</f>
        <v>0</v>
      </c>
      <c r="I81" s="7">
        <f>(1-('Game Assumptions'!$B$7*IF('Event Tracker'!I$4=1,2,1)))*'Utility Revenue'!I25</f>
        <v>0</v>
      </c>
      <c r="J81" s="7">
        <f>(1-('Game Assumptions'!$B$7*IF('Event Tracker'!J$4=1,2,1)))*'Utility Revenue'!J25</f>
        <v>0</v>
      </c>
      <c r="K81" s="7">
        <f>(1-('Game Assumptions'!$B$7*IF('Event Tracker'!K$4=1,2,1)))*'Utility Revenue'!K25</f>
        <v>0</v>
      </c>
      <c r="L81" s="7">
        <f>(1-('Game Assumptions'!$B$7*IF('Event Tracker'!L$4=1,2,1)))*'Utility Revenue'!L25</f>
        <v>0</v>
      </c>
    </row>
    <row r="82" spans="1:12" x14ac:dyDescent="0.25">
      <c r="A82" s="22" t="s">
        <v>458</v>
      </c>
      <c r="B82" s="23">
        <f>(1-('Game Assumptions'!$B$7*IF('Event Tracker'!B$4=1,2,1)))*'Utility Revenue'!B26</f>
        <v>0</v>
      </c>
      <c r="C82" s="23">
        <f>(1-('Game Assumptions'!$B$7*IF('Event Tracker'!C$4=1,2,1)))*'Utility Revenue'!C26</f>
        <v>0</v>
      </c>
      <c r="D82" s="23">
        <f>(1-('Game Assumptions'!$B$7*IF('Event Tracker'!D$4=1,2,1)))*'Utility Revenue'!D26</f>
        <v>0</v>
      </c>
      <c r="E82" s="23">
        <f>(1-('Game Assumptions'!$B$7*IF('Event Tracker'!E$4=1,2,1)))*'Utility Revenue'!E26</f>
        <v>0</v>
      </c>
      <c r="F82" s="23">
        <f>(1-('Game Assumptions'!$B$7*IF('Event Tracker'!F$4=1,2,1)))*'Utility Revenue'!F26</f>
        <v>0</v>
      </c>
      <c r="G82" s="23">
        <f>(1-('Game Assumptions'!$B$7*IF('Event Tracker'!G$4=1,2,1)))*'Utility Revenue'!G26</f>
        <v>0</v>
      </c>
      <c r="H82" s="23">
        <f>(1-('Game Assumptions'!$B$7*IF('Event Tracker'!H$4=1,2,1)))*'Utility Revenue'!H26</f>
        <v>0</v>
      </c>
      <c r="I82" s="23">
        <f>(1-('Game Assumptions'!$B$7*IF('Event Tracker'!I$4=1,2,1)))*'Utility Revenue'!I26</f>
        <v>0</v>
      </c>
      <c r="J82" s="23">
        <f>(1-('Game Assumptions'!$B$7*IF('Event Tracker'!J$4=1,2,1)))*'Utility Revenue'!J26</f>
        <v>0</v>
      </c>
      <c r="K82" s="23">
        <f>(1-('Game Assumptions'!$B$7*IF('Event Tracker'!K$4=1,2,1)))*'Utility Revenue'!K26</f>
        <v>0</v>
      </c>
      <c r="L82" s="23">
        <f>(1-('Game Assumptions'!$B$7*IF('Event Tracker'!L$4=1,2,1)))*'Utility Revenue'!L26</f>
        <v>0</v>
      </c>
    </row>
    <row r="83" spans="1:12" x14ac:dyDescent="0.25">
      <c r="A83" s="24" t="s">
        <v>108</v>
      </c>
      <c r="B83" s="31"/>
      <c r="C83" s="31"/>
      <c r="D83" s="31"/>
      <c r="E83" s="31"/>
      <c r="F83" s="31"/>
      <c r="G83" s="31"/>
      <c r="H83" s="31"/>
      <c r="I83" s="31"/>
      <c r="J83" s="31"/>
      <c r="K83" s="31"/>
      <c r="L83" s="31"/>
    </row>
    <row r="84" spans="1:12" x14ac:dyDescent="0.25">
      <c r="A84" s="4" t="s">
        <v>106</v>
      </c>
    </row>
    <row r="85" spans="1:12" x14ac:dyDescent="0.25">
      <c r="A85" t="s">
        <v>83</v>
      </c>
      <c r="B85" s="7">
        <f t="shared" ref="B85:L85" si="5">B29</f>
        <v>87508900</v>
      </c>
      <c r="C85" s="7">
        <f t="shared" si="5"/>
        <v>78152500</v>
      </c>
      <c r="D85" s="7">
        <f t="shared" si="5"/>
        <v>78152500</v>
      </c>
      <c r="E85" s="7">
        <f t="shared" si="5"/>
        <v>31512500</v>
      </c>
      <c r="F85" s="7">
        <f t="shared" si="5"/>
        <v>31512500</v>
      </c>
      <c r="G85" s="7">
        <f t="shared" si="5"/>
        <v>28393700</v>
      </c>
      <c r="H85" s="7">
        <f t="shared" si="5"/>
        <v>28393700</v>
      </c>
      <c r="I85" s="7">
        <f t="shared" si="5"/>
        <v>28393700</v>
      </c>
      <c r="J85" s="7">
        <f t="shared" si="5"/>
        <v>28393700</v>
      </c>
      <c r="K85" s="7">
        <f t="shared" si="5"/>
        <v>28393700</v>
      </c>
      <c r="L85" s="7">
        <f t="shared" si="5"/>
        <v>28393700</v>
      </c>
    </row>
    <row r="86" spans="1:12" x14ac:dyDescent="0.25">
      <c r="A86" t="s">
        <v>84</v>
      </c>
      <c r="B86" s="7">
        <f t="shared" ref="B86:L86" si="6">B30</f>
        <v>34089442.200000003</v>
      </c>
      <c r="C86" s="7">
        <f t="shared" si="6"/>
        <v>33733932.299999997</v>
      </c>
      <c r="D86" s="7">
        <f t="shared" si="6"/>
        <v>38143545.299999997</v>
      </c>
      <c r="E86" s="7">
        <f t="shared" si="6"/>
        <v>33682681.799999997</v>
      </c>
      <c r="F86" s="7">
        <f t="shared" si="6"/>
        <v>33682681.799999997</v>
      </c>
      <c r="G86" s="7">
        <f t="shared" si="6"/>
        <v>31333249.800000001</v>
      </c>
      <c r="H86" s="7">
        <f t="shared" si="6"/>
        <v>31333249.800000001</v>
      </c>
      <c r="I86" s="7">
        <f t="shared" si="6"/>
        <v>31333249.800000001</v>
      </c>
      <c r="J86" s="7">
        <f t="shared" si="6"/>
        <v>31333249.800000001</v>
      </c>
      <c r="K86" s="7">
        <f t="shared" si="6"/>
        <v>31333249.800000001</v>
      </c>
      <c r="L86" s="7">
        <f t="shared" si="6"/>
        <v>31333249.800000001</v>
      </c>
    </row>
    <row r="87" spans="1:12" x14ac:dyDescent="0.25">
      <c r="A87" s="12" t="s">
        <v>85</v>
      </c>
      <c r="B87" s="7">
        <f t="shared" ref="B87:L87" si="7">B31</f>
        <v>156582030.59999999</v>
      </c>
      <c r="C87" s="7">
        <f t="shared" si="7"/>
        <v>160536709.80000001</v>
      </c>
      <c r="D87" s="7">
        <f t="shared" si="7"/>
        <v>167041593</v>
      </c>
      <c r="E87" s="7">
        <f t="shared" si="7"/>
        <v>150918418.80000001</v>
      </c>
      <c r="F87" s="7">
        <f t="shared" si="7"/>
        <v>150564690</v>
      </c>
      <c r="G87" s="7">
        <f t="shared" si="7"/>
        <v>142066789.19999999</v>
      </c>
      <c r="H87" s="7">
        <f t="shared" si="7"/>
        <v>154579748.40000001</v>
      </c>
      <c r="I87" s="7">
        <f t="shared" si="7"/>
        <v>167092707.59999999</v>
      </c>
      <c r="J87" s="7">
        <f t="shared" si="7"/>
        <v>174744918</v>
      </c>
      <c r="K87" s="7">
        <f t="shared" si="7"/>
        <v>179197407</v>
      </c>
      <c r="L87" s="7">
        <f t="shared" si="7"/>
        <v>184221748.79999998</v>
      </c>
    </row>
    <row r="88" spans="1:12" ht="15.75" thickBot="1" x14ac:dyDescent="0.3">
      <c r="A88" s="75" t="s">
        <v>245</v>
      </c>
      <c r="B88" s="36"/>
      <c r="C88" s="36"/>
      <c r="D88" s="36"/>
      <c r="E88" s="36"/>
      <c r="F88" s="36"/>
      <c r="G88" s="36"/>
      <c r="H88" s="36"/>
      <c r="I88" s="36"/>
      <c r="J88" s="36"/>
      <c r="K88" s="36"/>
      <c r="L88" s="36"/>
    </row>
    <row r="89" spans="1:12" ht="15.75" thickTop="1" x14ac:dyDescent="0.25">
      <c r="A89" s="71" t="s">
        <v>246</v>
      </c>
      <c r="B89" s="27">
        <f t="shared" ref="B89:L89" si="8">B33</f>
        <v>29791461.006910168</v>
      </c>
      <c r="C89" s="27">
        <f t="shared" si="8"/>
        <v>29791461.006910168</v>
      </c>
      <c r="D89" s="27">
        <f t="shared" si="8"/>
        <v>29791461.006910168</v>
      </c>
      <c r="E89" s="27">
        <f t="shared" si="8"/>
        <v>29791461.006910168</v>
      </c>
      <c r="F89" s="27">
        <f t="shared" si="8"/>
        <v>29791461.006910168</v>
      </c>
      <c r="G89" s="27">
        <f t="shared" si="8"/>
        <v>29791461.006910168</v>
      </c>
      <c r="H89" s="27">
        <f t="shared" si="8"/>
        <v>29791461.006910168</v>
      </c>
      <c r="I89" s="27">
        <f t="shared" si="8"/>
        <v>29791461.006910168</v>
      </c>
      <c r="J89" s="27">
        <f t="shared" si="8"/>
        <v>29791461.006910168</v>
      </c>
      <c r="K89" s="27">
        <f t="shared" si="8"/>
        <v>29791461.006910168</v>
      </c>
      <c r="L89" s="27">
        <f t="shared" si="8"/>
        <v>29791461.006910168</v>
      </c>
    </row>
    <row r="90" spans="1:12" x14ac:dyDescent="0.25">
      <c r="A90" s="72" t="s">
        <v>248</v>
      </c>
      <c r="B90" s="27">
        <f t="shared" ref="B90:L90" si="9">B34</f>
        <v>424000</v>
      </c>
      <c r="C90" s="27">
        <f t="shared" si="9"/>
        <v>424000</v>
      </c>
      <c r="D90" s="27">
        <f t="shared" si="9"/>
        <v>424000</v>
      </c>
      <c r="E90" s="27">
        <f t="shared" si="9"/>
        <v>424000</v>
      </c>
      <c r="F90" s="27">
        <f t="shared" si="9"/>
        <v>424000</v>
      </c>
      <c r="G90" s="27">
        <f t="shared" si="9"/>
        <v>424000</v>
      </c>
      <c r="H90" s="27">
        <f t="shared" si="9"/>
        <v>424000</v>
      </c>
      <c r="I90" s="27">
        <f t="shared" si="9"/>
        <v>424000</v>
      </c>
      <c r="J90" s="27">
        <f t="shared" si="9"/>
        <v>424000</v>
      </c>
      <c r="K90" s="27">
        <f t="shared" si="9"/>
        <v>424000</v>
      </c>
      <c r="L90" s="27">
        <f t="shared" si="9"/>
        <v>424000</v>
      </c>
    </row>
    <row r="91" spans="1:12" x14ac:dyDescent="0.25">
      <c r="A91" s="34" t="s">
        <v>116</v>
      </c>
      <c r="B91" s="41">
        <f>SUM(B87,B86,B85,B69:B82,B65:B67,B89:B90)</f>
        <v>533395833.80691016</v>
      </c>
      <c r="C91" s="41">
        <f t="shared" ref="C91:L91" si="10">SUM(C87,C86,C85,C69:C82,C65:C67,C89:C90)</f>
        <v>527638603.10691017</v>
      </c>
      <c r="D91" s="41">
        <f t="shared" si="10"/>
        <v>538553099.30691016</v>
      </c>
      <c r="E91" s="41">
        <f t="shared" si="10"/>
        <v>471329061.60691017</v>
      </c>
      <c r="F91" s="41">
        <f t="shared" si="10"/>
        <v>470975332.80691016</v>
      </c>
      <c r="G91" s="41">
        <f t="shared" si="10"/>
        <v>457009200.00691015</v>
      </c>
      <c r="H91" s="41">
        <f t="shared" si="10"/>
        <v>469522159.20691019</v>
      </c>
      <c r="I91" s="41">
        <f t="shared" si="10"/>
        <v>482035118.40691012</v>
      </c>
      <c r="J91" s="41">
        <f t="shared" si="10"/>
        <v>489687328.80691016</v>
      </c>
      <c r="K91" s="41">
        <f t="shared" si="10"/>
        <v>494139817.80691016</v>
      </c>
      <c r="L91" s="41">
        <f t="shared" si="10"/>
        <v>499164159.60691017</v>
      </c>
    </row>
    <row r="92" spans="1:12" ht="15.75" thickBot="1" x14ac:dyDescent="0.3">
      <c r="A92" s="40" t="s">
        <v>115</v>
      </c>
      <c r="B92" s="38">
        <f>'Resource Mix and Demand'!B57</f>
        <v>9000000</v>
      </c>
      <c r="C92" s="38">
        <f>'Resource Mix and Demand'!C57</f>
        <v>8800000</v>
      </c>
      <c r="D92" s="38">
        <f>'Resource Mix and Demand'!D57</f>
        <v>8700000</v>
      </c>
      <c r="E92" s="38">
        <f>'Resource Mix and Demand'!E57</f>
        <v>8500000</v>
      </c>
      <c r="F92" s="38">
        <f>'Resource Mix and Demand'!F57</f>
        <v>8300000</v>
      </c>
      <c r="G92" s="38">
        <f>'Resource Mix and Demand'!G57</f>
        <v>8400000</v>
      </c>
      <c r="H92" s="38">
        <f>'Resource Mix and Demand'!H57</f>
        <v>8200000</v>
      </c>
      <c r="I92" s="38">
        <f>'Resource Mix and Demand'!I57</f>
        <v>8000000</v>
      </c>
      <c r="J92" s="38">
        <f>'Resource Mix and Demand'!J57</f>
        <v>8200000</v>
      </c>
      <c r="K92" s="38">
        <f>'Resource Mix and Demand'!K57</f>
        <v>8100000</v>
      </c>
      <c r="L92" s="38">
        <f>'Resource Mix and Demand'!L57</f>
        <v>8000000</v>
      </c>
    </row>
    <row r="93" spans="1:12" ht="16.5" thickTop="1" thickBot="1" x14ac:dyDescent="0.3">
      <c r="A93" s="71" t="s">
        <v>243</v>
      </c>
      <c r="B93" s="73">
        <f>IF('Event Tracker'!B3=1,'Utility Revenue'!B98-'Utility Revenue'!B92,0)</f>
        <v>0</v>
      </c>
      <c r="C93" s="73">
        <f>IF('Event Tracker'!C3=1,'Utility Revenue'!C98-'Utility Revenue'!C92,0)</f>
        <v>0</v>
      </c>
      <c r="D93" s="73">
        <f>IF('Event Tracker'!D3=1,'Utility Revenue'!D98-'Utility Revenue'!D92,0)</f>
        <v>0</v>
      </c>
      <c r="E93" s="73">
        <f>IF('Event Tracker'!E3=1,'Utility Revenue'!E98-'Utility Revenue'!E92,0)</f>
        <v>0</v>
      </c>
      <c r="F93" s="73">
        <f>IF('Event Tracker'!F3=1,'Utility Revenue'!F98-'Utility Revenue'!F92,0)</f>
        <v>0</v>
      </c>
      <c r="G93" s="73">
        <f>IF('Event Tracker'!G3=1,'Utility Revenue'!G98-'Utility Revenue'!G92,0)</f>
        <v>0</v>
      </c>
      <c r="H93" s="73">
        <f>IF('Event Tracker'!H3=1,'Utility Revenue'!H98-'Utility Revenue'!H92,0)</f>
        <v>0</v>
      </c>
      <c r="I93" s="73">
        <f>IF('Event Tracker'!I3=1,'Utility Revenue'!I98-'Utility Revenue'!I92,0)</f>
        <v>0</v>
      </c>
      <c r="J93" s="73">
        <f>IF('Event Tracker'!J3=1,'Utility Revenue'!J98-'Utility Revenue'!J92,0)</f>
        <v>0</v>
      </c>
      <c r="K93" s="73">
        <f>IF('Event Tracker'!K3=1,'Utility Revenue'!K98-'Utility Revenue'!K92,0)</f>
        <v>0</v>
      </c>
      <c r="L93" s="73">
        <f>IF('Event Tracker'!L3=1,'Utility Revenue'!L98-'Utility Revenue'!L92,0)</f>
        <v>0</v>
      </c>
    </row>
    <row r="94" spans="1:12" ht="16.5" thickTop="1" thickBot="1" x14ac:dyDescent="0.3">
      <c r="A94" s="39" t="s">
        <v>113</v>
      </c>
      <c r="B94" s="76">
        <f>B91/(SUM(B92:B93)*1000)</f>
        <v>5.9266203756323348E-2</v>
      </c>
      <c r="C94" s="76">
        <f t="shared" ref="C94:L94" si="11">C91/(SUM(C92:C93)*1000)</f>
        <v>5.9958932171239793E-2</v>
      </c>
      <c r="D94" s="76">
        <f t="shared" si="11"/>
        <v>6.1902655092748296E-2</v>
      </c>
      <c r="E94" s="76">
        <f t="shared" si="11"/>
        <v>5.5450477836107077E-2</v>
      </c>
      <c r="F94" s="76">
        <f t="shared" si="11"/>
        <v>5.6744016000832551E-2</v>
      </c>
      <c r="G94" s="76">
        <f t="shared" si="11"/>
        <v>5.4405857143679778E-2</v>
      </c>
      <c r="H94" s="76">
        <f t="shared" si="11"/>
        <v>5.7258799903281733E-2</v>
      </c>
      <c r="I94" s="76">
        <f t="shared" si="11"/>
        <v>6.0254389800863763E-2</v>
      </c>
      <c r="J94" s="76">
        <f t="shared" si="11"/>
        <v>5.9717966927671971E-2</v>
      </c>
      <c r="K94" s="76">
        <f t="shared" si="11"/>
        <v>6.1004915778630882E-2</v>
      </c>
      <c r="L94" s="76">
        <f t="shared" si="11"/>
        <v>6.2395519950863773E-2</v>
      </c>
    </row>
    <row r="95" spans="1:12" ht="15.75" thickTop="1" x14ac:dyDescent="0.25">
      <c r="A95" s="39" t="s">
        <v>475</v>
      </c>
      <c r="B95" s="76">
        <f>SUM(B67,B75,B77,B79,B81,B90)/B92/1000</f>
        <v>8.3804444444444438E-3</v>
      </c>
      <c r="C95" s="76">
        <f t="shared" ref="C95:L95" si="12">SUM(C67,C75,C77,C79,C81,C90)/C92/1000</f>
        <v>8.5709090909090908E-3</v>
      </c>
      <c r="D95" s="76">
        <f t="shared" si="12"/>
        <v>8.6694252873563225E-3</v>
      </c>
      <c r="E95" s="76">
        <f t="shared" si="12"/>
        <v>8.8734117647058814E-3</v>
      </c>
      <c r="F95" s="76">
        <f t="shared" si="12"/>
        <v>9.0872289156626509E-3</v>
      </c>
      <c r="G95" s="76">
        <f t="shared" si="12"/>
        <v>8.9790476190476191E-3</v>
      </c>
      <c r="H95" s="76">
        <f t="shared" si="12"/>
        <v>9.1980487804878049E-3</v>
      </c>
      <c r="I95" s="76">
        <f t="shared" si="12"/>
        <v>9.4280000000000006E-3</v>
      </c>
      <c r="J95" s="76">
        <f t="shared" si="12"/>
        <v>9.1980487804878049E-3</v>
      </c>
      <c r="K95" s="76">
        <f t="shared" si="12"/>
        <v>9.3116049382716056E-3</v>
      </c>
      <c r="L95" s="76">
        <f t="shared" si="12"/>
        <v>9.4280000000000006E-3</v>
      </c>
    </row>
    <row r="97" spans="1:12" x14ac:dyDescent="0.25">
      <c r="A97" s="9" t="s">
        <v>105</v>
      </c>
      <c r="B97" s="9">
        <v>0</v>
      </c>
      <c r="C97" s="9">
        <v>1</v>
      </c>
      <c r="D97" s="9">
        <v>2</v>
      </c>
      <c r="E97" s="9">
        <v>3</v>
      </c>
      <c r="F97" s="9">
        <v>4</v>
      </c>
      <c r="G97" s="9">
        <v>5</v>
      </c>
      <c r="H97" s="9">
        <v>6</v>
      </c>
      <c r="I97" s="9">
        <v>7</v>
      </c>
      <c r="J97" s="9">
        <v>8</v>
      </c>
      <c r="K97" s="9">
        <v>9</v>
      </c>
      <c r="L97" s="9">
        <v>10</v>
      </c>
    </row>
    <row r="98" spans="1:12" x14ac:dyDescent="0.25">
      <c r="A98" s="45" t="s">
        <v>123</v>
      </c>
      <c r="B98" s="74">
        <f>'Resource Mix and Demand'!B59</f>
        <v>9000000</v>
      </c>
      <c r="C98" s="74">
        <f>'Resource Mix and Demand'!C59</f>
        <v>8448000</v>
      </c>
      <c r="D98" s="74">
        <f>'Resource Mix and Demand'!D59</f>
        <v>9135000</v>
      </c>
      <c r="E98" s="74">
        <f>'Resource Mix and Demand'!E59</f>
        <v>8840000</v>
      </c>
      <c r="F98" s="74">
        <f>'Resource Mix and Demand'!F59</f>
        <v>8715000</v>
      </c>
      <c r="G98" s="74">
        <f>'Resource Mix and Demand'!G59</f>
        <v>8568000</v>
      </c>
      <c r="H98" s="74">
        <f>'Resource Mix and Demand'!H59</f>
        <v>7954000</v>
      </c>
      <c r="I98" s="74">
        <f>'Resource Mix and Demand'!I59</f>
        <v>8400000</v>
      </c>
      <c r="J98" s="74">
        <f>'Resource Mix and Demand'!J59</f>
        <v>8118000</v>
      </c>
      <c r="K98" s="74">
        <f>'Resource Mix and Demand'!K59</f>
        <v>7776000</v>
      </c>
      <c r="L98" s="74">
        <f>'Resource Mix and Demand'!L59</f>
        <v>8000000</v>
      </c>
    </row>
    <row r="99" spans="1:12" x14ac:dyDescent="0.25">
      <c r="A99" s="12" t="s">
        <v>255</v>
      </c>
      <c r="B99" s="33">
        <f>'Game Assumptions'!B82</f>
        <v>8000000</v>
      </c>
      <c r="C99" s="33">
        <f>'Game Assumptions'!C82</f>
        <v>8000000</v>
      </c>
      <c r="D99" s="33">
        <f>'Game Assumptions'!D82</f>
        <v>8000000</v>
      </c>
      <c r="E99" s="33">
        <f>'Game Assumptions'!E82</f>
        <v>8000000</v>
      </c>
      <c r="F99" s="33">
        <f>'Game Assumptions'!F82</f>
        <v>8000000</v>
      </c>
      <c r="G99" s="33">
        <f>'Game Assumptions'!G82</f>
        <v>8000000</v>
      </c>
      <c r="H99" s="33">
        <f>'Game Assumptions'!H82</f>
        <v>8000000</v>
      </c>
      <c r="I99" s="33">
        <f>'Game Assumptions'!I82</f>
        <v>8000000</v>
      </c>
      <c r="J99" s="33">
        <f>'Game Assumptions'!J82</f>
        <v>8000000</v>
      </c>
      <c r="K99" s="33">
        <f>'Game Assumptions'!K82</f>
        <v>8000000</v>
      </c>
      <c r="L99" s="33">
        <f>'Game Assumptions'!L82</f>
        <v>8000000</v>
      </c>
    </row>
    <row r="100" spans="1:12" x14ac:dyDescent="0.25">
      <c r="A100" t="s">
        <v>128</v>
      </c>
      <c r="B100" s="25">
        <f>IF(OR('Event Tracker'!B18=1,'Event Tracker'!B19=1),'Utility Revenue'!B94,'Utility Revenue'!B95)*B98*1000</f>
        <v>533395833.8069101</v>
      </c>
      <c r="C100" s="25">
        <f t="shared" ref="C100:L100" si="13">C98*C94*1000</f>
        <v>506533058.98263377</v>
      </c>
      <c r="D100" s="25">
        <f t="shared" si="13"/>
        <v>565480754.27225566</v>
      </c>
      <c r="E100" s="25">
        <f t="shared" si="13"/>
        <v>490182224.07118654</v>
      </c>
      <c r="F100" s="25">
        <f t="shared" si="13"/>
        <v>494524099.44725567</v>
      </c>
      <c r="G100" s="25">
        <f t="shared" si="13"/>
        <v>466149384.00704831</v>
      </c>
      <c r="H100" s="25">
        <f t="shared" si="13"/>
        <v>455436494.43070287</v>
      </c>
      <c r="I100" s="25">
        <f t="shared" si="13"/>
        <v>506136874.32725561</v>
      </c>
      <c r="J100" s="25">
        <f t="shared" si="13"/>
        <v>484790455.51884103</v>
      </c>
      <c r="K100" s="25">
        <f t="shared" si="13"/>
        <v>474374225.09463376</v>
      </c>
      <c r="L100" s="25">
        <f t="shared" si="13"/>
        <v>499164159.60691017</v>
      </c>
    </row>
    <row r="101" spans="1:12" x14ac:dyDescent="0.25">
      <c r="A101" t="s">
        <v>129</v>
      </c>
      <c r="B101" s="7">
        <f t="shared" ref="B101:L101" si="14">B59*B99</f>
        <v>75000000</v>
      </c>
      <c r="C101" s="7">
        <f t="shared" si="14"/>
        <v>75000000</v>
      </c>
      <c r="D101" s="7">
        <f t="shared" si="14"/>
        <v>75000000</v>
      </c>
      <c r="E101" s="7">
        <f t="shared" si="14"/>
        <v>75000000</v>
      </c>
      <c r="F101" s="7">
        <f t="shared" si="14"/>
        <v>75000000</v>
      </c>
      <c r="G101" s="7">
        <f t="shared" si="14"/>
        <v>75000000</v>
      </c>
      <c r="H101" s="7">
        <f t="shared" si="14"/>
        <v>75000000</v>
      </c>
      <c r="I101" s="7">
        <f t="shared" si="14"/>
        <v>75000000</v>
      </c>
      <c r="J101" s="7">
        <f t="shared" si="14"/>
        <v>75000000</v>
      </c>
      <c r="K101" s="7">
        <f t="shared" si="14"/>
        <v>75000000</v>
      </c>
      <c r="L101" s="7">
        <f t="shared" si="14"/>
        <v>75000000</v>
      </c>
    </row>
    <row r="102" spans="1:12" x14ac:dyDescent="0.25">
      <c r="A102" s="157" t="s">
        <v>473</v>
      </c>
      <c r="B102" s="168">
        <v>0</v>
      </c>
      <c r="C102" s="168">
        <v>0</v>
      </c>
      <c r="D102" s="168">
        <v>0</v>
      </c>
      <c r="E102" s="168">
        <v>0</v>
      </c>
      <c r="F102" s="168">
        <v>0</v>
      </c>
      <c r="G102" s="168">
        <v>0</v>
      </c>
      <c r="H102" s="168">
        <v>0</v>
      </c>
      <c r="I102" s="168">
        <v>0</v>
      </c>
      <c r="J102" s="168">
        <v>0</v>
      </c>
      <c r="K102" s="168">
        <v>0</v>
      </c>
      <c r="L102" s="168">
        <v>0</v>
      </c>
    </row>
    <row r="103" spans="1:12" x14ac:dyDescent="0.25">
      <c r="A103" s="4" t="s">
        <v>241</v>
      </c>
      <c r="B103" s="15"/>
      <c r="C103" s="15"/>
      <c r="D103" s="15"/>
      <c r="E103" s="15"/>
      <c r="F103" s="15"/>
      <c r="G103" s="15"/>
      <c r="H103" s="15"/>
      <c r="I103" s="15"/>
      <c r="J103" s="15"/>
      <c r="K103" s="15"/>
      <c r="L103" s="15"/>
    </row>
    <row r="104" spans="1:12" x14ac:dyDescent="0.25">
      <c r="A104" t="s">
        <v>242</v>
      </c>
      <c r="B104" s="7">
        <f>Dispatch!B167*-1</f>
        <v>0</v>
      </c>
      <c r="C104" s="7">
        <f>Dispatch!C167*-1</f>
        <v>0</v>
      </c>
      <c r="D104" s="7">
        <f>Dispatch!D167*-1</f>
        <v>0</v>
      </c>
      <c r="E104" s="7">
        <f>Dispatch!E167*-1</f>
        <v>0</v>
      </c>
      <c r="F104" s="7">
        <f>Dispatch!F167*-1</f>
        <v>0</v>
      </c>
      <c r="G104" s="7">
        <f>Dispatch!G167*-1</f>
        <v>0</v>
      </c>
      <c r="H104" s="7">
        <f>Dispatch!H167*-1</f>
        <v>0</v>
      </c>
      <c r="I104" s="7">
        <f>Dispatch!I167*-1</f>
        <v>0</v>
      </c>
      <c r="J104" s="7">
        <f>Dispatch!J167*-1</f>
        <v>0</v>
      </c>
      <c r="K104" s="7">
        <f>Dispatch!K167*-1</f>
        <v>0</v>
      </c>
      <c r="L104" s="7">
        <f>Dispatch!L167*-1</f>
        <v>0</v>
      </c>
    </row>
    <row r="105" spans="1:12" ht="15.75" thickBot="1" x14ac:dyDescent="0.3">
      <c r="A105" s="36" t="s">
        <v>472</v>
      </c>
      <c r="B105" s="36"/>
      <c r="C105" s="36"/>
      <c r="D105" s="36"/>
      <c r="E105" s="36"/>
      <c r="F105" s="36"/>
      <c r="G105" s="36"/>
      <c r="H105" s="36"/>
      <c r="I105" s="36"/>
      <c r="J105" s="36"/>
      <c r="K105" s="36"/>
      <c r="L105" s="36"/>
    </row>
    <row r="106" spans="1:12" ht="15.75" thickTop="1" x14ac:dyDescent="0.25">
      <c r="A106" s="26" t="s">
        <v>259</v>
      </c>
      <c r="B106" s="83">
        <v>0</v>
      </c>
      <c r="C106" s="83">
        <f>IF(('Environmental Performance'!B2-'Environmental Performance'!C2 )/'Environmental Performance'!B2&gt;0,('Environmental Performance'!B2-'Environmental Performance'!C2 )/'Environmental Performance'!B2*0.95*'Event Tracker'!C6*'Game Assumptions'!$B$11,0)</f>
        <v>0</v>
      </c>
      <c r="D106" s="83">
        <f>IF(('Environmental Performance'!C2-'Environmental Performance'!D2 )/'Environmental Performance'!C2&gt;0,('Environmental Performance'!C2-'Environmental Performance'!D2 )/'Environmental Performance'!C2*0.95*'Event Tracker'!D6*'Game Assumptions'!$B$11,0)</f>
        <v>0</v>
      </c>
      <c r="E106" s="83">
        <f>IF(('Environmental Performance'!D2-'Environmental Performance'!E2 )/'Environmental Performance'!D2&gt;0,('Environmental Performance'!D2-'Environmental Performance'!E2 )/'Environmental Performance'!D2*0.95*'Event Tracker'!E6*'Game Assumptions'!$B$11,0)</f>
        <v>0</v>
      </c>
      <c r="F106" s="83">
        <f>IF(('Environmental Performance'!E2-'Environmental Performance'!F2 )/'Environmental Performance'!E2&gt;0,('Environmental Performance'!E2-'Environmental Performance'!F2 )/'Environmental Performance'!E2*0.95*'Event Tracker'!F6*'Game Assumptions'!$B$11,0)</f>
        <v>0</v>
      </c>
      <c r="G106" s="83">
        <f>IF(('Environmental Performance'!F2-'Environmental Performance'!G2 )/'Environmental Performance'!F2&gt;0,('Environmental Performance'!F2-'Environmental Performance'!G2 )/'Environmental Performance'!F2*0.95*'Event Tracker'!G6*'Game Assumptions'!$B$11,0)</f>
        <v>0</v>
      </c>
      <c r="H106" s="83">
        <f>IF(('Environmental Performance'!G2-'Environmental Performance'!H2 )/'Environmental Performance'!G2&gt;0,('Environmental Performance'!G2-'Environmental Performance'!H2 )/'Environmental Performance'!G2*0.95*'Event Tracker'!H6*'Game Assumptions'!$B$11,0)</f>
        <v>0</v>
      </c>
      <c r="I106" s="83">
        <f>IF(('Environmental Performance'!H2-'Environmental Performance'!I2 )/'Environmental Performance'!H2&gt;0,('Environmental Performance'!H2-'Environmental Performance'!I2 )/'Environmental Performance'!H2*0.95*'Event Tracker'!I6*'Game Assumptions'!$B$11,0)</f>
        <v>0</v>
      </c>
      <c r="J106" s="83">
        <f>IF(('Environmental Performance'!I2-'Environmental Performance'!J2 )/'Environmental Performance'!I2&gt;0,('Environmental Performance'!I2-'Environmental Performance'!J2 )/'Environmental Performance'!I2*0.95*'Event Tracker'!J6*'Game Assumptions'!$B$11,0)</f>
        <v>0</v>
      </c>
      <c r="K106" s="83">
        <f>IF(('Environmental Performance'!J2-'Environmental Performance'!K2 )/'Environmental Performance'!J2&gt;0,('Environmental Performance'!J2-'Environmental Performance'!K2 )/'Environmental Performance'!J2*0.95*'Event Tracker'!K6*'Game Assumptions'!$B$11,0)</f>
        <v>0</v>
      </c>
      <c r="L106" s="83">
        <f>IF(('Environmental Performance'!K2-'Environmental Performance'!L2 )/'Environmental Performance'!K2&gt;0,('Environmental Performance'!K2-'Environmental Performance'!L2 )/'Environmental Performance'!K2*0.95*'Event Tracker'!L6*'Game Assumptions'!$B$11,0)</f>
        <v>0</v>
      </c>
    </row>
    <row r="107" spans="1:12" x14ac:dyDescent="0.25">
      <c r="A107" s="26" t="s">
        <v>260</v>
      </c>
      <c r="B107" s="83">
        <v>0</v>
      </c>
      <c r="C107" s="83">
        <f>IF('Customer Bills'!C12&gt;'Customer Bills'!B12,0,(('Customer Bills'!B12-'Customer Bills'!C12)/'Customer Bills'!B12)/(('Customer Bills'!B12-'Customer Bills'!B12*0.75)/'Customer Bills'!B12)*'Game Assumptions'!$B$12)*'Event Tracker'!C6</f>
        <v>0</v>
      </c>
      <c r="D107" s="83">
        <f>IF('Customer Bills'!D12&gt;'Customer Bills'!C12,0,(('Customer Bills'!C12-'Customer Bills'!D12)/'Customer Bills'!C12)/(('Customer Bills'!C12-'Customer Bills'!C12*0.75)/'Customer Bills'!C12)*'Game Assumptions'!$B$12)*'Event Tracker'!D6</f>
        <v>0</v>
      </c>
      <c r="E107" s="83">
        <f>IF('Customer Bills'!E12&gt;'Customer Bills'!D12,0,(('Customer Bills'!D12-'Customer Bills'!E12)/'Customer Bills'!D12)/(('Customer Bills'!D12-'Customer Bills'!D12*0.75)/'Customer Bills'!D12)*'Game Assumptions'!$B$12)*'Event Tracker'!E6</f>
        <v>0</v>
      </c>
      <c r="F107" s="83">
        <f>IF('Customer Bills'!F12&gt;'Customer Bills'!E12,0,(('Customer Bills'!E12-'Customer Bills'!F12)/'Customer Bills'!E12)/(('Customer Bills'!E12-'Customer Bills'!E12*0.75)/'Customer Bills'!E12)*'Game Assumptions'!$B$12)*'Event Tracker'!F6</f>
        <v>0</v>
      </c>
      <c r="G107" s="83">
        <f>IF('Customer Bills'!G12&gt;'Customer Bills'!F12,0,(('Customer Bills'!F12-'Customer Bills'!G12)/'Customer Bills'!F12)/(('Customer Bills'!F12-'Customer Bills'!F12*0.75)/'Customer Bills'!F12)*'Game Assumptions'!$B$12)*'Event Tracker'!G6</f>
        <v>0</v>
      </c>
      <c r="H107" s="83">
        <f>IF('Customer Bills'!H12&gt;'Customer Bills'!G12,0,(('Customer Bills'!G12-'Customer Bills'!H12)/'Customer Bills'!G12)/(('Customer Bills'!G12-'Customer Bills'!G12*0.75)/'Customer Bills'!G12)*'Game Assumptions'!$B$12)*'Event Tracker'!H6</f>
        <v>0</v>
      </c>
      <c r="I107" s="83">
        <f>IF('Customer Bills'!I12&gt;'Customer Bills'!H12,0,(('Customer Bills'!H12-'Customer Bills'!I12)/'Customer Bills'!H12)/(('Customer Bills'!H12-'Customer Bills'!H12*0.75)/'Customer Bills'!H12)*'Game Assumptions'!$B$12)*'Event Tracker'!I6</f>
        <v>0</v>
      </c>
      <c r="J107" s="83">
        <f>IF('Customer Bills'!J12&gt;'Customer Bills'!I12,0,(('Customer Bills'!I12-'Customer Bills'!J12)/'Customer Bills'!I12)/(('Customer Bills'!I12-'Customer Bills'!I12*0.75)/'Customer Bills'!I12)*'Game Assumptions'!$B$12)*'Event Tracker'!J6</f>
        <v>0</v>
      </c>
      <c r="K107" s="83">
        <f>IF('Customer Bills'!K12&gt;'Customer Bills'!J12,0,(('Customer Bills'!J12-'Customer Bills'!K12)/'Customer Bills'!J12)/(('Customer Bills'!J12-'Customer Bills'!J12*0.75)/'Customer Bills'!J12)*'Game Assumptions'!$B$12)*'Event Tracker'!K6</f>
        <v>0</v>
      </c>
      <c r="L107" s="83">
        <f>IF('Customer Bills'!L12&gt;'Customer Bills'!K12,0,(('Customer Bills'!K12-'Customer Bills'!L12)/'Customer Bills'!K12)/(('Customer Bills'!K12-'Customer Bills'!K12*0.75)/'Customer Bills'!K12)*'Game Assumptions'!$B$12)*'Event Tracker'!L6</f>
        <v>0</v>
      </c>
    </row>
    <row r="108" spans="1:12" x14ac:dyDescent="0.25">
      <c r="A108" s="26" t="s">
        <v>261</v>
      </c>
      <c r="B108" s="85"/>
      <c r="C108" s="85"/>
      <c r="D108" s="85"/>
      <c r="E108" s="85"/>
      <c r="F108" s="85"/>
      <c r="G108" s="85"/>
      <c r="H108" s="85"/>
      <c r="I108" s="85"/>
      <c r="J108" s="85"/>
      <c r="K108" s="85"/>
      <c r="L108" s="85"/>
    </row>
    <row r="109" spans="1:12" ht="15.75" thickBot="1" x14ac:dyDescent="0.3">
      <c r="A109" s="158" t="s">
        <v>457</v>
      </c>
      <c r="B109" s="159">
        <v>0</v>
      </c>
      <c r="C109" s="159">
        <v>0</v>
      </c>
      <c r="D109" s="159">
        <v>0</v>
      </c>
      <c r="E109" s="159">
        <v>0</v>
      </c>
      <c r="F109" s="159">
        <v>0</v>
      </c>
      <c r="G109" s="159">
        <v>0</v>
      </c>
      <c r="H109" s="159">
        <v>0</v>
      </c>
      <c r="I109" s="159">
        <v>0</v>
      </c>
      <c r="J109" s="159">
        <v>0</v>
      </c>
      <c r="K109" s="159">
        <v>0</v>
      </c>
      <c r="L109" s="159">
        <v>0</v>
      </c>
    </row>
    <row r="110" spans="1:12" ht="15.75" thickTop="1" x14ac:dyDescent="0.25">
      <c r="A110" s="46" t="s">
        <v>130</v>
      </c>
      <c r="B110" s="47">
        <f>SUM(B100:B109)</f>
        <v>608395833.80691004</v>
      </c>
      <c r="C110" s="47">
        <f t="shared" ref="C110:L110" si="15">SUM(C100:C105)</f>
        <v>581533058.98263383</v>
      </c>
      <c r="D110" s="47">
        <f t="shared" si="15"/>
        <v>640480754.27225566</v>
      </c>
      <c r="E110" s="47">
        <f t="shared" si="15"/>
        <v>565182224.07118654</v>
      </c>
      <c r="F110" s="47">
        <f t="shared" si="15"/>
        <v>569524099.44725561</v>
      </c>
      <c r="G110" s="47">
        <f t="shared" si="15"/>
        <v>541149384.00704837</v>
      </c>
      <c r="H110" s="47">
        <f t="shared" si="15"/>
        <v>530436494.43070287</v>
      </c>
      <c r="I110" s="47">
        <f t="shared" si="15"/>
        <v>581136874.32725561</v>
      </c>
      <c r="J110" s="47">
        <f t="shared" si="15"/>
        <v>559790455.51884103</v>
      </c>
      <c r="K110" s="47">
        <f t="shared" si="15"/>
        <v>549374225.09463382</v>
      </c>
      <c r="L110" s="47">
        <f t="shared" si="15"/>
        <v>574164159.60691023</v>
      </c>
    </row>
    <row r="112" spans="1:12" x14ac:dyDescent="0.25">
      <c r="A112" s="9" t="s">
        <v>286</v>
      </c>
      <c r="B112" s="9">
        <v>0</v>
      </c>
      <c r="C112" s="9">
        <v>1</v>
      </c>
      <c r="D112" s="9">
        <v>2</v>
      </c>
      <c r="E112" s="9">
        <v>3</v>
      </c>
      <c r="F112" s="9">
        <v>4</v>
      </c>
      <c r="G112" s="9">
        <v>5</v>
      </c>
      <c r="H112" s="9">
        <v>6</v>
      </c>
      <c r="I112" s="9">
        <v>7</v>
      </c>
      <c r="J112" s="9">
        <v>8</v>
      </c>
      <c r="K112" s="9">
        <v>9</v>
      </c>
      <c r="L112" s="9">
        <v>10</v>
      </c>
    </row>
    <row r="113" spans="1:12" x14ac:dyDescent="0.25">
      <c r="A113" s="24" t="s">
        <v>109</v>
      </c>
    </row>
    <row r="114" spans="1:12" x14ac:dyDescent="0.25">
      <c r="A114" s="4" t="s">
        <v>344</v>
      </c>
    </row>
    <row r="115" spans="1:12" x14ac:dyDescent="0.25">
      <c r="A115" s="26" t="s">
        <v>92</v>
      </c>
      <c r="B115" s="27">
        <f>IF($B$2="DR",0,PMT('Game Assumptions'!$B$6,'Game Assumptions'!$B$14,'Game Assumptions'!$B$2*(20-B$6)/20))*-1</f>
        <v>78783354.939330965</v>
      </c>
      <c r="C115" s="27">
        <f>IF($B$2="DR",0,PMT('Game Assumptions'!$B$6,'Game Assumptions'!$B$14,'Game Assumptions'!$B$2*(20-C$6)/20))*-1</f>
        <v>74844187.19236441</v>
      </c>
      <c r="D115" s="27">
        <f>IF($B$2="DR",0,PMT('Game Assumptions'!$B$6,'Game Assumptions'!$B$14,'Game Assumptions'!$B$2*(20-D$6)/20))*-1</f>
        <v>70905019.445397854</v>
      </c>
      <c r="E115" s="27">
        <f>IF($B$2="DR",0,PMT('Game Assumptions'!$B$6,'Game Assumptions'!$B$14,'Game Assumptions'!$B$2*(20-E$6)/20))*-1</f>
        <v>66965851.698431313</v>
      </c>
      <c r="F115" s="27">
        <f>IF($B$2="DR",0,PMT('Game Assumptions'!$B$6,'Game Assumptions'!$B$14,'Game Assumptions'!$B$2*(20-F$6)/20))*-1</f>
        <v>63026683.951464765</v>
      </c>
      <c r="G115" s="27">
        <f>IF($B$2="DR",0,PMT('Game Assumptions'!$B$6,'Game Assumptions'!$B$14,'Game Assumptions'!$B$2*(20-G$6)/20))*-1</f>
        <v>59087516.204498224</v>
      </c>
      <c r="H115" s="27">
        <f>IF($B$2="DR",0,PMT('Game Assumptions'!$B$6,'Game Assumptions'!$B$14,'Game Assumptions'!$B$2*(20-H$6)/20))*-1</f>
        <v>55148348.457531668</v>
      </c>
      <c r="I115" s="27">
        <f>IF($B$2="DR",0,PMT('Game Assumptions'!$B$6,'Game Assumptions'!$B$14,'Game Assumptions'!$B$2*(20-I$6)/20))*-1</f>
        <v>51209180.710565127</v>
      </c>
      <c r="J115" s="27">
        <f>IF($B$2="DR",0,PMT('Game Assumptions'!$B$6,'Game Assumptions'!$B$14,'Game Assumptions'!$B$2*(20-J$6)/20))*-1</f>
        <v>47270012.963598572</v>
      </c>
      <c r="K115" s="27">
        <f>IF($B$2="DR",0,PMT('Game Assumptions'!$B$6,'Game Assumptions'!$B$14,'Game Assumptions'!$B$2*(20-K$6)/20))*-1</f>
        <v>43330845.216632031</v>
      </c>
      <c r="L115" s="27">
        <f>IF($B$2="DR",0,PMT('Game Assumptions'!$B$6,'Game Assumptions'!$B$14,'Game Assumptions'!$B$2*(20-L$6)/20))*-1</f>
        <v>39391677.469665483</v>
      </c>
    </row>
    <row r="116" spans="1:12" x14ac:dyDescent="0.25">
      <c r="A116" s="26" t="s">
        <v>93</v>
      </c>
      <c r="B116" s="27">
        <f>IF($B$2="DR",0,PMT('Game Assumptions'!$B$6,'Game Assumptions'!$B$14,'Game Assumptions'!$B$2*(20-B$6)/20))*-1</f>
        <v>78783354.939330965</v>
      </c>
      <c r="C116" s="27">
        <f>IF($B$2="DR",0,PMT('Game Assumptions'!$B$6,'Game Assumptions'!$B$14,'Game Assumptions'!$B$2*(20-C$6)/20))*-1</f>
        <v>74844187.19236441</v>
      </c>
      <c r="D116" s="27">
        <f>IF($B$2="DR",0,PMT('Game Assumptions'!$B$6,'Game Assumptions'!$B$14,'Game Assumptions'!$B$2*(20-D$6)/20))*-1</f>
        <v>70905019.445397854</v>
      </c>
      <c r="E116" s="27">
        <f>IF($B$2="DR",0,PMT('Game Assumptions'!$B$6,'Game Assumptions'!$B$14,'Game Assumptions'!$B$2*(20-E$6)/20))*-1</f>
        <v>66965851.698431313</v>
      </c>
      <c r="F116" s="27">
        <f>IF($B$2="DR",0,PMT('Game Assumptions'!$B$6,'Game Assumptions'!$B$14,'Game Assumptions'!$B$2*(20-F$6)/20))*-1</f>
        <v>63026683.951464765</v>
      </c>
      <c r="G116" s="27">
        <f>IF($B$2="DR",0,PMT('Game Assumptions'!$B$6,'Game Assumptions'!$B$14,'Game Assumptions'!$B$2*(20-G$6)/20))*-1</f>
        <v>59087516.204498224</v>
      </c>
      <c r="H116" s="27">
        <f>IF($B$2="DR",0,PMT('Game Assumptions'!$B$6,'Game Assumptions'!$B$14,'Game Assumptions'!$B$2*(20-H$6)/20))*-1</f>
        <v>55148348.457531668</v>
      </c>
      <c r="I116" s="27">
        <f>IF($B$2="DR",0,PMT('Game Assumptions'!$B$6,'Game Assumptions'!$B$14,'Game Assumptions'!$B$2*(20-I$6)/20))*-1</f>
        <v>51209180.710565127</v>
      </c>
      <c r="J116" s="27">
        <f>IF($B$2="DR",0,PMT('Game Assumptions'!$B$6,'Game Assumptions'!$B$14,'Game Assumptions'!$B$2*(20-J$6)/20))*-1</f>
        <v>47270012.963598572</v>
      </c>
      <c r="K116" s="27">
        <f>IF($B$2="DR",0,PMT('Game Assumptions'!$B$6,'Game Assumptions'!$B$14,'Game Assumptions'!$B$2*(20-K$6)/20))*-1</f>
        <v>43330845.216632031</v>
      </c>
      <c r="L116" s="27">
        <f>IF($B$2="DR",0,PMT('Game Assumptions'!$B$6,'Game Assumptions'!$B$14,'Game Assumptions'!$B$2*(20-L$6)/20))*-1</f>
        <v>39391677.469665483</v>
      </c>
    </row>
    <row r="117" spans="1:12" x14ac:dyDescent="0.25">
      <c r="A117" s="29" t="s">
        <v>94</v>
      </c>
      <c r="B117" s="23">
        <f>IF($B$2="DR",0,PMT('Game Assumptions'!$B$6,'Game Assumptions'!$B$14,'Game Assumptions'!$B$2*(20-B$6)/20))*-1</f>
        <v>78783354.939330965</v>
      </c>
      <c r="C117" s="23">
        <f>IF($B$2="DR",0,PMT('Game Assumptions'!$B$6,'Game Assumptions'!$B$14,'Game Assumptions'!$B$2*(20-C$6)/20))*-1</f>
        <v>74844187.19236441</v>
      </c>
      <c r="D117" s="23">
        <f>IF($B$2="DR",0,PMT('Game Assumptions'!$B$6,'Game Assumptions'!$B$14,'Game Assumptions'!$B$2*(20-D$6)/20))*-1</f>
        <v>70905019.445397854</v>
      </c>
      <c r="E117" s="23">
        <f>IF($B$2="DR",0,PMT('Game Assumptions'!$B$6,'Game Assumptions'!$B$14,'Game Assumptions'!$B$2*(20-E$6)/20))*-1</f>
        <v>66965851.698431313</v>
      </c>
      <c r="F117" s="23">
        <f>IF($B$2="DR",0,PMT('Game Assumptions'!$B$6,'Game Assumptions'!$B$14,'Game Assumptions'!$B$2*(20-F$6)/20))*-1</f>
        <v>63026683.951464765</v>
      </c>
      <c r="G117" s="23">
        <f>IF($B$2="DR",0,PMT('Game Assumptions'!$B$6,'Game Assumptions'!$B$14,'Game Assumptions'!$B$2*(20-G$6)/20))*-1</f>
        <v>59087516.204498224</v>
      </c>
      <c r="H117" s="23">
        <f>IF($B$2="DR",0,PMT('Game Assumptions'!$B$6,'Game Assumptions'!$B$14,'Game Assumptions'!$B$2*(20-H$6)/20))*-1</f>
        <v>55148348.457531668</v>
      </c>
      <c r="I117" s="23">
        <f>IF($B$2="DR",0,PMT('Game Assumptions'!$B$6,'Game Assumptions'!$B$14,'Game Assumptions'!$B$2*(20-I$6)/20))*-1</f>
        <v>51209180.710565127</v>
      </c>
      <c r="J117" s="23">
        <f>IF($B$2="DR",0,PMT('Game Assumptions'!$B$6,'Game Assumptions'!$B$14,'Game Assumptions'!$B$2*(20-J$6)/20))*-1</f>
        <v>47270012.963598572</v>
      </c>
      <c r="K117" s="23">
        <f>IF($B$2="DR",0,PMT('Game Assumptions'!$B$6,'Game Assumptions'!$B$14,'Game Assumptions'!$B$2*(20-K$6)/20))*-1</f>
        <v>43330845.216632031</v>
      </c>
      <c r="L117" s="23">
        <f>IF($B$2="DR",0,PMT('Game Assumptions'!$B$6,'Game Assumptions'!$B$14,'Game Assumptions'!$B$2*(20-L$6)/20))*-1</f>
        <v>39391677.469665483</v>
      </c>
    </row>
    <row r="118" spans="1:12" x14ac:dyDescent="0.25">
      <c r="A118" s="4" t="s">
        <v>256</v>
      </c>
    </row>
    <row r="119" spans="1:12" x14ac:dyDescent="0.25">
      <c r="A119" t="s">
        <v>68</v>
      </c>
      <c r="B119" s="7">
        <f>IF($B$2="DR",0,PMT('Game Assumptions'!$B$6,'Game Assumptions'!$B$14,'Game Assumptions'!$G28*'Resource Mix and Demand'!B2)*-1)</f>
        <v>0</v>
      </c>
      <c r="C119" s="7">
        <f>IF($B$2="DR",0,PMT('Game Assumptions'!$B$6,'Game Assumptions'!$B$14,'Game Assumptions'!$G28*'Resource Mix and Demand'!C2)*-1)+B119</f>
        <v>0</v>
      </c>
      <c r="D119" s="7">
        <f>IF($B$2="DR",0,PMT('Game Assumptions'!$B$6,'Game Assumptions'!$B$14,'Game Assumptions'!$G28*'Resource Mix and Demand'!D2)*-1)+C119</f>
        <v>0</v>
      </c>
      <c r="E119" s="7">
        <f>IF($B$2="DR",0,PMT('Game Assumptions'!$B$6,'Game Assumptions'!$B$14,'Game Assumptions'!$G28*'Resource Mix and Demand'!E2)*-1)+D119</f>
        <v>0</v>
      </c>
      <c r="F119" s="7">
        <f>IF($B$2="DR",0,PMT('Game Assumptions'!$B$6,'Game Assumptions'!$B$14,'Game Assumptions'!$G28*'Resource Mix and Demand'!F2)*-1)+E119</f>
        <v>0</v>
      </c>
      <c r="G119" s="7">
        <f>IF($B$2="DR",0,PMT('Game Assumptions'!$B$6,'Game Assumptions'!$B$14,'Game Assumptions'!$G28*'Resource Mix and Demand'!G2)*-1)+F119</f>
        <v>0</v>
      </c>
      <c r="H119" s="7">
        <f>IF($B$2="DR",0,PMT('Game Assumptions'!$B$6,'Game Assumptions'!$B$14,'Game Assumptions'!$G28*'Resource Mix and Demand'!H2)*-1)+G119</f>
        <v>0</v>
      </c>
      <c r="I119" s="7">
        <f>IF($B$2="DR",0,PMT('Game Assumptions'!$B$6,'Game Assumptions'!$B$14,'Game Assumptions'!$G28*'Resource Mix and Demand'!I2)*-1)+H119</f>
        <v>0</v>
      </c>
      <c r="J119" s="7">
        <f>IF($B$2="DR",0,PMT('Game Assumptions'!$B$6,'Game Assumptions'!$B$14,'Game Assumptions'!$G28*'Resource Mix and Demand'!J2)*-1)+I119</f>
        <v>0</v>
      </c>
      <c r="K119" s="7">
        <f>IF($B$2="DR",0,PMT('Game Assumptions'!$B$6,'Game Assumptions'!$B$14,'Game Assumptions'!$G28*'Resource Mix and Demand'!K2)*-1)+J119</f>
        <v>0</v>
      </c>
      <c r="L119" s="7">
        <f>IF($B$2="DR",0,PMT('Game Assumptions'!$B$6,'Game Assumptions'!$B$14,'Game Assumptions'!$G28*'Resource Mix and Demand'!L2)*-1)+K119</f>
        <v>0</v>
      </c>
    </row>
    <row r="120" spans="1:12" x14ac:dyDescent="0.25">
      <c r="A120" t="s">
        <v>74</v>
      </c>
      <c r="B120" s="7">
        <f>IF($B$2="DR",0,PMT('Game Assumptions'!$B$6,'Game Assumptions'!$B$14,'Game Assumptions'!$G29*'Resource Mix and Demand'!B3)*-1)</f>
        <v>0</v>
      </c>
      <c r="C120" s="7">
        <f>IF($B$2="DR",0,PMT('Game Assumptions'!$B$6,'Game Assumptions'!$B$14,'Game Assumptions'!$G29*'Resource Mix and Demand'!C3)*-1)+B120</f>
        <v>0</v>
      </c>
      <c r="D120" s="7">
        <f>IF($B$2="DR",0,PMT('Game Assumptions'!$B$6,'Game Assumptions'!$B$14,'Game Assumptions'!$G29*'Resource Mix and Demand'!D3)*-1)+C120</f>
        <v>0</v>
      </c>
      <c r="E120" s="7">
        <f>IF($B$2="DR",0,PMT('Game Assumptions'!$B$6,'Game Assumptions'!$B$14,'Game Assumptions'!$G29*'Resource Mix and Demand'!E3)*-1)+D120</f>
        <v>0</v>
      </c>
      <c r="F120" s="7">
        <f>IF($B$2="DR",0,PMT('Game Assumptions'!$B$6,'Game Assumptions'!$B$14,'Game Assumptions'!$G29*'Resource Mix and Demand'!F3)*-1)+E120</f>
        <v>0</v>
      </c>
      <c r="G120" s="7">
        <f>IF($B$2="DR",0,PMT('Game Assumptions'!$B$6,'Game Assumptions'!$B$14,'Game Assumptions'!$G29*'Resource Mix and Demand'!G3)*-1)+F120</f>
        <v>0</v>
      </c>
      <c r="H120" s="7">
        <f>IF($B$2="DR",0,PMT('Game Assumptions'!$B$6,'Game Assumptions'!$B$14,'Game Assumptions'!$G29*'Resource Mix and Demand'!H3)*-1)+G120</f>
        <v>0</v>
      </c>
      <c r="I120" s="7">
        <f>IF($B$2="DR",0,PMT('Game Assumptions'!$B$6,'Game Assumptions'!$B$14,'Game Assumptions'!$G29*'Resource Mix and Demand'!I3)*-1)+H120</f>
        <v>0</v>
      </c>
      <c r="J120" s="7">
        <f>IF($B$2="DR",0,PMT('Game Assumptions'!$B$6,'Game Assumptions'!$B$14,'Game Assumptions'!$G29*'Resource Mix and Demand'!J3)*-1)+I120</f>
        <v>0</v>
      </c>
      <c r="K120" s="7">
        <f>IF($B$2="DR",0,PMT('Game Assumptions'!$B$6,'Game Assumptions'!$B$14,'Game Assumptions'!$G29*'Resource Mix and Demand'!K3)*-1)+J120</f>
        <v>0</v>
      </c>
      <c r="L120" s="7">
        <f>IF($B$2="DR",0,PMT('Game Assumptions'!$B$6,'Game Assumptions'!$B$14,'Game Assumptions'!$G29*'Resource Mix and Demand'!L3)*-1)+K120</f>
        <v>0</v>
      </c>
    </row>
    <row r="121" spans="1:12" x14ac:dyDescent="0.25">
      <c r="A121" t="s">
        <v>69</v>
      </c>
      <c r="B121" s="7">
        <f>IF($B$2="DR",0,PMT('Game Assumptions'!$B$6,'Game Assumptions'!$B$14,'Game Assumptions'!$G30*'Resource Mix and Demand'!B4)*-1)</f>
        <v>0</v>
      </c>
      <c r="C121" s="7">
        <f>IF($B$2="DR",0,PMT('Game Assumptions'!$B$6,'Game Assumptions'!$B$14,'Game Assumptions'!$G30*'Resource Mix and Demand'!C4)*-1)+B121</f>
        <v>0</v>
      </c>
      <c r="D121" s="7">
        <f>IF($B$2="DR",0,PMT('Game Assumptions'!$B$6,'Game Assumptions'!$B$14,'Game Assumptions'!$G30*'Resource Mix and Demand'!D4)*-1)+C121</f>
        <v>0</v>
      </c>
      <c r="E121" s="7">
        <f>IF($B$2="DR",0,PMT('Game Assumptions'!$B$6,'Game Assumptions'!$B$14,'Game Assumptions'!$G30*'Resource Mix and Demand'!E4)*-1)+D121</f>
        <v>0</v>
      </c>
      <c r="F121" s="7">
        <f>IF($B$2="DR",0,PMT('Game Assumptions'!$B$6,'Game Assumptions'!$B$14,'Game Assumptions'!$G30*'Resource Mix and Demand'!F4)*-1)+E121</f>
        <v>0</v>
      </c>
      <c r="G121" s="7">
        <f>IF($B$2="DR",0,PMT('Game Assumptions'!$B$6,'Game Assumptions'!$B$14,'Game Assumptions'!$G30*'Resource Mix and Demand'!G4)*-1)+F121</f>
        <v>0</v>
      </c>
      <c r="H121" s="7">
        <f>IF($B$2="DR",0,PMT('Game Assumptions'!$B$6,'Game Assumptions'!$B$14,'Game Assumptions'!$G30*'Resource Mix and Demand'!H4)*-1)+G121</f>
        <v>0</v>
      </c>
      <c r="I121" s="7">
        <f>IF($B$2="DR",0,PMT('Game Assumptions'!$B$6,'Game Assumptions'!$B$14,'Game Assumptions'!$G30*'Resource Mix and Demand'!I4)*-1)+H121</f>
        <v>0</v>
      </c>
      <c r="J121" s="7">
        <f>IF($B$2="DR",0,PMT('Game Assumptions'!$B$6,'Game Assumptions'!$B$14,'Game Assumptions'!$G30*'Resource Mix and Demand'!J4)*-1)+I121</f>
        <v>0</v>
      </c>
      <c r="K121" s="7">
        <f>IF($B$2="DR",0,PMT('Game Assumptions'!$B$6,'Game Assumptions'!$B$14,'Game Assumptions'!$G30*'Resource Mix and Demand'!K4)*-1)+J121</f>
        <v>0</v>
      </c>
      <c r="L121" s="7">
        <f>IF($B$2="DR",0,PMT('Game Assumptions'!$B$6,'Game Assumptions'!$B$14,'Game Assumptions'!$G30*'Resource Mix and Demand'!L4)*-1)+K121</f>
        <v>0</v>
      </c>
    </row>
    <row r="122" spans="1:12" x14ac:dyDescent="0.25">
      <c r="A122" t="s">
        <v>72</v>
      </c>
      <c r="B122" s="7">
        <f>IF($B$2="DR",0,PMT('Game Assumptions'!$B$6,'Game Assumptions'!$B$14,'Game Assumptions'!$G31*'Resource Mix and Demand'!B5)*-1)</f>
        <v>0</v>
      </c>
      <c r="C122" s="7">
        <f>IF($B$2="DR",0,PMT('Game Assumptions'!$B$6,'Game Assumptions'!$B$14,'Game Assumptions'!$G31*'Resource Mix and Demand'!C5)*-1)+B122</f>
        <v>0</v>
      </c>
      <c r="D122" s="7">
        <f>IF($B$2="DR",0,PMT('Game Assumptions'!$B$6,'Game Assumptions'!$B$14,'Game Assumptions'!$G31*'Resource Mix and Demand'!D5)*-1)+C122</f>
        <v>0</v>
      </c>
      <c r="E122" s="7">
        <f>IF($B$2="DR",0,PMT('Game Assumptions'!$B$6,'Game Assumptions'!$B$14,'Game Assumptions'!$G31*'Resource Mix and Demand'!E5)*-1)+D122</f>
        <v>0</v>
      </c>
      <c r="F122" s="7">
        <f>IF($B$2="DR",0,PMT('Game Assumptions'!$B$6,'Game Assumptions'!$B$14,'Game Assumptions'!$G31*'Resource Mix and Demand'!F5)*-1)+E122</f>
        <v>0</v>
      </c>
      <c r="G122" s="7">
        <f>IF($B$2="DR",0,PMT('Game Assumptions'!$B$6,'Game Assumptions'!$B$14,'Game Assumptions'!$G31*'Resource Mix and Demand'!G5)*-1)+F122</f>
        <v>0</v>
      </c>
      <c r="H122" s="7">
        <f>IF($B$2="DR",0,PMT('Game Assumptions'!$B$6,'Game Assumptions'!$B$14,'Game Assumptions'!$G31*'Resource Mix and Demand'!H5)*-1)+G122</f>
        <v>0</v>
      </c>
      <c r="I122" s="7">
        <f>IF($B$2="DR",0,PMT('Game Assumptions'!$B$6,'Game Assumptions'!$B$14,'Game Assumptions'!$G31*'Resource Mix and Demand'!I5)*-1)+H122</f>
        <v>0</v>
      </c>
      <c r="J122" s="7">
        <f>IF($B$2="DR",0,PMT('Game Assumptions'!$B$6,'Game Assumptions'!$B$14,'Game Assumptions'!$G31*'Resource Mix and Demand'!J5)*-1)+I122</f>
        <v>0</v>
      </c>
      <c r="K122" s="7">
        <f>IF($B$2="DR",0,PMT('Game Assumptions'!$B$6,'Game Assumptions'!$B$14,'Game Assumptions'!$G31*'Resource Mix and Demand'!K5)*-1)+J122</f>
        <v>0</v>
      </c>
      <c r="L122" s="7">
        <f>IF($B$2="DR",0,PMT('Game Assumptions'!$B$6,'Game Assumptions'!$B$14,'Game Assumptions'!$G31*'Resource Mix and Demand'!L5)*-1)+K122</f>
        <v>0</v>
      </c>
    </row>
    <row r="123" spans="1:12" x14ac:dyDescent="0.25">
      <c r="A123" t="s">
        <v>73</v>
      </c>
      <c r="B123" s="7">
        <f>IF($B$2="DR",0,PMT('Game Assumptions'!$B$6,'Game Assumptions'!$B$14,'Game Assumptions'!$G32*'Resource Mix and Demand'!B6)*-1)</f>
        <v>0</v>
      </c>
      <c r="C123" s="7">
        <f>IF($B$2="DR",0,PMT('Game Assumptions'!$B$6,'Game Assumptions'!$B$14,'Game Assumptions'!$G32*'Resource Mix and Demand'!C6)*-1)+B123</f>
        <v>0</v>
      </c>
      <c r="D123" s="7">
        <f>IF($B$2="DR",0,PMT('Game Assumptions'!$B$6,'Game Assumptions'!$B$14,'Game Assumptions'!$G32*'Resource Mix and Demand'!D6)*-1)+C123</f>
        <v>0</v>
      </c>
      <c r="E123" s="7">
        <f>IF($B$2="DR",0,PMT('Game Assumptions'!$B$6,'Game Assumptions'!$B$14,'Game Assumptions'!$G32*'Resource Mix and Demand'!E6)*-1)+D123</f>
        <v>0</v>
      </c>
      <c r="F123" s="7">
        <f>IF($B$2="DR",0,PMT('Game Assumptions'!$B$6,'Game Assumptions'!$B$14,'Game Assumptions'!$G32*'Resource Mix and Demand'!F6)*-1)+E123</f>
        <v>0</v>
      </c>
      <c r="G123" s="7">
        <f>IF($B$2="DR",0,PMT('Game Assumptions'!$B$6,'Game Assumptions'!$B$14,'Game Assumptions'!$G32*'Resource Mix and Demand'!G6)*-1)+F123</f>
        <v>0</v>
      </c>
      <c r="H123" s="7">
        <f>IF($B$2="DR",0,PMT('Game Assumptions'!$B$6,'Game Assumptions'!$B$14,'Game Assumptions'!$G32*'Resource Mix and Demand'!H6)*-1)+G123</f>
        <v>0</v>
      </c>
      <c r="I123" s="7">
        <f>IF($B$2="DR",0,PMT('Game Assumptions'!$B$6,'Game Assumptions'!$B$14,'Game Assumptions'!$G32*'Resource Mix and Demand'!I6)*-1)+H123</f>
        <v>0</v>
      </c>
      <c r="J123" s="7">
        <f>IF($B$2="DR",0,PMT('Game Assumptions'!$B$6,'Game Assumptions'!$B$14,'Game Assumptions'!$G32*'Resource Mix and Demand'!J6)*-1)+I123</f>
        <v>0</v>
      </c>
      <c r="K123" s="7">
        <f>IF($B$2="DR",0,PMT('Game Assumptions'!$B$6,'Game Assumptions'!$B$14,'Game Assumptions'!$G32*'Resource Mix and Demand'!K6)*-1)+J123</f>
        <v>0</v>
      </c>
      <c r="L123" s="7">
        <f>IF($B$2="DR",0,PMT('Game Assumptions'!$B$6,'Game Assumptions'!$B$14,'Game Assumptions'!$G32*'Resource Mix and Demand'!L6)*-1)+K123</f>
        <v>0</v>
      </c>
    </row>
    <row r="124" spans="1:12" x14ac:dyDescent="0.25">
      <c r="A124" t="s">
        <v>70</v>
      </c>
      <c r="B124" s="7">
        <f>IF($B$2="DR",0,PMT('Game Assumptions'!$B$6,'Game Assumptions'!$B$14,'Game Assumptions'!$G33*'Resource Mix and Demand'!B7)*-1)</f>
        <v>0</v>
      </c>
      <c r="C124" s="7">
        <f>IF($B$2="DR",0,PMT('Game Assumptions'!$B$6,'Game Assumptions'!$B$14,'Game Assumptions'!$G33*'Resource Mix and Demand'!C7)*-1)+B124</f>
        <v>0</v>
      </c>
      <c r="D124" s="7">
        <f>IF($B$2="DR",0,PMT('Game Assumptions'!$B$6,'Game Assumptions'!$B$14,'Game Assumptions'!$G33*'Resource Mix and Demand'!D7)*-1)+C124</f>
        <v>0</v>
      </c>
      <c r="E124" s="7">
        <f>IF($B$2="DR",0,PMT('Game Assumptions'!$B$6,'Game Assumptions'!$B$14,'Game Assumptions'!$G33*'Resource Mix and Demand'!E7)*-1)+D124</f>
        <v>0</v>
      </c>
      <c r="F124" s="7">
        <f>IF($B$2="DR",0,PMT('Game Assumptions'!$B$6,'Game Assumptions'!$B$14,'Game Assumptions'!$G33*'Resource Mix and Demand'!F7)*-1)+E124</f>
        <v>0</v>
      </c>
      <c r="G124" s="7">
        <f>IF($B$2="DR",0,PMT('Game Assumptions'!$B$6,'Game Assumptions'!$B$14,'Game Assumptions'!$G33*'Resource Mix and Demand'!G7)*-1)+F124</f>
        <v>0</v>
      </c>
      <c r="H124" s="7">
        <f>IF($B$2="DR",0,PMT('Game Assumptions'!$B$6,'Game Assumptions'!$B$14,'Game Assumptions'!$G33*'Resource Mix and Demand'!H7)*-1)+G124</f>
        <v>0</v>
      </c>
      <c r="I124" s="7">
        <f>IF($B$2="DR",0,PMT('Game Assumptions'!$B$6,'Game Assumptions'!$B$14,'Game Assumptions'!$G33*'Resource Mix and Demand'!I7)*-1)+H124</f>
        <v>0</v>
      </c>
      <c r="J124" s="7">
        <f>IF($B$2="DR",0,PMT('Game Assumptions'!$B$6,'Game Assumptions'!$B$14,'Game Assumptions'!$G33*'Resource Mix and Demand'!J7)*-1)+I124</f>
        <v>0</v>
      </c>
      <c r="K124" s="7">
        <f>IF($B$2="DR",0,PMT('Game Assumptions'!$B$6,'Game Assumptions'!$B$14,'Game Assumptions'!$G33*'Resource Mix and Demand'!K7)*-1)+J124</f>
        <v>0</v>
      </c>
      <c r="L124" s="7">
        <f>IF($B$2="DR",0,PMT('Game Assumptions'!$B$6,'Game Assumptions'!$B$14,'Game Assumptions'!$G33*'Resource Mix and Demand'!L7)*-1)+K124</f>
        <v>0</v>
      </c>
    </row>
    <row r="125" spans="1:12" x14ac:dyDescent="0.25">
      <c r="A125" s="12" t="s">
        <v>75</v>
      </c>
      <c r="B125" s="7">
        <f>IF($B$2="DR",0,PMT('Game Assumptions'!$B$6,'Game Assumptions'!$B$14,'Game Assumptions'!$G34*'Resource Mix and Demand'!B8)*-1)</f>
        <v>0</v>
      </c>
      <c r="C125" s="7">
        <f>IF($B$2="DR",0,PMT('Game Assumptions'!$B$6,'Game Assumptions'!$B$14,'Game Assumptions'!$G34*'Resource Mix and Demand'!C8)*-1)</f>
        <v>0</v>
      </c>
      <c r="D125" s="7">
        <f>IF($B$2="DR",0,PMT('Game Assumptions'!$B$6,'Game Assumptions'!$B$14,'Game Assumptions'!$G34*'Resource Mix and Demand'!D8)*-1)</f>
        <v>0</v>
      </c>
      <c r="E125" s="7">
        <f>IF($B$2="DR",0,PMT('Game Assumptions'!$B$6,'Game Assumptions'!$B$14,'Game Assumptions'!$G34*'Resource Mix and Demand'!E8)*-1)</f>
        <v>0</v>
      </c>
      <c r="F125" s="7">
        <f>IF($B$2="DR",0,PMT('Game Assumptions'!$B$6,'Game Assumptions'!$B$14,'Game Assumptions'!$G34*'Resource Mix and Demand'!F8)*-1)</f>
        <v>0</v>
      </c>
      <c r="G125" s="7">
        <f>IF($B$2="DR",0,PMT('Game Assumptions'!$B$6,'Game Assumptions'!$B$14,'Game Assumptions'!$G34*'Resource Mix and Demand'!G8)*-1)</f>
        <v>0</v>
      </c>
      <c r="H125" s="7">
        <f>IF($B$2="DR",0,PMT('Game Assumptions'!$B$6,'Game Assumptions'!$B$14,'Game Assumptions'!$G34*'Resource Mix and Demand'!H8)*-1)</f>
        <v>0</v>
      </c>
      <c r="I125" s="7">
        <f>IF($B$2="DR",0,PMT('Game Assumptions'!$B$6,'Game Assumptions'!$B$14,'Game Assumptions'!$G34*'Resource Mix and Demand'!I8)*-1)</f>
        <v>0</v>
      </c>
      <c r="J125" s="7">
        <f>IF($B$2="DR",0,PMT('Game Assumptions'!$B$6,'Game Assumptions'!$B$14,'Game Assumptions'!$G34*'Resource Mix and Demand'!J8)*-1)</f>
        <v>0</v>
      </c>
      <c r="K125" s="7">
        <f>IF($B$2="DR",0,PMT('Game Assumptions'!$B$6,'Game Assumptions'!$B$14,'Game Assumptions'!$G34*'Resource Mix and Demand'!K8)*-1)</f>
        <v>0</v>
      </c>
      <c r="L125" s="7">
        <f>IF($B$2="DR",0,PMT('Game Assumptions'!$B$6,'Game Assumptions'!$B$14,'Game Assumptions'!$G34*'Resource Mix and Demand'!L8)*-1)</f>
        <v>0</v>
      </c>
    </row>
    <row r="126" spans="1:12" x14ac:dyDescent="0.25">
      <c r="A126" t="s">
        <v>340</v>
      </c>
      <c r="B126" s="107">
        <f>IF($B$2="DR",0,PMT('Game Assumptions'!$B$6,'Game Assumptions'!$B$14,Reliability!B9*'Game Assumptions'!$G35))*-1</f>
        <v>0</v>
      </c>
      <c r="C126" s="107">
        <f>IF($B$2="DR",0,PMT('Game Assumptions'!$B$6,'Game Assumptions'!$B$14,Reliability!C9*'Game Assumptions'!$G35))*-1+B126</f>
        <v>0</v>
      </c>
      <c r="D126" s="107">
        <f>IF($B$2="DR",0,PMT('Game Assumptions'!$B$6,'Game Assumptions'!$B$14,Reliability!D9*'Game Assumptions'!$G35))*-1+C126</f>
        <v>0</v>
      </c>
      <c r="E126" s="107">
        <f>IF($B$2="DR",0,PMT('Game Assumptions'!$B$6,'Game Assumptions'!$B$14,Reliability!E9*'Game Assumptions'!$G35))*-1+D126</f>
        <v>0</v>
      </c>
      <c r="F126" s="107">
        <f>IF($B$2="DR",0,PMT('Game Assumptions'!$B$6,'Game Assumptions'!$B$14,Reliability!F9*'Game Assumptions'!$G35))*-1+E126</f>
        <v>0</v>
      </c>
      <c r="G126" s="107">
        <f>IF($B$2="DR",0,PMT('Game Assumptions'!$B$6,'Game Assumptions'!$B$14,Reliability!G9*'Game Assumptions'!$G35))*-1+F126</f>
        <v>0</v>
      </c>
      <c r="H126" s="107">
        <f>IF($B$2="DR",0,PMT('Game Assumptions'!$B$6,'Game Assumptions'!$B$14,Reliability!H9*'Game Assumptions'!$G35))*-1+G126</f>
        <v>0</v>
      </c>
      <c r="I126" s="107">
        <f>IF($B$2="DR",0,PMT('Game Assumptions'!$B$6,'Game Assumptions'!$B$14,Reliability!I9*'Game Assumptions'!$G35))*-1+H126</f>
        <v>0</v>
      </c>
      <c r="J126" s="107">
        <f>IF($B$2="DR",0,PMT('Game Assumptions'!$B$6,'Game Assumptions'!$B$14,Reliability!J9*'Game Assumptions'!$G35))*-1+I126</f>
        <v>0</v>
      </c>
      <c r="K126" s="107">
        <f>IF($B$2="DR",0,PMT('Game Assumptions'!$B$6,'Game Assumptions'!$B$14,Reliability!K9*'Game Assumptions'!$G35))*-1+J126</f>
        <v>0</v>
      </c>
      <c r="L126" s="107">
        <f>IF($B$2="DR",0,PMT('Game Assumptions'!$B$6,'Game Assumptions'!$B$14,Reliability!L9*'Game Assumptions'!$G35))*-1+K126</f>
        <v>0</v>
      </c>
    </row>
    <row r="127" spans="1:12" x14ac:dyDescent="0.25">
      <c r="A127" t="s">
        <v>341</v>
      </c>
      <c r="B127" s="107">
        <f>IF($B$2="DR",0,PMT('Game Assumptions'!$B$6,'Game Assumptions'!$B$14,Reliability!B10*'Game Assumptions'!$G36))*-1</f>
        <v>0</v>
      </c>
      <c r="C127" s="107">
        <f>IF($B$2="DR",0,PMT('Game Assumptions'!$B$6,'Game Assumptions'!$B$14,Reliability!C10*'Game Assumptions'!$G36))*-1+B127</f>
        <v>0</v>
      </c>
      <c r="D127" s="107">
        <f>IF($B$2="DR",0,PMT('Game Assumptions'!$B$6,'Game Assumptions'!$B$14,Reliability!D10*'Game Assumptions'!$G36))*-1+C127</f>
        <v>0</v>
      </c>
      <c r="E127" s="107">
        <f>IF($B$2="DR",0,PMT('Game Assumptions'!$B$6,'Game Assumptions'!$B$14,Reliability!E10*'Game Assumptions'!$G36))*-1+D127</f>
        <v>0</v>
      </c>
      <c r="F127" s="107">
        <f>IF($B$2="DR",0,PMT('Game Assumptions'!$B$6,'Game Assumptions'!$B$14,Reliability!F10*'Game Assumptions'!$G36))*-1+E127</f>
        <v>0</v>
      </c>
      <c r="G127" s="107">
        <f>IF($B$2="DR",0,PMT('Game Assumptions'!$B$6,'Game Assumptions'!$B$14,Reliability!G10*'Game Assumptions'!$G36))*-1+F127</f>
        <v>0</v>
      </c>
      <c r="H127" s="107">
        <f>IF($B$2="DR",0,PMT('Game Assumptions'!$B$6,'Game Assumptions'!$B$14,Reliability!H10*'Game Assumptions'!$G36))*-1+G127</f>
        <v>0</v>
      </c>
      <c r="I127" s="107">
        <f>IF($B$2="DR",0,PMT('Game Assumptions'!$B$6,'Game Assumptions'!$B$14,Reliability!I10*'Game Assumptions'!$G36))*-1+H127</f>
        <v>0</v>
      </c>
      <c r="J127" s="107">
        <f>IF($B$2="DR",0,PMT('Game Assumptions'!$B$6,'Game Assumptions'!$B$14,Reliability!J10*'Game Assumptions'!$G36))*-1+I127</f>
        <v>0</v>
      </c>
      <c r="K127" s="107">
        <f>IF($B$2="DR",0,PMT('Game Assumptions'!$B$6,'Game Assumptions'!$B$14,Reliability!K10*'Game Assumptions'!$G36))*-1+J127</f>
        <v>0</v>
      </c>
      <c r="L127" s="107">
        <f>IF($B$2="DR",0,PMT('Game Assumptions'!$B$6,'Game Assumptions'!$B$14,Reliability!L10*'Game Assumptions'!$G36))*-1+K127</f>
        <v>0</v>
      </c>
    </row>
    <row r="128" spans="1:12" x14ac:dyDescent="0.25">
      <c r="A128" t="s">
        <v>342</v>
      </c>
      <c r="B128" s="107">
        <f>IF($B$2="DR",0,PMT('Game Assumptions'!$B$6,'Game Assumptions'!$B$14,Reliability!B11*'Game Assumptions'!$G37))*-1</f>
        <v>0</v>
      </c>
      <c r="C128" s="107">
        <f>IF($B$2="DR",0,PMT('Game Assumptions'!$B$6,'Game Assumptions'!$B$14,Reliability!C11*'Game Assumptions'!$G37))*-1+B128</f>
        <v>0</v>
      </c>
      <c r="D128" s="107">
        <f>IF($B$2="DR",0,PMT('Game Assumptions'!$B$6,'Game Assumptions'!$B$14,Reliability!D11*'Game Assumptions'!$G37))*-1+C128</f>
        <v>0</v>
      </c>
      <c r="E128" s="107">
        <f>IF($B$2="DR",0,PMT('Game Assumptions'!$B$6,'Game Assumptions'!$B$14,Reliability!E11*'Game Assumptions'!$G37))*-1+D128</f>
        <v>0</v>
      </c>
      <c r="F128" s="107">
        <f>IF($B$2="DR",0,PMT('Game Assumptions'!$B$6,'Game Assumptions'!$B$14,Reliability!F11*'Game Assumptions'!$G37))*-1+E128</f>
        <v>0</v>
      </c>
      <c r="G128" s="107">
        <f>IF($B$2="DR",0,PMT('Game Assumptions'!$B$6,'Game Assumptions'!$B$14,Reliability!G11*'Game Assumptions'!$G37))*-1+F128</f>
        <v>0</v>
      </c>
      <c r="H128" s="107">
        <f>IF($B$2="DR",0,PMT('Game Assumptions'!$B$6,'Game Assumptions'!$B$14,Reliability!H11*'Game Assumptions'!$G37))*-1+G128</f>
        <v>0</v>
      </c>
      <c r="I128" s="107">
        <f>IF($B$2="DR",0,PMT('Game Assumptions'!$B$6,'Game Assumptions'!$B$14,Reliability!I11*'Game Assumptions'!$G37))*-1+H128</f>
        <v>0</v>
      </c>
      <c r="J128" s="107">
        <f>IF($B$2="DR",0,PMT('Game Assumptions'!$B$6,'Game Assumptions'!$B$14,Reliability!J11*'Game Assumptions'!$G37))*-1+I128</f>
        <v>0</v>
      </c>
      <c r="K128" s="107">
        <f>IF($B$2="DR",0,PMT('Game Assumptions'!$B$6,'Game Assumptions'!$B$14,Reliability!K11*'Game Assumptions'!$G37))*-1+J128</f>
        <v>0</v>
      </c>
      <c r="L128" s="107">
        <f>IF($B$2="DR",0,PMT('Game Assumptions'!$B$6,'Game Assumptions'!$B$14,Reliability!L11*'Game Assumptions'!$G37))*-1+K128</f>
        <v>0</v>
      </c>
    </row>
    <row r="129" spans="1:12" x14ac:dyDescent="0.25">
      <c r="A129" t="s">
        <v>343</v>
      </c>
      <c r="B129" s="107">
        <f>IF($B$2="DR",0,PMT('Game Assumptions'!$B$6,'Game Assumptions'!$B$14,Reliability!B12*'Game Assumptions'!$G38))*-1</f>
        <v>0</v>
      </c>
      <c r="C129" s="107">
        <f>IF($B$2="DR",0,PMT('Game Assumptions'!$B$6,'Game Assumptions'!$B$14,Reliability!C12*'Game Assumptions'!$G38))*-1+B129</f>
        <v>0</v>
      </c>
      <c r="D129" s="107">
        <f>IF($B$2="DR",0,PMT('Game Assumptions'!$B$6,'Game Assumptions'!$B$14,Reliability!D12*'Game Assumptions'!$G38))*-1+C129</f>
        <v>0</v>
      </c>
      <c r="E129" s="107">
        <f>IF($B$2="DR",0,PMT('Game Assumptions'!$B$6,'Game Assumptions'!$B$14,Reliability!E12*'Game Assumptions'!$G38))*-1+D129</f>
        <v>0</v>
      </c>
      <c r="F129" s="107">
        <f>IF($B$2="DR",0,PMT('Game Assumptions'!$B$6,'Game Assumptions'!$B$14,Reliability!F12*'Game Assumptions'!$G38))*-1+E129</f>
        <v>0</v>
      </c>
      <c r="G129" s="107">
        <f>IF($B$2="DR",0,PMT('Game Assumptions'!$B$6,'Game Assumptions'!$B$14,Reliability!G12*'Game Assumptions'!$G38))*-1+F129</f>
        <v>0</v>
      </c>
      <c r="H129" s="107">
        <f>IF($B$2="DR",0,PMT('Game Assumptions'!$B$6,'Game Assumptions'!$B$14,Reliability!H12*'Game Assumptions'!$G38))*-1+G129</f>
        <v>0</v>
      </c>
      <c r="I129" s="107">
        <f>IF($B$2="DR",0,PMT('Game Assumptions'!$B$6,'Game Assumptions'!$B$14,Reliability!I12*'Game Assumptions'!$G38))*-1+H129</f>
        <v>0</v>
      </c>
      <c r="J129" s="107">
        <f>IF($B$2="DR",0,PMT('Game Assumptions'!$B$6,'Game Assumptions'!$B$14,Reliability!J12*'Game Assumptions'!$G38))*-1+I129</f>
        <v>0</v>
      </c>
      <c r="K129" s="107">
        <f>IF($B$2="DR",0,PMT('Game Assumptions'!$B$6,'Game Assumptions'!$B$14,Reliability!K12*'Game Assumptions'!$G38))*-1+J129</f>
        <v>0</v>
      </c>
      <c r="L129" s="107">
        <f>IF($B$2="DR",0,PMT('Game Assumptions'!$B$6,'Game Assumptions'!$B$14,Reliability!L12*'Game Assumptions'!$G38))*-1+K129</f>
        <v>0</v>
      </c>
    </row>
    <row r="130" spans="1:12" x14ac:dyDescent="0.25">
      <c r="A130" s="12" t="s">
        <v>95</v>
      </c>
      <c r="B130" s="7">
        <f>Reliability!B39*'Game Assumptions'!$B$111</f>
        <v>0</v>
      </c>
      <c r="C130" s="107">
        <f>IF($B$2="DR",0,PMT('Game Assumptions'!$B$6,'Game Assumptions'!$B$14,Reliability!C14*'Game Assumptions'!$G39))*-1+B130</f>
        <v>0</v>
      </c>
      <c r="D130" s="107">
        <f>IF($B$2="DR",0,PMT('Game Assumptions'!$B$6,'Game Assumptions'!$B$14,Reliability!D14*'Game Assumptions'!$G39))*-1+C130</f>
        <v>0</v>
      </c>
      <c r="E130" s="107">
        <f>IF($B$2="DR",0,PMT('Game Assumptions'!$B$6,'Game Assumptions'!$B$14,Reliability!E14*'Game Assumptions'!$G39))*-1+D130</f>
        <v>0</v>
      </c>
      <c r="F130" s="107">
        <f>IF($B$2="DR",0,PMT('Game Assumptions'!$B$6,'Game Assumptions'!$B$14,Reliability!F14*'Game Assumptions'!$G39))*-1+E130</f>
        <v>0</v>
      </c>
      <c r="G130" s="107">
        <f>IF($B$2="DR",0,PMT('Game Assumptions'!$B$6,'Game Assumptions'!$B$14,Reliability!G14*'Game Assumptions'!$G39))*-1+F130</f>
        <v>0</v>
      </c>
      <c r="H130" s="107">
        <f>IF($B$2="DR",0,PMT('Game Assumptions'!$B$6,'Game Assumptions'!$B$14,Reliability!H14*'Game Assumptions'!$G39))*-1+G130</f>
        <v>0</v>
      </c>
      <c r="I130" s="107">
        <f>IF($B$2="DR",0,PMT('Game Assumptions'!$B$6,'Game Assumptions'!$B$14,Reliability!I14*'Game Assumptions'!$G39))*-1+H130</f>
        <v>0</v>
      </c>
      <c r="J130" s="107">
        <f>IF($B$2="DR",0,PMT('Game Assumptions'!$B$6,'Game Assumptions'!$B$14,Reliability!J14*'Game Assumptions'!$G39))*-1+I130</f>
        <v>0</v>
      </c>
      <c r="K130" s="107">
        <f>IF($B$2="DR",0,PMT('Game Assumptions'!$B$6,'Game Assumptions'!$B$14,Reliability!K14*'Game Assumptions'!$G39))*-1+J130</f>
        <v>0</v>
      </c>
      <c r="L130" s="107">
        <f>IF($B$2="DR",0,PMT('Game Assumptions'!$B$6,'Game Assumptions'!$B$14,Reliability!L14*'Game Assumptions'!$G39))*-1+K130</f>
        <v>0</v>
      </c>
    </row>
    <row r="131" spans="1:12" x14ac:dyDescent="0.25">
      <c r="A131" s="12" t="s">
        <v>96</v>
      </c>
      <c r="B131" s="7">
        <f>PMT('Game Assumptions'!$B$6,'Game Assumptions'!$B$14,SUM('Game Assumptions'!$B$135:$B$136)*Reliability!B13)*-1</f>
        <v>0</v>
      </c>
      <c r="C131" s="107">
        <f>PMT('Game Assumptions'!$B$6,'Game Assumptions'!$B$14,SUM('Game Assumptions'!$B$135:$B$136)*Reliability!C13)*-1+B131</f>
        <v>0</v>
      </c>
      <c r="D131" s="107">
        <f>PMT('Game Assumptions'!$B$6,'Game Assumptions'!$B$14,SUM('Game Assumptions'!$B$135:$B$136)*Reliability!D13)*-1+C131</f>
        <v>0</v>
      </c>
      <c r="E131" s="107">
        <f>PMT('Game Assumptions'!$B$6,'Game Assumptions'!$B$14,SUM('Game Assumptions'!$B$135:$B$136)*Reliability!E13)*-1+D131</f>
        <v>0</v>
      </c>
      <c r="F131" s="107">
        <f>PMT('Game Assumptions'!$B$6,'Game Assumptions'!$B$14,SUM('Game Assumptions'!$B$135:$B$136)*Reliability!F13)*-1+E131</f>
        <v>0</v>
      </c>
      <c r="G131" s="107">
        <f>PMT('Game Assumptions'!$B$6,'Game Assumptions'!$B$14,SUM('Game Assumptions'!$B$135:$B$136)*Reliability!G13)*-1+F131</f>
        <v>0</v>
      </c>
      <c r="H131" s="107">
        <f>PMT('Game Assumptions'!$B$6,'Game Assumptions'!$B$14,SUM('Game Assumptions'!$B$135:$B$136)*Reliability!H13)*-1+G131</f>
        <v>0</v>
      </c>
      <c r="I131" s="107">
        <f>PMT('Game Assumptions'!$B$6,'Game Assumptions'!$B$14,SUM('Game Assumptions'!$B$135:$B$136)*Reliability!I13)*-1+H131</f>
        <v>0</v>
      </c>
      <c r="J131" s="107">
        <f>PMT('Game Assumptions'!$B$6,'Game Assumptions'!$B$14,SUM('Game Assumptions'!$B$135:$B$136)*Reliability!J13)*-1+I131</f>
        <v>0</v>
      </c>
      <c r="K131" s="107">
        <f>PMT('Game Assumptions'!$B$6,'Game Assumptions'!$B$14,SUM('Game Assumptions'!$B$135:$B$136)*Reliability!K13)*-1+J131</f>
        <v>0</v>
      </c>
      <c r="L131" s="107">
        <f>PMT('Game Assumptions'!$B$6,'Game Assumptions'!$B$14,SUM('Game Assumptions'!$B$135:$B$136)*Reliability!L13)*-1+K131</f>
        <v>0</v>
      </c>
    </row>
    <row r="132" spans="1:12" x14ac:dyDescent="0.25">
      <c r="A132" s="22" t="s">
        <v>458</v>
      </c>
      <c r="B132" s="81"/>
      <c r="C132" s="81"/>
      <c r="D132" s="81"/>
      <c r="E132" s="81"/>
      <c r="F132" s="81"/>
      <c r="G132" s="81"/>
      <c r="H132" s="81"/>
      <c r="I132" s="81"/>
      <c r="J132" s="81"/>
      <c r="K132" s="81"/>
      <c r="L132" s="81"/>
    </row>
    <row r="133" spans="1:12" x14ac:dyDescent="0.25">
      <c r="A133" s="34" t="s">
        <v>108</v>
      </c>
      <c r="B133" s="45"/>
      <c r="C133" s="45"/>
      <c r="D133" s="45"/>
      <c r="E133" s="45"/>
      <c r="F133" s="45"/>
      <c r="G133" s="45"/>
      <c r="H133" s="45"/>
      <c r="I133" s="45"/>
      <c r="J133" s="45"/>
      <c r="K133" s="45"/>
      <c r="L133" s="45"/>
    </row>
    <row r="134" spans="1:12" x14ac:dyDescent="0.25">
      <c r="A134" s="52" t="s">
        <v>106</v>
      </c>
      <c r="B134" s="45"/>
      <c r="C134" s="45"/>
      <c r="D134" s="45"/>
      <c r="E134" s="45"/>
      <c r="F134" s="45"/>
      <c r="G134" s="45"/>
      <c r="H134" s="45"/>
      <c r="I134" s="45"/>
      <c r="J134" s="45"/>
      <c r="K134" s="45"/>
      <c r="L134" s="45"/>
    </row>
    <row r="135" spans="1:12" x14ac:dyDescent="0.25">
      <c r="A135" t="s">
        <v>83</v>
      </c>
      <c r="B135" s="25">
        <f t="shared" ref="B135:L135" si="16">B29</f>
        <v>87508900</v>
      </c>
      <c r="C135" s="25">
        <f t="shared" si="16"/>
        <v>78152500</v>
      </c>
      <c r="D135" s="25">
        <f t="shared" si="16"/>
        <v>78152500</v>
      </c>
      <c r="E135" s="25">
        <f t="shared" si="16"/>
        <v>31512500</v>
      </c>
      <c r="F135" s="25">
        <f t="shared" si="16"/>
        <v>31512500</v>
      </c>
      <c r="G135" s="25">
        <f t="shared" si="16"/>
        <v>28393700</v>
      </c>
      <c r="H135" s="25">
        <f t="shared" si="16"/>
        <v>28393700</v>
      </c>
      <c r="I135" s="25">
        <f t="shared" si="16"/>
        <v>28393700</v>
      </c>
      <c r="J135" s="25">
        <f t="shared" si="16"/>
        <v>28393700</v>
      </c>
      <c r="K135" s="25">
        <f t="shared" si="16"/>
        <v>28393700</v>
      </c>
      <c r="L135" s="25">
        <f t="shared" si="16"/>
        <v>28393700</v>
      </c>
    </row>
    <row r="136" spans="1:12" x14ac:dyDescent="0.25">
      <c r="A136" t="s">
        <v>84</v>
      </c>
      <c r="B136" s="25">
        <f t="shared" ref="B136:L136" si="17">B30</f>
        <v>34089442.200000003</v>
      </c>
      <c r="C136" s="25">
        <f t="shared" si="17"/>
        <v>33733932.299999997</v>
      </c>
      <c r="D136" s="25">
        <f t="shared" si="17"/>
        <v>38143545.299999997</v>
      </c>
      <c r="E136" s="25">
        <f t="shared" si="17"/>
        <v>33682681.799999997</v>
      </c>
      <c r="F136" s="25">
        <f t="shared" si="17"/>
        <v>33682681.799999997</v>
      </c>
      <c r="G136" s="25">
        <f t="shared" si="17"/>
        <v>31333249.800000001</v>
      </c>
      <c r="H136" s="25">
        <f t="shared" si="17"/>
        <v>31333249.800000001</v>
      </c>
      <c r="I136" s="25">
        <f t="shared" si="17"/>
        <v>31333249.800000001</v>
      </c>
      <c r="J136" s="25">
        <f t="shared" si="17"/>
        <v>31333249.800000001</v>
      </c>
      <c r="K136" s="25">
        <f t="shared" si="17"/>
        <v>31333249.800000001</v>
      </c>
      <c r="L136" s="25">
        <f t="shared" si="17"/>
        <v>31333249.800000001</v>
      </c>
    </row>
    <row r="137" spans="1:12" x14ac:dyDescent="0.25">
      <c r="A137" s="12" t="s">
        <v>85</v>
      </c>
      <c r="B137" s="99">
        <f t="shared" ref="B137:L137" si="18">B31</f>
        <v>156582030.59999999</v>
      </c>
      <c r="C137" s="99">
        <f t="shared" si="18"/>
        <v>160536709.80000001</v>
      </c>
      <c r="D137" s="99">
        <f t="shared" si="18"/>
        <v>167041593</v>
      </c>
      <c r="E137" s="99">
        <f t="shared" si="18"/>
        <v>150918418.80000001</v>
      </c>
      <c r="F137" s="99">
        <f t="shared" si="18"/>
        <v>150564690</v>
      </c>
      <c r="G137" s="99">
        <f t="shared" si="18"/>
        <v>142066789.19999999</v>
      </c>
      <c r="H137" s="99">
        <f t="shared" si="18"/>
        <v>154579748.40000001</v>
      </c>
      <c r="I137" s="99">
        <f t="shared" si="18"/>
        <v>167092707.59999999</v>
      </c>
      <c r="J137" s="99">
        <f t="shared" si="18"/>
        <v>174744918</v>
      </c>
      <c r="K137" s="99">
        <f t="shared" si="18"/>
        <v>179197407</v>
      </c>
      <c r="L137" s="99">
        <f t="shared" si="18"/>
        <v>184221748.79999998</v>
      </c>
    </row>
    <row r="138" spans="1:12" x14ac:dyDescent="0.25">
      <c r="A138" s="22" t="s">
        <v>298</v>
      </c>
      <c r="B138" s="35" t="e">
        <f>#REF!</f>
        <v>#REF!</v>
      </c>
      <c r="C138" s="35" t="e">
        <f>#REF!</f>
        <v>#REF!</v>
      </c>
      <c r="D138" s="35" t="e">
        <f>#REF!</f>
        <v>#REF!</v>
      </c>
      <c r="E138" s="35" t="e">
        <f>#REF!</f>
        <v>#REF!</v>
      </c>
      <c r="F138" s="35" t="e">
        <f>#REF!</f>
        <v>#REF!</v>
      </c>
      <c r="G138" s="35" t="e">
        <f>#REF!</f>
        <v>#REF!</v>
      </c>
      <c r="H138" s="35" t="e">
        <f>#REF!</f>
        <v>#REF!</v>
      </c>
      <c r="I138" s="35" t="e">
        <f>#REF!</f>
        <v>#REF!</v>
      </c>
      <c r="J138" s="35" t="e">
        <f>#REF!</f>
        <v>#REF!</v>
      </c>
      <c r="K138" s="35" t="e">
        <f>#REF!</f>
        <v>#REF!</v>
      </c>
      <c r="L138" s="35" t="e">
        <f>#REF!</f>
        <v>#REF!</v>
      </c>
    </row>
    <row r="139" spans="1:12" x14ac:dyDescent="0.25">
      <c r="A139" s="82" t="s">
        <v>245</v>
      </c>
      <c r="B139" s="35"/>
      <c r="C139" s="35"/>
      <c r="D139" s="35"/>
      <c r="E139" s="35"/>
      <c r="F139" s="35"/>
      <c r="G139" s="35"/>
      <c r="H139" s="35"/>
      <c r="I139" s="35"/>
      <c r="J139" s="35"/>
      <c r="K139" s="35"/>
      <c r="L139" s="35"/>
    </row>
    <row r="140" spans="1:12" x14ac:dyDescent="0.25">
      <c r="A140" s="71" t="s">
        <v>246</v>
      </c>
      <c r="B140" s="25">
        <f t="shared" ref="B140:L140" si="19">B33</f>
        <v>29791461.006910168</v>
      </c>
      <c r="C140" s="25">
        <f t="shared" si="19"/>
        <v>29791461.006910168</v>
      </c>
      <c r="D140" s="25">
        <f t="shared" si="19"/>
        <v>29791461.006910168</v>
      </c>
      <c r="E140" s="25">
        <f t="shared" si="19"/>
        <v>29791461.006910168</v>
      </c>
      <c r="F140" s="25">
        <f t="shared" si="19"/>
        <v>29791461.006910168</v>
      </c>
      <c r="G140" s="25">
        <f t="shared" si="19"/>
        <v>29791461.006910168</v>
      </c>
      <c r="H140" s="25">
        <f t="shared" si="19"/>
        <v>29791461.006910168</v>
      </c>
      <c r="I140" s="25">
        <f t="shared" si="19"/>
        <v>29791461.006910168</v>
      </c>
      <c r="J140" s="25">
        <f t="shared" si="19"/>
        <v>29791461.006910168</v>
      </c>
      <c r="K140" s="25">
        <f t="shared" si="19"/>
        <v>29791461.006910168</v>
      </c>
      <c r="L140" s="25">
        <f t="shared" si="19"/>
        <v>29791461.006910168</v>
      </c>
    </row>
    <row r="141" spans="1:12" x14ac:dyDescent="0.25">
      <c r="A141" s="72" t="s">
        <v>248</v>
      </c>
      <c r="B141" s="25">
        <f t="shared" ref="B141:L141" si="20">B34</f>
        <v>424000</v>
      </c>
      <c r="C141" s="25">
        <f t="shared" si="20"/>
        <v>424000</v>
      </c>
      <c r="D141" s="25">
        <f t="shared" si="20"/>
        <v>424000</v>
      </c>
      <c r="E141" s="25">
        <f t="shared" si="20"/>
        <v>424000</v>
      </c>
      <c r="F141" s="25">
        <f t="shared" si="20"/>
        <v>424000</v>
      </c>
      <c r="G141" s="25">
        <f t="shared" si="20"/>
        <v>424000</v>
      </c>
      <c r="H141" s="25">
        <f t="shared" si="20"/>
        <v>424000</v>
      </c>
      <c r="I141" s="25">
        <f t="shared" si="20"/>
        <v>424000</v>
      </c>
      <c r="J141" s="25">
        <f t="shared" si="20"/>
        <v>424000</v>
      </c>
      <c r="K141" s="25">
        <f t="shared" si="20"/>
        <v>424000</v>
      </c>
      <c r="L141" s="25">
        <f t="shared" si="20"/>
        <v>424000</v>
      </c>
    </row>
    <row r="142" spans="1:12" ht="15.75" thickBot="1" x14ac:dyDescent="0.3">
      <c r="A142" s="95" t="s">
        <v>285</v>
      </c>
      <c r="B142" s="96" t="e">
        <f>SUM(B115:B132,B135:B138,B140:B141)</f>
        <v>#REF!</v>
      </c>
      <c r="C142" s="96" t="e">
        <f t="shared" ref="C142:L142" si="21">SUM(C115:C132,C135:C138,C140:C141)</f>
        <v>#REF!</v>
      </c>
      <c r="D142" s="96" t="e">
        <f t="shared" si="21"/>
        <v>#REF!</v>
      </c>
      <c r="E142" s="96" t="e">
        <f t="shared" si="21"/>
        <v>#REF!</v>
      </c>
      <c r="F142" s="96" t="e">
        <f t="shared" si="21"/>
        <v>#REF!</v>
      </c>
      <c r="G142" s="96" t="e">
        <f t="shared" si="21"/>
        <v>#REF!</v>
      </c>
      <c r="H142" s="96" t="e">
        <f t="shared" si="21"/>
        <v>#REF!</v>
      </c>
      <c r="I142" s="96" t="e">
        <f t="shared" si="21"/>
        <v>#REF!</v>
      </c>
      <c r="J142" s="96" t="e">
        <f t="shared" si="21"/>
        <v>#REF!</v>
      </c>
      <c r="K142" s="96" t="e">
        <f t="shared" si="21"/>
        <v>#REF!</v>
      </c>
      <c r="L142" s="96" t="e">
        <f t="shared" si="21"/>
        <v>#REF!</v>
      </c>
    </row>
    <row r="143" spans="1:12" ht="16.5" thickTop="1" thickBot="1" x14ac:dyDescent="0.3">
      <c r="A143" s="94" t="s">
        <v>287</v>
      </c>
      <c r="B143" s="97" t="e">
        <f t="shared" ref="B143:L143" si="22">B110-B142</f>
        <v>#REF!</v>
      </c>
      <c r="C143" s="97" t="e">
        <f t="shared" si="22"/>
        <v>#REF!</v>
      </c>
      <c r="D143" s="97" t="e">
        <f t="shared" si="22"/>
        <v>#REF!</v>
      </c>
      <c r="E143" s="97" t="e">
        <f t="shared" si="22"/>
        <v>#REF!</v>
      </c>
      <c r="F143" s="97" t="e">
        <f t="shared" si="22"/>
        <v>#REF!</v>
      </c>
      <c r="G143" s="97" t="e">
        <f t="shared" si="22"/>
        <v>#REF!</v>
      </c>
      <c r="H143" s="97" t="e">
        <f t="shared" si="22"/>
        <v>#REF!</v>
      </c>
      <c r="I143" s="97" t="e">
        <f t="shared" si="22"/>
        <v>#REF!</v>
      </c>
      <c r="J143" s="97" t="e">
        <f t="shared" si="22"/>
        <v>#REF!</v>
      </c>
      <c r="K143" s="97" t="e">
        <f t="shared" si="22"/>
        <v>#REF!</v>
      </c>
      <c r="L143" s="97" t="e">
        <f t="shared" si="22"/>
        <v>#REF!</v>
      </c>
    </row>
    <row r="144" spans="1:12" ht="16.5" thickTop="1" thickBot="1" x14ac:dyDescent="0.3">
      <c r="A144" s="94" t="s">
        <v>430</v>
      </c>
      <c r="B144" s="152" t="e">
        <f>B143/'Game Assumptions'!$B$17</f>
        <v>#REF!</v>
      </c>
      <c r="C144" s="152" t="e">
        <f>C143/'Game Assumptions'!$B$17</f>
        <v>#REF!</v>
      </c>
      <c r="D144" s="152" t="e">
        <f>D143/'Game Assumptions'!$B$17</f>
        <v>#REF!</v>
      </c>
      <c r="E144" s="152" t="e">
        <f>E143/'Game Assumptions'!$B$17</f>
        <v>#REF!</v>
      </c>
      <c r="F144" s="152" t="e">
        <f>F143/'Game Assumptions'!$B$17</f>
        <v>#REF!</v>
      </c>
      <c r="G144" s="152" t="e">
        <f>G143/'Game Assumptions'!$B$17</f>
        <v>#REF!</v>
      </c>
      <c r="H144" s="152" t="e">
        <f>H143/'Game Assumptions'!$B$17</f>
        <v>#REF!</v>
      </c>
      <c r="I144" s="152" t="e">
        <f>I143/'Game Assumptions'!$B$17</f>
        <v>#REF!</v>
      </c>
      <c r="J144" s="152" t="e">
        <f>J143/'Game Assumptions'!$B$17</f>
        <v>#REF!</v>
      </c>
      <c r="K144" s="152" t="e">
        <f>K143/'Game Assumptions'!$B$17</f>
        <v>#REF!</v>
      </c>
      <c r="L144" s="152" t="e">
        <f>L143/'Game Assumptions'!$B$17</f>
        <v>#REF!</v>
      </c>
    </row>
    <row r="145" spans="2:2" ht="15.75" thickTop="1" x14ac:dyDescent="0.25"/>
    <row r="146" spans="2:2" x14ac:dyDescent="0.25">
      <c r="B146" s="18"/>
    </row>
    <row r="149" spans="2:2" x14ac:dyDescent="0.25">
      <c r="B149" s="6"/>
    </row>
  </sheetData>
  <conditionalFormatting sqref="A40:XFD40 A44:XFD49 A51:XFD53 A65:XFD65 B69:XFD74 B76:XFD78 A115:XFD115 A119:XFD124 A126:XFD128 A9:XFD9 A13:XFD18 A20:XFD22">
    <cfRule type="expression" dxfId="2" priority="3">
      <formula>$B$2="DR"</formula>
    </cfRule>
  </conditionalFormatting>
  <conditionalFormatting sqref="A138:XFD138">
    <cfRule type="expression" dxfId="1" priority="2">
      <formula>$B$2="GTDR"</formula>
    </cfRule>
  </conditionalFormatting>
  <conditionalFormatting sqref="A69:A74 A76:A78">
    <cfRule type="expression" dxfId="0" priority="1">
      <formula>$B$2="DR"</formula>
    </cfRule>
  </conditionalFormatting>
  <pageMargins left="0.7" right="0.7" top="0.75" bottom="0.75" header="0.3" footer="0.3"/>
  <pageSetup orientation="portrait" r:id="rId1"/>
  <cellWatches>
    <cellWatch r="C98"/>
  </cellWatche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5"/>
  </sheetPr>
  <dimension ref="A1:O3"/>
  <sheetViews>
    <sheetView workbookViewId="0">
      <selection activeCell="C2" sqref="C2"/>
    </sheetView>
  </sheetViews>
  <sheetFormatPr defaultRowHeight="15" x14ac:dyDescent="0.25"/>
  <cols>
    <col min="1" max="1" width="27.140625" bestFit="1" customWidth="1"/>
    <col min="14" max="14" width="14" bestFit="1" customWidth="1"/>
  </cols>
  <sheetData>
    <row r="1" spans="1:15" ht="15.75" thickBot="1" x14ac:dyDescent="0.3">
      <c r="A1" s="9" t="s">
        <v>167</v>
      </c>
      <c r="B1" s="9">
        <v>0</v>
      </c>
      <c r="C1" s="9">
        <v>1</v>
      </c>
      <c r="D1" s="9">
        <v>2</v>
      </c>
      <c r="E1" s="9">
        <v>3</v>
      </c>
      <c r="F1" s="9">
        <v>4</v>
      </c>
      <c r="G1" s="9">
        <v>5</v>
      </c>
      <c r="H1" s="9">
        <v>6</v>
      </c>
      <c r="I1" s="9">
        <v>7</v>
      </c>
      <c r="J1" s="9">
        <v>8</v>
      </c>
      <c r="K1" s="9">
        <v>9</v>
      </c>
      <c r="L1" s="9">
        <v>10</v>
      </c>
      <c r="N1" s="117" t="s">
        <v>306</v>
      </c>
      <c r="O1" s="117">
        <f>Current_Round</f>
        <v>0</v>
      </c>
    </row>
    <row r="2" spans="1:15" x14ac:dyDescent="0.25">
      <c r="A2" t="s">
        <v>168</v>
      </c>
      <c r="B2">
        <f>SUMPRODUCT(Dispatch!B118:B119,'Game Assumptions'!$K$28:$K$29)</f>
        <v>3993161.4</v>
      </c>
      <c r="C2">
        <f>SUMPRODUCT(Dispatch!C118:C119,'Game Assumptions'!$K$28:$K$29)</f>
        <v>2908830.75</v>
      </c>
      <c r="D2">
        <f>SUMPRODUCT(Dispatch!D118:D119,'Game Assumptions'!$K$28:$K$29)</f>
        <v>3311216.25</v>
      </c>
      <c r="E2">
        <f>SUMPRODUCT(Dispatch!E118:E119,'Game Assumptions'!$K$28:$K$29)</f>
        <v>3673944</v>
      </c>
      <c r="F2">
        <f>SUMPRODUCT(Dispatch!F118:F119,'Game Assumptions'!$K$28:$K$29)</f>
        <v>3673944</v>
      </c>
      <c r="G2">
        <f>SUMPRODUCT(Dispatch!G118:G119,'Game Assumptions'!$K$28:$K$29)</f>
        <v>3108924</v>
      </c>
      <c r="H2">
        <f>SUMPRODUCT(Dispatch!H118:H119,'Game Assumptions'!$K$28:$K$29)</f>
        <v>3108924</v>
      </c>
      <c r="I2">
        <f>SUMPRODUCT(Dispatch!I118:I119,'Game Assumptions'!$K$28:$K$29)</f>
        <v>3108924</v>
      </c>
      <c r="J2">
        <f>SUMPRODUCT(Dispatch!J118:J119,'Game Assumptions'!$K$28:$K$29)</f>
        <v>3108924</v>
      </c>
      <c r="K2">
        <f>SUMPRODUCT(Dispatch!K118:K119,'Game Assumptions'!$K$28:$K$29)</f>
        <v>3108924</v>
      </c>
      <c r="L2">
        <f>SUMPRODUCT(Dispatch!L118:L119,'Game Assumptions'!$K$28:$K$29)</f>
        <v>3108924</v>
      </c>
    </row>
    <row r="3" spans="1:15" x14ac:dyDescent="0.25">
      <c r="A3" t="s">
        <v>394</v>
      </c>
      <c r="B3">
        <f>B2*2000/Dispatch!B106</f>
        <v>898.29849839716553</v>
      </c>
      <c r="C3">
        <f>C2*2000/Dispatch!C106</f>
        <v>698.971846063459</v>
      </c>
      <c r="D3">
        <f>D2*2000/Dispatch!D106</f>
        <v>736.78611123163853</v>
      </c>
      <c r="E3">
        <f>E2*2000/Dispatch!E106</f>
        <v>848.01588034345855</v>
      </c>
      <c r="F3">
        <f>F2*2000/Dispatch!F106</f>
        <v>863.97358655623441</v>
      </c>
      <c r="G3">
        <f>G2*2000/Dispatch!G106</f>
        <v>747.68348334265249</v>
      </c>
      <c r="H3">
        <f>H2*2000/Dispatch!H106</f>
        <v>812.36900588844742</v>
      </c>
      <c r="I3">
        <f>I2*2000/Dispatch!I106</f>
        <v>772.8623953105074</v>
      </c>
      <c r="J3">
        <f>J2*2000/Dispatch!J106</f>
        <v>807.3135200405095</v>
      </c>
      <c r="K3">
        <f>K2*2000/Dispatch!K106</f>
        <v>852.69329032735834</v>
      </c>
      <c r="L3">
        <f>L2*2000/Dispatch!L106</f>
        <v>835.55818344296551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5"/>
  </sheetPr>
  <dimension ref="A1:O126"/>
  <sheetViews>
    <sheetView topLeftCell="A51" workbookViewId="0">
      <selection activeCell="D92" sqref="D92"/>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181</v>
      </c>
      <c r="B1" s="9">
        <v>0</v>
      </c>
      <c r="C1" s="9">
        <v>1</v>
      </c>
      <c r="D1" s="9">
        <v>2</v>
      </c>
      <c r="E1" s="9">
        <v>3</v>
      </c>
      <c r="F1" s="9">
        <v>4</v>
      </c>
      <c r="G1" s="9">
        <v>5</v>
      </c>
      <c r="H1" s="9">
        <v>6</v>
      </c>
      <c r="I1" s="9">
        <v>7</v>
      </c>
      <c r="J1" s="9">
        <v>8</v>
      </c>
      <c r="K1" s="9">
        <v>9</v>
      </c>
      <c r="L1" s="9">
        <v>10</v>
      </c>
      <c r="N1" s="116" t="s">
        <v>306</v>
      </c>
      <c r="O1" s="104">
        <f>'Event Tracker'!P1</f>
        <v>0</v>
      </c>
    </row>
    <row r="2" spans="1:15" x14ac:dyDescent="0.25">
      <c r="A2" t="s">
        <v>204</v>
      </c>
      <c r="B2">
        <v>300</v>
      </c>
      <c r="C2">
        <v>200</v>
      </c>
      <c r="D2">
        <v>200</v>
      </c>
      <c r="E2">
        <v>200</v>
      </c>
      <c r="F2">
        <v>200</v>
      </c>
      <c r="G2">
        <v>200</v>
      </c>
      <c r="H2">
        <v>200</v>
      </c>
      <c r="I2">
        <v>200</v>
      </c>
      <c r="J2">
        <v>200</v>
      </c>
      <c r="K2">
        <v>200</v>
      </c>
      <c r="L2">
        <v>200</v>
      </c>
    </row>
    <row r="3" spans="1:15" x14ac:dyDescent="0.25">
      <c r="A3" t="s">
        <v>183</v>
      </c>
      <c r="B3">
        <v>10</v>
      </c>
      <c r="C3">
        <v>10</v>
      </c>
      <c r="D3">
        <v>10</v>
      </c>
      <c r="E3">
        <v>10</v>
      </c>
      <c r="F3">
        <v>10</v>
      </c>
      <c r="G3">
        <v>10</v>
      </c>
      <c r="H3">
        <v>10</v>
      </c>
      <c r="I3">
        <v>10</v>
      </c>
      <c r="J3">
        <v>10</v>
      </c>
      <c r="K3">
        <v>10</v>
      </c>
      <c r="L3">
        <v>10</v>
      </c>
    </row>
    <row r="4" spans="1:15" x14ac:dyDescent="0.25">
      <c r="A4" t="s">
        <v>182</v>
      </c>
      <c r="B4">
        <v>200</v>
      </c>
      <c r="C4">
        <v>100</v>
      </c>
      <c r="D4">
        <v>100</v>
      </c>
      <c r="E4">
        <v>100</v>
      </c>
      <c r="F4">
        <v>100</v>
      </c>
      <c r="G4">
        <v>100</v>
      </c>
      <c r="H4">
        <v>100</v>
      </c>
      <c r="I4">
        <v>100</v>
      </c>
      <c r="J4">
        <v>100</v>
      </c>
      <c r="K4">
        <v>100</v>
      </c>
      <c r="L4">
        <v>100</v>
      </c>
    </row>
    <row r="5" spans="1:15" x14ac:dyDescent="0.25">
      <c r="A5" t="s">
        <v>39</v>
      </c>
      <c r="B5">
        <v>50</v>
      </c>
      <c r="C5">
        <v>50</v>
      </c>
      <c r="D5">
        <v>50</v>
      </c>
      <c r="E5">
        <v>50</v>
      </c>
      <c r="F5">
        <v>50</v>
      </c>
      <c r="G5">
        <v>50</v>
      </c>
      <c r="H5">
        <v>50</v>
      </c>
      <c r="I5">
        <v>50</v>
      </c>
      <c r="J5">
        <v>50</v>
      </c>
      <c r="K5">
        <v>50</v>
      </c>
      <c r="L5">
        <v>50</v>
      </c>
    </row>
    <row r="6" spans="1:15" x14ac:dyDescent="0.25">
      <c r="A6" t="s">
        <v>423</v>
      </c>
      <c r="B6" s="16">
        <f>B63-SUM(B83:B85)</f>
        <v>1984.794520547945</v>
      </c>
      <c r="C6" s="16">
        <f>B6</f>
        <v>1984.794520547945</v>
      </c>
      <c r="D6" s="16">
        <f t="shared" ref="D6:L6" si="0">C6</f>
        <v>1984.794520547945</v>
      </c>
      <c r="E6" s="16">
        <f t="shared" si="0"/>
        <v>1984.794520547945</v>
      </c>
      <c r="F6" s="16">
        <f t="shared" si="0"/>
        <v>1984.794520547945</v>
      </c>
      <c r="G6" s="16">
        <f t="shared" si="0"/>
        <v>1984.794520547945</v>
      </c>
      <c r="H6" s="16">
        <f t="shared" si="0"/>
        <v>1984.794520547945</v>
      </c>
      <c r="I6" s="16">
        <f t="shared" si="0"/>
        <v>1984.794520547945</v>
      </c>
      <c r="J6" s="16">
        <f t="shared" si="0"/>
        <v>1984.794520547945</v>
      </c>
      <c r="K6" s="16">
        <f t="shared" si="0"/>
        <v>1984.794520547945</v>
      </c>
      <c r="L6" s="16">
        <f t="shared" si="0"/>
        <v>1984.794520547945</v>
      </c>
    </row>
    <row r="8" spans="1:15" x14ac:dyDescent="0.25">
      <c r="A8" s="9" t="s">
        <v>184</v>
      </c>
      <c r="B8" s="9">
        <v>0</v>
      </c>
      <c r="C8" s="9">
        <v>1</v>
      </c>
      <c r="D8" s="9">
        <v>2</v>
      </c>
      <c r="E8" s="9">
        <v>3</v>
      </c>
      <c r="F8" s="9">
        <v>4</v>
      </c>
      <c r="G8" s="9">
        <v>5</v>
      </c>
      <c r="H8" s="9">
        <v>6</v>
      </c>
      <c r="I8" s="9">
        <v>7</v>
      </c>
      <c r="J8" s="9">
        <v>8</v>
      </c>
      <c r="K8" s="9">
        <v>9</v>
      </c>
      <c r="L8" s="9">
        <v>10</v>
      </c>
    </row>
    <row r="9" spans="1:15" x14ac:dyDescent="0.25">
      <c r="A9" t="s">
        <v>204</v>
      </c>
      <c r="B9" s="88">
        <v>0</v>
      </c>
      <c r="C9" s="88">
        <f>Gameplay!$D$17</f>
        <v>0</v>
      </c>
      <c r="D9" s="88">
        <f>Gameplay!$D$17</f>
        <v>0</v>
      </c>
      <c r="E9" s="88">
        <f>Gameplay!$D$17</f>
        <v>0</v>
      </c>
      <c r="F9" s="88">
        <f>Gameplay!$D$17</f>
        <v>0</v>
      </c>
      <c r="G9" s="88">
        <f>Gameplay!$D$17</f>
        <v>0</v>
      </c>
      <c r="H9" s="88">
        <f>Gameplay!$D$17</f>
        <v>0</v>
      </c>
      <c r="I9" s="88">
        <f>Gameplay!$D$17</f>
        <v>0</v>
      </c>
      <c r="J9" s="88">
        <f>Gameplay!$D$17</f>
        <v>0</v>
      </c>
      <c r="K9" s="88">
        <f>Gameplay!$D$17</f>
        <v>0</v>
      </c>
      <c r="L9" s="88">
        <f>Gameplay!$D$17</f>
        <v>0</v>
      </c>
    </row>
    <row r="10" spans="1:15" x14ac:dyDescent="0.25">
      <c r="A10" t="s">
        <v>183</v>
      </c>
      <c r="B10" s="88">
        <v>0</v>
      </c>
      <c r="C10" s="88">
        <f>Gameplay!$D$18</f>
        <v>0</v>
      </c>
      <c r="D10" s="88">
        <f>Gameplay!$D$18</f>
        <v>0</v>
      </c>
      <c r="E10" s="88">
        <f>Gameplay!$D$18</f>
        <v>0</v>
      </c>
      <c r="F10" s="88">
        <f>Gameplay!$D$18</f>
        <v>0</v>
      </c>
      <c r="G10" s="88">
        <f>Gameplay!$D$18</f>
        <v>0</v>
      </c>
      <c r="H10" s="88">
        <f>Gameplay!$D$18</f>
        <v>0</v>
      </c>
      <c r="I10" s="88">
        <f>Gameplay!$D$18</f>
        <v>0</v>
      </c>
      <c r="J10" s="88">
        <f>Gameplay!$D$18</f>
        <v>0</v>
      </c>
      <c r="K10" s="88">
        <f>Gameplay!$D$18</f>
        <v>0</v>
      </c>
      <c r="L10" s="88">
        <f>Gameplay!$D$18</f>
        <v>0</v>
      </c>
    </row>
    <row r="11" spans="1:15" x14ac:dyDescent="0.25">
      <c r="A11" t="s">
        <v>182</v>
      </c>
      <c r="B11" s="88">
        <v>0</v>
      </c>
      <c r="C11" s="88">
        <f>Gameplay!$D$19</f>
        <v>0</v>
      </c>
      <c r="D11" s="88">
        <f>Gameplay!$D$19</f>
        <v>0</v>
      </c>
      <c r="E11" s="88">
        <f>Gameplay!$D$19</f>
        <v>0</v>
      </c>
      <c r="F11" s="88">
        <f>Gameplay!$D$19</f>
        <v>0</v>
      </c>
      <c r="G11" s="88">
        <f>Gameplay!$D$19</f>
        <v>0</v>
      </c>
      <c r="H11" s="88">
        <f>Gameplay!$D$19</f>
        <v>0</v>
      </c>
      <c r="I11" s="88">
        <f>Gameplay!$D$19</f>
        <v>0</v>
      </c>
      <c r="J11" s="88">
        <f>Gameplay!$D$19</f>
        <v>0</v>
      </c>
      <c r="K11" s="88">
        <f>Gameplay!$D$19</f>
        <v>0</v>
      </c>
      <c r="L11" s="88">
        <f>Gameplay!$D$19</f>
        <v>0</v>
      </c>
    </row>
    <row r="12" spans="1:15" x14ac:dyDescent="0.25">
      <c r="A12" t="s">
        <v>39</v>
      </c>
      <c r="B12" s="88">
        <v>0</v>
      </c>
      <c r="C12" s="88">
        <f>Gameplay!$D$20</f>
        <v>0</v>
      </c>
      <c r="D12" s="88">
        <f>Gameplay!$D$20</f>
        <v>0</v>
      </c>
      <c r="E12" s="88">
        <f>Gameplay!$D$20</f>
        <v>0</v>
      </c>
      <c r="F12" s="88">
        <f>Gameplay!$D$20</f>
        <v>0</v>
      </c>
      <c r="G12" s="88">
        <f>Gameplay!$D$20</f>
        <v>0</v>
      </c>
      <c r="H12" s="88">
        <f>Gameplay!$D$20</f>
        <v>0</v>
      </c>
      <c r="I12" s="88">
        <f>Gameplay!$D$20</f>
        <v>0</v>
      </c>
      <c r="J12" s="88">
        <f>Gameplay!$D$20</f>
        <v>0</v>
      </c>
      <c r="K12" s="88">
        <f>Gameplay!$D$20</f>
        <v>0</v>
      </c>
      <c r="L12" s="88">
        <f>Gameplay!$D$20</f>
        <v>0</v>
      </c>
    </row>
    <row r="13" spans="1:15" x14ac:dyDescent="0.25">
      <c r="A13" t="s">
        <v>423</v>
      </c>
      <c r="B13" s="88">
        <v>0</v>
      </c>
      <c r="C13" s="88">
        <f>Gameplay!$D$22</f>
        <v>0</v>
      </c>
      <c r="D13" s="88">
        <f>Gameplay!$D$22</f>
        <v>0</v>
      </c>
      <c r="E13" s="88">
        <f>Gameplay!$D$22</f>
        <v>0</v>
      </c>
      <c r="F13" s="88">
        <f>Gameplay!$D$22</f>
        <v>0</v>
      </c>
      <c r="G13" s="88">
        <f>Gameplay!$D$22</f>
        <v>0</v>
      </c>
      <c r="H13" s="88">
        <f>Gameplay!$D$22</f>
        <v>0</v>
      </c>
      <c r="I13" s="88">
        <f>Gameplay!$D$22</f>
        <v>0</v>
      </c>
      <c r="J13" s="88">
        <f>Gameplay!$D$22</f>
        <v>0</v>
      </c>
      <c r="K13" s="88">
        <f>Gameplay!$D$22</f>
        <v>0</v>
      </c>
      <c r="L13" s="88">
        <f>Gameplay!$D$22</f>
        <v>0</v>
      </c>
    </row>
    <row r="15" spans="1:15" x14ac:dyDescent="0.25">
      <c r="A15" s="9" t="s">
        <v>332</v>
      </c>
      <c r="B15" s="9">
        <v>0</v>
      </c>
      <c r="C15" s="9">
        <v>1</v>
      </c>
      <c r="D15" s="9">
        <v>2</v>
      </c>
      <c r="E15" s="9">
        <v>3</v>
      </c>
      <c r="F15" s="9">
        <v>4</v>
      </c>
      <c r="G15" s="9">
        <v>5</v>
      </c>
      <c r="H15" s="9">
        <v>6</v>
      </c>
      <c r="I15" s="9">
        <v>7</v>
      </c>
      <c r="J15" s="9">
        <v>8</v>
      </c>
      <c r="K15" s="9">
        <v>9</v>
      </c>
      <c r="L15" s="9">
        <v>10</v>
      </c>
    </row>
    <row r="16" spans="1:15" x14ac:dyDescent="0.25">
      <c r="B16">
        <f>MAX(1*(INDEX('Event Tracker'!$B$7:$L$7,1,MATCH('Event Tracker'!$P$1,'Event Tracker'!$B$1:$L$1,0))*'Game Assumptions'!$B$130),1)</f>
        <v>1</v>
      </c>
      <c r="C16">
        <f>MAX(1*(INDEX('Event Tracker'!$B$7:$L$7,1,MATCH('Event Tracker'!$P$1,'Event Tracker'!$B$1:$L$1,0))*'Game Assumptions'!$B$130),1)</f>
        <v>1</v>
      </c>
      <c r="D16">
        <f>MAX(1*(INDEX('Event Tracker'!$B$7:$L$7,1,MATCH('Event Tracker'!$P$1,'Event Tracker'!$B$1:$L$1,0))*'Game Assumptions'!$B$130),1)</f>
        <v>1</v>
      </c>
      <c r="E16">
        <f>MAX(1*(INDEX('Event Tracker'!$B$7:$L$7,1,MATCH('Event Tracker'!$P$1,'Event Tracker'!$B$1:$L$1,0))*'Game Assumptions'!$B$130),1)</f>
        <v>1</v>
      </c>
      <c r="F16">
        <f>MAX(1*(INDEX('Event Tracker'!$B$7:$L$7,1,MATCH('Event Tracker'!$P$1,'Event Tracker'!$B$1:$L$1,0))*'Game Assumptions'!$B$130),1)</f>
        <v>1</v>
      </c>
      <c r="G16">
        <f>MAX(1*(INDEX('Event Tracker'!$B$7:$L$7,1,MATCH('Event Tracker'!$P$1,'Event Tracker'!$B$1:$L$1,0))*'Game Assumptions'!$B$130),1)</f>
        <v>1</v>
      </c>
      <c r="H16">
        <f>MAX(1*(INDEX('Event Tracker'!$B$7:$L$7,1,MATCH('Event Tracker'!$P$1,'Event Tracker'!$B$1:$L$1,0))*'Game Assumptions'!$B$130),1)</f>
        <v>1</v>
      </c>
      <c r="I16">
        <f>MAX(1*(INDEX('Event Tracker'!$B$7:$L$7,1,MATCH('Event Tracker'!$P$1,'Event Tracker'!$B$1:$L$1,0))*'Game Assumptions'!$B$130),1)</f>
        <v>1</v>
      </c>
      <c r="J16">
        <f>MAX(1*(INDEX('Event Tracker'!$B$7:$L$7,1,MATCH('Event Tracker'!$P$1,'Event Tracker'!$B$1:$L$1,0))*'Game Assumptions'!$B$130),1)</f>
        <v>1</v>
      </c>
      <c r="K16">
        <f>MAX(1*(INDEX('Event Tracker'!$B$7:$L$7,1,MATCH('Event Tracker'!$P$1,'Event Tracker'!$B$1:$L$1,0))*'Game Assumptions'!$B$130),1)</f>
        <v>1</v>
      </c>
      <c r="L16">
        <f>MAX(1*(INDEX('Event Tracker'!$B$7:$L$7,1,MATCH('Event Tracker'!$P$1,'Event Tracker'!$B$1:$L$1,0))*'Game Assumptions'!$B$130),1)</f>
        <v>1</v>
      </c>
    </row>
    <row r="18" spans="1:12" x14ac:dyDescent="0.25">
      <c r="A18" s="9" t="s">
        <v>185</v>
      </c>
      <c r="B18" s="9">
        <v>0</v>
      </c>
      <c r="C18" s="9">
        <v>1</v>
      </c>
      <c r="D18" s="9">
        <v>2</v>
      </c>
      <c r="E18" s="9">
        <v>3</v>
      </c>
      <c r="F18" s="9">
        <v>4</v>
      </c>
      <c r="G18" s="9">
        <v>5</v>
      </c>
      <c r="H18" s="9">
        <v>6</v>
      </c>
      <c r="I18" s="9">
        <v>7</v>
      </c>
      <c r="J18" s="9">
        <v>8</v>
      </c>
      <c r="K18" s="9">
        <v>9</v>
      </c>
      <c r="L18" s="9">
        <v>10</v>
      </c>
    </row>
    <row r="19" spans="1:12" x14ac:dyDescent="0.25">
      <c r="A19" t="s">
        <v>204</v>
      </c>
      <c r="B19">
        <f>(B9+B2)*$B$16</f>
        <v>300</v>
      </c>
      <c r="C19">
        <f t="shared" ref="C19:L19" si="1">(C9+B19)*$B$16</f>
        <v>300</v>
      </c>
      <c r="D19">
        <f t="shared" si="1"/>
        <v>300</v>
      </c>
      <c r="E19">
        <f t="shared" si="1"/>
        <v>300</v>
      </c>
      <c r="F19">
        <f t="shared" si="1"/>
        <v>300</v>
      </c>
      <c r="G19">
        <f t="shared" si="1"/>
        <v>300</v>
      </c>
      <c r="H19">
        <f t="shared" si="1"/>
        <v>300</v>
      </c>
      <c r="I19">
        <f t="shared" si="1"/>
        <v>300</v>
      </c>
      <c r="J19">
        <f t="shared" si="1"/>
        <v>300</v>
      </c>
      <c r="K19">
        <f t="shared" si="1"/>
        <v>300</v>
      </c>
      <c r="L19">
        <f t="shared" si="1"/>
        <v>300</v>
      </c>
    </row>
    <row r="20" spans="1:12" x14ac:dyDescent="0.25">
      <c r="A20" t="s">
        <v>183</v>
      </c>
      <c r="B20">
        <f>(B10+B3)*$B$16</f>
        <v>10</v>
      </c>
      <c r="C20">
        <f t="shared" ref="C20:L20" si="2">(C10+B20)*$B$16</f>
        <v>10</v>
      </c>
      <c r="D20">
        <f t="shared" si="2"/>
        <v>10</v>
      </c>
      <c r="E20">
        <f t="shared" si="2"/>
        <v>10</v>
      </c>
      <c r="F20">
        <f t="shared" si="2"/>
        <v>10</v>
      </c>
      <c r="G20">
        <f t="shared" si="2"/>
        <v>10</v>
      </c>
      <c r="H20">
        <f t="shared" si="2"/>
        <v>10</v>
      </c>
      <c r="I20">
        <f t="shared" si="2"/>
        <v>10</v>
      </c>
      <c r="J20">
        <f t="shared" si="2"/>
        <v>10</v>
      </c>
      <c r="K20">
        <f t="shared" si="2"/>
        <v>10</v>
      </c>
      <c r="L20">
        <f t="shared" si="2"/>
        <v>10</v>
      </c>
    </row>
    <row r="21" spans="1:12" x14ac:dyDescent="0.25">
      <c r="A21" t="s">
        <v>182</v>
      </c>
      <c r="B21">
        <f>(B11+B4)*$B$16</f>
        <v>200</v>
      </c>
      <c r="C21">
        <f t="shared" ref="C21:L21" si="3">(C11+B21)*$B$16</f>
        <v>200</v>
      </c>
      <c r="D21">
        <f t="shared" si="3"/>
        <v>200</v>
      </c>
      <c r="E21">
        <f t="shared" si="3"/>
        <v>200</v>
      </c>
      <c r="F21">
        <f t="shared" si="3"/>
        <v>200</v>
      </c>
      <c r="G21">
        <f t="shared" si="3"/>
        <v>200</v>
      </c>
      <c r="H21">
        <f t="shared" si="3"/>
        <v>200</v>
      </c>
      <c r="I21">
        <f t="shared" si="3"/>
        <v>200</v>
      </c>
      <c r="J21">
        <f t="shared" si="3"/>
        <v>200</v>
      </c>
      <c r="K21">
        <f t="shared" si="3"/>
        <v>200</v>
      </c>
      <c r="L21">
        <f t="shared" si="3"/>
        <v>200</v>
      </c>
    </row>
    <row r="22" spans="1:12" x14ac:dyDescent="0.25">
      <c r="A22" t="s">
        <v>39</v>
      </c>
      <c r="B22">
        <f>(B12+B5)*$B$16</f>
        <v>50</v>
      </c>
      <c r="C22">
        <f>(C12+B22)*$B$16+C52</f>
        <v>50</v>
      </c>
      <c r="D22">
        <f t="shared" ref="D22:L22" si="4">(D12+C22)*$B$16+D52</f>
        <v>50</v>
      </c>
      <c r="E22">
        <f t="shared" si="4"/>
        <v>50</v>
      </c>
      <c r="F22">
        <f t="shared" si="4"/>
        <v>50</v>
      </c>
      <c r="G22">
        <f t="shared" si="4"/>
        <v>50</v>
      </c>
      <c r="H22">
        <f t="shared" si="4"/>
        <v>50</v>
      </c>
      <c r="I22">
        <f t="shared" si="4"/>
        <v>50</v>
      </c>
      <c r="J22">
        <f t="shared" si="4"/>
        <v>50</v>
      </c>
      <c r="K22">
        <f t="shared" si="4"/>
        <v>50</v>
      </c>
      <c r="L22">
        <f t="shared" si="4"/>
        <v>50</v>
      </c>
    </row>
    <row r="23" spans="1:12" x14ac:dyDescent="0.25">
      <c r="A23" t="s">
        <v>423</v>
      </c>
      <c r="B23" s="16">
        <f>(B13+B6)*$B$16</f>
        <v>1984.794520547945</v>
      </c>
      <c r="C23" s="16">
        <f t="shared" ref="C23:L23" si="5">(C13+C6)*$B$16</f>
        <v>1984.794520547945</v>
      </c>
      <c r="D23" s="16">
        <f t="shared" si="5"/>
        <v>1984.794520547945</v>
      </c>
      <c r="E23" s="16">
        <f t="shared" si="5"/>
        <v>1984.794520547945</v>
      </c>
      <c r="F23" s="16">
        <f t="shared" si="5"/>
        <v>1984.794520547945</v>
      </c>
      <c r="G23" s="16">
        <f t="shared" si="5"/>
        <v>1984.794520547945</v>
      </c>
      <c r="H23" s="16">
        <f t="shared" si="5"/>
        <v>1984.794520547945</v>
      </c>
      <c r="I23" s="16">
        <f t="shared" si="5"/>
        <v>1984.794520547945</v>
      </c>
      <c r="J23" s="16">
        <f t="shared" si="5"/>
        <v>1984.794520547945</v>
      </c>
      <c r="K23" s="16">
        <f t="shared" si="5"/>
        <v>1984.794520547945</v>
      </c>
      <c r="L23" s="16">
        <f t="shared" si="5"/>
        <v>1984.794520547945</v>
      </c>
    </row>
    <row r="24" spans="1:12" x14ac:dyDescent="0.25">
      <c r="A24" t="s">
        <v>289</v>
      </c>
      <c r="B24" s="88">
        <f>'Resource Mix and Demand'!B30</f>
        <v>10</v>
      </c>
      <c r="C24" s="88">
        <f>'Resource Mix and Demand'!C30</f>
        <v>10</v>
      </c>
      <c r="D24" s="88">
        <f>'Resource Mix and Demand'!D30</f>
        <v>10</v>
      </c>
      <c r="E24" s="88">
        <f>'Resource Mix and Demand'!E30</f>
        <v>10</v>
      </c>
      <c r="F24" s="88">
        <f>'Resource Mix and Demand'!F30</f>
        <v>10</v>
      </c>
      <c r="G24" s="88">
        <f>'Resource Mix and Demand'!G30</f>
        <v>10</v>
      </c>
      <c r="H24" s="88">
        <f>'Resource Mix and Demand'!H30</f>
        <v>10</v>
      </c>
      <c r="I24" s="88">
        <f>'Resource Mix and Demand'!I30</f>
        <v>10</v>
      </c>
      <c r="J24" s="88">
        <f>'Resource Mix and Demand'!J30</f>
        <v>10</v>
      </c>
      <c r="K24" s="88">
        <f>'Resource Mix and Demand'!K30</f>
        <v>10</v>
      </c>
      <c r="L24" s="88">
        <f>'Resource Mix and Demand'!L30</f>
        <v>10</v>
      </c>
    </row>
    <row r="25" spans="1:12" x14ac:dyDescent="0.25">
      <c r="A25" t="s">
        <v>290</v>
      </c>
      <c r="B25" s="88">
        <f>'Resource Mix and Demand'!B31</f>
        <v>10</v>
      </c>
      <c r="C25" s="88">
        <f>'Resource Mix and Demand'!C31</f>
        <v>10.5</v>
      </c>
      <c r="D25" s="88">
        <f>'Resource Mix and Demand'!D31</f>
        <v>11.5</v>
      </c>
      <c r="E25" s="88">
        <f>'Resource Mix and Demand'!E31</f>
        <v>13</v>
      </c>
      <c r="F25" s="88">
        <f>'Resource Mix and Demand'!F31</f>
        <v>15</v>
      </c>
      <c r="G25" s="88">
        <f>'Resource Mix and Demand'!G31</f>
        <v>17.5</v>
      </c>
      <c r="H25" s="88">
        <f>'Resource Mix and Demand'!H31</f>
        <v>20.5</v>
      </c>
      <c r="I25" s="88">
        <f>'Resource Mix and Demand'!I31</f>
        <v>24</v>
      </c>
      <c r="J25" s="88">
        <f>'Resource Mix and Demand'!J31</f>
        <v>28</v>
      </c>
      <c r="K25" s="88">
        <f>'Resource Mix and Demand'!K31</f>
        <v>32.5</v>
      </c>
      <c r="L25" s="88">
        <f>'Resource Mix and Demand'!L31</f>
        <v>37.5</v>
      </c>
    </row>
    <row r="26" spans="1:12" x14ac:dyDescent="0.25">
      <c r="A26" t="s">
        <v>428</v>
      </c>
      <c r="B26" s="88">
        <f>'Resource Mix and Demand'!B32</f>
        <v>10</v>
      </c>
      <c r="C26" s="88">
        <f>'Resource Mix and Demand'!C32</f>
        <v>15</v>
      </c>
      <c r="D26" s="88">
        <f>'Resource Mix and Demand'!D32</f>
        <v>21</v>
      </c>
      <c r="E26" s="88">
        <f>'Resource Mix and Demand'!E32</f>
        <v>28</v>
      </c>
      <c r="F26" s="88">
        <f>'Resource Mix and Demand'!F32</f>
        <v>36</v>
      </c>
      <c r="G26" s="88">
        <f>'Resource Mix and Demand'!G32</f>
        <v>45</v>
      </c>
      <c r="H26" s="88">
        <f>'Resource Mix and Demand'!H32</f>
        <v>55</v>
      </c>
      <c r="I26" s="88">
        <f>'Resource Mix and Demand'!I32</f>
        <v>66</v>
      </c>
      <c r="J26" s="88">
        <f>'Resource Mix and Demand'!J32</f>
        <v>78</v>
      </c>
      <c r="K26" s="88">
        <f>'Resource Mix and Demand'!K32</f>
        <v>91</v>
      </c>
      <c r="L26" s="88">
        <f>'Resource Mix and Demand'!L32</f>
        <v>105</v>
      </c>
    </row>
    <row r="28" spans="1:12" x14ac:dyDescent="0.25">
      <c r="A28" s="9" t="s">
        <v>186</v>
      </c>
      <c r="B28" s="9">
        <v>0</v>
      </c>
      <c r="C28" s="9">
        <v>1</v>
      </c>
      <c r="D28" s="9">
        <v>2</v>
      </c>
      <c r="E28" s="9">
        <v>3</v>
      </c>
      <c r="F28" s="9">
        <v>4</v>
      </c>
      <c r="G28" s="9">
        <v>5</v>
      </c>
      <c r="H28" s="9">
        <v>6</v>
      </c>
      <c r="I28" s="9">
        <v>7</v>
      </c>
      <c r="J28" s="9">
        <v>8</v>
      </c>
      <c r="K28" s="9">
        <v>9</v>
      </c>
      <c r="L28" s="9">
        <v>10</v>
      </c>
    </row>
    <row r="29" spans="1:12" x14ac:dyDescent="0.25">
      <c r="A29" t="s">
        <v>204</v>
      </c>
      <c r="B29">
        <f>'Game Assumptions'!B97</f>
        <v>7.7837837837837833</v>
      </c>
      <c r="C29">
        <f>B29</f>
        <v>7.7837837837837833</v>
      </c>
      <c r="D29">
        <f t="shared" ref="D29:L29" si="6">C29</f>
        <v>7.7837837837837833</v>
      </c>
      <c r="E29">
        <f t="shared" si="6"/>
        <v>7.7837837837837833</v>
      </c>
      <c r="F29">
        <f t="shared" si="6"/>
        <v>7.7837837837837833</v>
      </c>
      <c r="G29">
        <f t="shared" si="6"/>
        <v>7.7837837837837833</v>
      </c>
      <c r="H29">
        <f t="shared" si="6"/>
        <v>7.7837837837837833</v>
      </c>
      <c r="I29">
        <f t="shared" si="6"/>
        <v>7.7837837837837833</v>
      </c>
      <c r="J29">
        <f t="shared" si="6"/>
        <v>7.7837837837837833</v>
      </c>
      <c r="K29">
        <f t="shared" si="6"/>
        <v>7.7837837837837833</v>
      </c>
      <c r="L29">
        <f t="shared" si="6"/>
        <v>7.7837837837837833</v>
      </c>
    </row>
    <row r="30" spans="1:12" x14ac:dyDescent="0.25">
      <c r="A30" t="s">
        <v>183</v>
      </c>
      <c r="B30">
        <f>'Game Assumptions'!B98</f>
        <v>7.7837837837837833</v>
      </c>
      <c r="C30">
        <f t="shared" ref="C30:L32" si="7">B30</f>
        <v>7.7837837837837833</v>
      </c>
      <c r="D30">
        <f t="shared" si="7"/>
        <v>7.7837837837837833</v>
      </c>
      <c r="E30">
        <f t="shared" si="7"/>
        <v>7.7837837837837833</v>
      </c>
      <c r="F30">
        <f t="shared" si="7"/>
        <v>7.7837837837837833</v>
      </c>
      <c r="G30">
        <f t="shared" si="7"/>
        <v>7.7837837837837833</v>
      </c>
      <c r="H30">
        <f t="shared" si="7"/>
        <v>7.7837837837837833</v>
      </c>
      <c r="I30">
        <f t="shared" si="7"/>
        <v>7.7837837837837833</v>
      </c>
      <c r="J30">
        <f t="shared" si="7"/>
        <v>7.7837837837837833</v>
      </c>
      <c r="K30">
        <f t="shared" si="7"/>
        <v>7.7837837837837833</v>
      </c>
      <c r="L30">
        <f t="shared" si="7"/>
        <v>7.7837837837837833</v>
      </c>
    </row>
    <row r="31" spans="1:12" x14ac:dyDescent="0.25">
      <c r="A31" t="s">
        <v>182</v>
      </c>
      <c r="B31">
        <f>'Game Assumptions'!B101</f>
        <v>3.9782233435134779</v>
      </c>
      <c r="C31">
        <f t="shared" si="7"/>
        <v>3.9782233435134779</v>
      </c>
      <c r="D31">
        <f t="shared" si="7"/>
        <v>3.9782233435134779</v>
      </c>
      <c r="E31">
        <f t="shared" si="7"/>
        <v>3.9782233435134779</v>
      </c>
      <c r="F31">
        <f t="shared" si="7"/>
        <v>3.9782233435134779</v>
      </c>
      <c r="G31">
        <f t="shared" si="7"/>
        <v>3.9782233435134779</v>
      </c>
      <c r="H31">
        <f t="shared" si="7"/>
        <v>3.9782233435134779</v>
      </c>
      <c r="I31">
        <f t="shared" si="7"/>
        <v>3.9782233435134779</v>
      </c>
      <c r="J31">
        <f t="shared" si="7"/>
        <v>3.9782233435134779</v>
      </c>
      <c r="K31">
        <f t="shared" si="7"/>
        <v>3.9782233435134779</v>
      </c>
      <c r="L31">
        <f t="shared" si="7"/>
        <v>3.9782233435134779</v>
      </c>
    </row>
    <row r="32" spans="1:12" x14ac:dyDescent="0.25">
      <c r="A32" t="s">
        <v>39</v>
      </c>
      <c r="B32">
        <f>'Game Assumptions'!B102</f>
        <v>1.6666666666666665</v>
      </c>
      <c r="C32">
        <f t="shared" si="7"/>
        <v>1.6666666666666665</v>
      </c>
      <c r="D32">
        <f t="shared" si="7"/>
        <v>1.6666666666666665</v>
      </c>
      <c r="E32">
        <f t="shared" si="7"/>
        <v>1.6666666666666665</v>
      </c>
      <c r="F32">
        <f t="shared" si="7"/>
        <v>1.6666666666666665</v>
      </c>
      <c r="G32">
        <f t="shared" si="7"/>
        <v>1.6666666666666665</v>
      </c>
      <c r="H32">
        <f t="shared" si="7"/>
        <v>1.6666666666666665</v>
      </c>
      <c r="I32">
        <f t="shared" si="7"/>
        <v>1.6666666666666665</v>
      </c>
      <c r="J32">
        <f t="shared" si="7"/>
        <v>1.6666666666666665</v>
      </c>
      <c r="K32">
        <f t="shared" si="7"/>
        <v>1.6666666666666665</v>
      </c>
      <c r="L32">
        <f t="shared" si="7"/>
        <v>1.6666666666666665</v>
      </c>
    </row>
    <row r="33" spans="1:12" x14ac:dyDescent="0.25">
      <c r="A33" s="157" t="s">
        <v>423</v>
      </c>
      <c r="B33" s="157">
        <v>0.01</v>
      </c>
      <c r="C33" s="157">
        <v>0.01</v>
      </c>
      <c r="D33" s="157">
        <v>0.01</v>
      </c>
      <c r="E33" s="157">
        <v>0.01</v>
      </c>
      <c r="F33" s="157">
        <v>0.01</v>
      </c>
      <c r="G33" s="157">
        <v>0.01</v>
      </c>
      <c r="H33" s="157">
        <v>0.01</v>
      </c>
      <c r="I33" s="157">
        <v>0.01</v>
      </c>
      <c r="J33" s="157">
        <v>0.01</v>
      </c>
      <c r="K33" s="157">
        <v>0.01</v>
      </c>
      <c r="L33" s="157">
        <v>0.01</v>
      </c>
    </row>
    <row r="35" spans="1:12" x14ac:dyDescent="0.25">
      <c r="A35" s="9" t="s">
        <v>191</v>
      </c>
      <c r="B35" s="9">
        <v>0</v>
      </c>
      <c r="C35" s="9">
        <v>1</v>
      </c>
      <c r="D35" s="9">
        <v>2</v>
      </c>
      <c r="E35" s="9">
        <v>3</v>
      </c>
      <c r="F35" s="9">
        <v>4</v>
      </c>
      <c r="G35" s="9">
        <v>5</v>
      </c>
      <c r="H35" s="9">
        <v>6</v>
      </c>
      <c r="I35" s="9">
        <v>7</v>
      </c>
      <c r="J35" s="9">
        <v>8</v>
      </c>
      <c r="K35" s="9">
        <v>9</v>
      </c>
      <c r="L35" s="9">
        <v>10</v>
      </c>
    </row>
    <row r="36" spans="1:12" x14ac:dyDescent="0.25">
      <c r="A36" t="s">
        <v>190</v>
      </c>
      <c r="B36">
        <f>'Game Assumptions'!B108</f>
        <v>5000</v>
      </c>
      <c r="C36">
        <f>B36</f>
        <v>5000</v>
      </c>
      <c r="D36">
        <f t="shared" ref="D36:L36" si="8">C36</f>
        <v>5000</v>
      </c>
      <c r="E36">
        <f t="shared" si="8"/>
        <v>5000</v>
      </c>
      <c r="F36">
        <f t="shared" si="8"/>
        <v>5000</v>
      </c>
      <c r="G36">
        <f t="shared" si="8"/>
        <v>5000</v>
      </c>
      <c r="H36">
        <f t="shared" si="8"/>
        <v>5000</v>
      </c>
      <c r="I36">
        <f t="shared" si="8"/>
        <v>5000</v>
      </c>
      <c r="J36">
        <f t="shared" si="8"/>
        <v>5000</v>
      </c>
      <c r="K36">
        <f t="shared" si="8"/>
        <v>5000</v>
      </c>
      <c r="L36">
        <f t="shared" si="8"/>
        <v>5000</v>
      </c>
    </row>
    <row r="38" spans="1:12" x14ac:dyDescent="0.25">
      <c r="A38" s="9" t="s">
        <v>192</v>
      </c>
      <c r="B38" s="9">
        <v>0</v>
      </c>
      <c r="C38" s="9">
        <v>1</v>
      </c>
      <c r="D38" s="9">
        <v>2</v>
      </c>
      <c r="E38" s="9">
        <v>3</v>
      </c>
      <c r="F38" s="9">
        <v>4</v>
      </c>
      <c r="G38" s="9">
        <v>5</v>
      </c>
      <c r="H38" s="9">
        <v>6</v>
      </c>
      <c r="I38" s="9">
        <v>7</v>
      </c>
      <c r="J38" s="9">
        <v>8</v>
      </c>
      <c r="K38" s="9">
        <v>9</v>
      </c>
      <c r="L38" s="9">
        <v>10</v>
      </c>
    </row>
    <row r="39" spans="1:12" x14ac:dyDescent="0.25">
      <c r="A39" t="s">
        <v>190</v>
      </c>
      <c r="B39" s="88">
        <v>0</v>
      </c>
      <c r="C39" s="88">
        <f>Gameplay!$D$21</f>
        <v>0</v>
      </c>
      <c r="D39" s="88">
        <f>Gameplay!$D$21</f>
        <v>0</v>
      </c>
      <c r="E39" s="88">
        <f>Gameplay!$D$21</f>
        <v>0</v>
      </c>
      <c r="F39" s="88">
        <f>Gameplay!$D$21</f>
        <v>0</v>
      </c>
      <c r="G39" s="88">
        <f>Gameplay!$D$21</f>
        <v>0</v>
      </c>
      <c r="H39" s="88">
        <f>Gameplay!$D$21</f>
        <v>0</v>
      </c>
      <c r="I39" s="88">
        <f>Gameplay!$D$21</f>
        <v>0</v>
      </c>
      <c r="J39" s="88">
        <f>Gameplay!$D$21</f>
        <v>0</v>
      </c>
      <c r="K39" s="88">
        <f>Gameplay!$D$21</f>
        <v>0</v>
      </c>
      <c r="L39" s="88">
        <f>Gameplay!$D$21</f>
        <v>0</v>
      </c>
    </row>
    <row r="40" spans="1:12" x14ac:dyDescent="0.25">
      <c r="B40" s="88"/>
      <c r="C40" s="88"/>
      <c r="D40" s="88"/>
      <c r="E40" s="88"/>
      <c r="F40" s="88"/>
      <c r="G40" s="88"/>
      <c r="H40" s="88"/>
      <c r="I40" s="88"/>
      <c r="J40" s="88"/>
      <c r="K40" s="88"/>
      <c r="L40" s="88"/>
    </row>
    <row r="41" spans="1:12" x14ac:dyDescent="0.25">
      <c r="A41" s="9" t="s">
        <v>193</v>
      </c>
      <c r="B41" s="9">
        <v>0</v>
      </c>
      <c r="C41" s="9">
        <v>1</v>
      </c>
      <c r="D41" s="9">
        <v>2</v>
      </c>
      <c r="E41" s="9">
        <v>3</v>
      </c>
      <c r="F41" s="9">
        <v>4</v>
      </c>
      <c r="G41" s="9">
        <v>5</v>
      </c>
      <c r="H41" s="9">
        <v>6</v>
      </c>
      <c r="I41" s="9">
        <v>7</v>
      </c>
      <c r="J41" s="9">
        <v>8</v>
      </c>
      <c r="K41" s="9">
        <v>9</v>
      </c>
      <c r="L41" s="9">
        <v>10</v>
      </c>
    </row>
    <row r="42" spans="1:12" x14ac:dyDescent="0.25">
      <c r="A42" t="s">
        <v>190</v>
      </c>
      <c r="B42">
        <f>B39+B36</f>
        <v>5000</v>
      </c>
      <c r="C42">
        <f>C39+B42</f>
        <v>5000</v>
      </c>
      <c r="D42">
        <f t="shared" ref="D42:L42" si="9">D39+C42</f>
        <v>5000</v>
      </c>
      <c r="E42">
        <f t="shared" si="9"/>
        <v>5000</v>
      </c>
      <c r="F42">
        <f t="shared" si="9"/>
        <v>5000</v>
      </c>
      <c r="G42">
        <f t="shared" si="9"/>
        <v>5000</v>
      </c>
      <c r="H42">
        <f t="shared" si="9"/>
        <v>5000</v>
      </c>
      <c r="I42">
        <f t="shared" si="9"/>
        <v>5000</v>
      </c>
      <c r="J42">
        <f t="shared" si="9"/>
        <v>5000</v>
      </c>
      <c r="K42">
        <f t="shared" si="9"/>
        <v>5000</v>
      </c>
      <c r="L42">
        <f t="shared" si="9"/>
        <v>5000</v>
      </c>
    </row>
    <row r="44" spans="1:12" x14ac:dyDescent="0.25">
      <c r="A44" s="9" t="s">
        <v>194</v>
      </c>
      <c r="B44" s="9">
        <v>0</v>
      </c>
      <c r="C44" s="9">
        <v>1</v>
      </c>
      <c r="D44" s="9">
        <v>2</v>
      </c>
      <c r="E44" s="9">
        <v>3</v>
      </c>
      <c r="F44" s="9">
        <v>4</v>
      </c>
      <c r="G44" s="9">
        <v>5</v>
      </c>
      <c r="H44" s="9">
        <v>6</v>
      </c>
      <c r="I44" s="9">
        <v>7</v>
      </c>
      <c r="J44" s="9">
        <v>8</v>
      </c>
      <c r="K44" s="9">
        <v>9</v>
      </c>
      <c r="L44" s="9">
        <v>10</v>
      </c>
    </row>
    <row r="45" spans="1:12" x14ac:dyDescent="0.25">
      <c r="A45" t="s">
        <v>195</v>
      </c>
      <c r="B45">
        <v>0</v>
      </c>
      <c r="C45">
        <f>(C42-B42)/B42</f>
        <v>0</v>
      </c>
      <c r="D45">
        <f t="shared" ref="D45:L45" si="10">(D42-C42)/C42</f>
        <v>0</v>
      </c>
      <c r="E45">
        <f t="shared" si="10"/>
        <v>0</v>
      </c>
      <c r="F45">
        <f t="shared" si="10"/>
        <v>0</v>
      </c>
      <c r="G45">
        <f t="shared" si="10"/>
        <v>0</v>
      </c>
      <c r="H45">
        <f t="shared" si="10"/>
        <v>0</v>
      </c>
      <c r="I45">
        <f t="shared" si="10"/>
        <v>0</v>
      </c>
      <c r="J45">
        <f t="shared" si="10"/>
        <v>0</v>
      </c>
      <c r="K45">
        <f t="shared" si="10"/>
        <v>0</v>
      </c>
      <c r="L45">
        <f t="shared" si="10"/>
        <v>0</v>
      </c>
    </row>
    <row r="47" spans="1:12" x14ac:dyDescent="0.25">
      <c r="A47" s="9" t="s">
        <v>178</v>
      </c>
      <c r="B47" s="9">
        <v>0</v>
      </c>
      <c r="C47" s="9">
        <v>1</v>
      </c>
      <c r="D47" s="9">
        <v>2</v>
      </c>
      <c r="E47" s="9">
        <v>3</v>
      </c>
      <c r="F47" s="9">
        <v>4</v>
      </c>
      <c r="G47" s="9">
        <v>5</v>
      </c>
      <c r="H47" s="9">
        <v>6</v>
      </c>
      <c r="I47" s="9">
        <v>7</v>
      </c>
      <c r="J47" s="9">
        <v>8</v>
      </c>
      <c r="K47" s="9">
        <v>9</v>
      </c>
      <c r="L47" s="9">
        <v>10</v>
      </c>
    </row>
    <row r="48" spans="1:12" x14ac:dyDescent="0.25">
      <c r="A48" t="s">
        <v>196</v>
      </c>
      <c r="B48">
        <f>'Game Assumptions'!$B$105</f>
        <v>0.186</v>
      </c>
      <c r="C48">
        <f>(1+C45)*B48</f>
        <v>0.186</v>
      </c>
      <c r="D48">
        <f t="shared" ref="D48:L48" si="11">(1+D45)*C48</f>
        <v>0.186</v>
      </c>
      <c r="E48">
        <f t="shared" si="11"/>
        <v>0.186</v>
      </c>
      <c r="F48">
        <f t="shared" si="11"/>
        <v>0.186</v>
      </c>
      <c r="G48">
        <f t="shared" si="11"/>
        <v>0.186</v>
      </c>
      <c r="H48">
        <f t="shared" si="11"/>
        <v>0.186</v>
      </c>
      <c r="I48">
        <f t="shared" si="11"/>
        <v>0.186</v>
      </c>
      <c r="J48">
        <f t="shared" si="11"/>
        <v>0.186</v>
      </c>
      <c r="K48">
        <f t="shared" si="11"/>
        <v>0.186</v>
      </c>
      <c r="L48">
        <f t="shared" si="11"/>
        <v>0.186</v>
      </c>
    </row>
    <row r="50" spans="1:12" x14ac:dyDescent="0.25">
      <c r="A50" s="9" t="s">
        <v>439</v>
      </c>
      <c r="B50" s="9">
        <v>0</v>
      </c>
      <c r="C50" s="9">
        <v>1</v>
      </c>
      <c r="D50" s="9">
        <v>2</v>
      </c>
      <c r="E50" s="9">
        <v>3</v>
      </c>
      <c r="F50" s="9">
        <v>4</v>
      </c>
      <c r="G50" s="9">
        <v>5</v>
      </c>
      <c r="H50" s="9">
        <v>6</v>
      </c>
      <c r="I50" s="9">
        <v>7</v>
      </c>
      <c r="J50" s="9">
        <v>8</v>
      </c>
      <c r="K50" s="9">
        <v>9</v>
      </c>
      <c r="L50" s="9">
        <v>10</v>
      </c>
    </row>
    <row r="51" spans="1:12" x14ac:dyDescent="0.25">
      <c r="A51" t="s">
        <v>278</v>
      </c>
      <c r="B51">
        <f>IF('Event Tracker'!B5&gt;0,'Game Assumptions'!$B$127,1)</f>
        <v>1</v>
      </c>
      <c r="C51">
        <f>IF('Event Tracker'!C5&gt;0,'Game Assumptions'!$B$127,1)</f>
        <v>1</v>
      </c>
      <c r="D51">
        <f>IF('Event Tracker'!D5&gt;0,'Game Assumptions'!$B$127,1)</f>
        <v>1</v>
      </c>
      <c r="E51">
        <f>IF('Event Tracker'!E5&gt;0,'Game Assumptions'!$B$127,1)</f>
        <v>1</v>
      </c>
      <c r="F51">
        <f>IF('Event Tracker'!F5&gt;0,'Game Assumptions'!$B$127,1)</f>
        <v>1</v>
      </c>
      <c r="G51">
        <f>IF('Event Tracker'!G5&gt;0,'Game Assumptions'!$B$127,1)</f>
        <v>1</v>
      </c>
      <c r="H51">
        <f>IF('Event Tracker'!H5&gt;0,'Game Assumptions'!$B$127,1)</f>
        <v>1</v>
      </c>
      <c r="I51">
        <f>IF('Event Tracker'!I5&gt;0,'Game Assumptions'!$B$127,1)</f>
        <v>1</v>
      </c>
      <c r="J51">
        <f>IF('Event Tracker'!J5&gt;0,'Game Assumptions'!$B$127,1)</f>
        <v>1</v>
      </c>
      <c r="K51">
        <f>IF('Event Tracker'!K5&gt;0,'Game Assumptions'!$B$127,1)</f>
        <v>1</v>
      </c>
      <c r="L51">
        <f>IF('Event Tracker'!L5&gt;0,'Game Assumptions'!$B$127,1)</f>
        <v>1</v>
      </c>
    </row>
    <row r="52" spans="1:12" x14ac:dyDescent="0.25">
      <c r="A52" t="s">
        <v>440</v>
      </c>
      <c r="B52">
        <f>'Event Tracker'!B5*'Game Assumptions'!$B$24</f>
        <v>0</v>
      </c>
      <c r="C52">
        <f>IF(AND('Event Tracker'!C5=1,'Event Tracker'!B5=0),1,0)*'Game Assumptions'!$B$24</f>
        <v>0</v>
      </c>
      <c r="D52">
        <f>IF(AND('Event Tracker'!D5=1,'Event Tracker'!C5=0),1,0)*'Game Assumptions'!$B$24</f>
        <v>0</v>
      </c>
      <c r="E52">
        <f>IF(AND('Event Tracker'!E5=1,'Event Tracker'!D5=0),1,0)*'Game Assumptions'!$B$24</f>
        <v>0</v>
      </c>
      <c r="F52">
        <f>IF(AND('Event Tracker'!F5=1,'Event Tracker'!E5=0),1,0)*'Game Assumptions'!$B$24</f>
        <v>0</v>
      </c>
      <c r="G52">
        <f>IF(AND('Event Tracker'!G5=1,'Event Tracker'!F5=0),1,0)*'Game Assumptions'!$B$24</f>
        <v>0</v>
      </c>
      <c r="H52">
        <f>IF(AND('Event Tracker'!H5=1,'Event Tracker'!G5=0),1,0)*'Game Assumptions'!$B$24</f>
        <v>0</v>
      </c>
      <c r="I52">
        <f>IF(AND('Event Tracker'!I5=1,'Event Tracker'!H5=0),1,0)*'Game Assumptions'!$B$24</f>
        <v>0</v>
      </c>
      <c r="J52">
        <f>IF(AND('Event Tracker'!J5=1,'Event Tracker'!I5=0),1,0)*'Game Assumptions'!$B$24</f>
        <v>0</v>
      </c>
      <c r="K52">
        <f>IF(AND('Event Tracker'!K5=1,'Event Tracker'!J5=0),1,0)*'Game Assumptions'!$B$24</f>
        <v>0</v>
      </c>
      <c r="L52">
        <f>IF(AND('Event Tracker'!L5=1,'Event Tracker'!K5=0),1,0)*'Game Assumptions'!$B$24</f>
        <v>0</v>
      </c>
    </row>
    <row r="54" spans="1:12" x14ac:dyDescent="0.25">
      <c r="A54" s="9" t="s">
        <v>197</v>
      </c>
      <c r="B54" s="9">
        <v>0</v>
      </c>
      <c r="C54" s="9">
        <v>1</v>
      </c>
      <c r="D54" s="9">
        <v>2</v>
      </c>
      <c r="E54" s="9">
        <v>3</v>
      </c>
      <c r="F54" s="9">
        <v>4</v>
      </c>
      <c r="G54" s="9">
        <v>5</v>
      </c>
      <c r="H54" s="9">
        <v>6</v>
      </c>
      <c r="I54" s="9">
        <v>7</v>
      </c>
      <c r="J54" s="9">
        <v>8</v>
      </c>
      <c r="K54" s="9">
        <v>9</v>
      </c>
      <c r="L54" s="9">
        <v>10</v>
      </c>
    </row>
    <row r="55" spans="1:12" x14ac:dyDescent="0.25">
      <c r="A55" t="s">
        <v>441</v>
      </c>
      <c r="B55">
        <f t="shared" ref="B55:L55" si="12">SUMPRODUCT(B19:B22,B29:B32)*B48*B51</f>
        <v>612.30288135167439</v>
      </c>
      <c r="C55">
        <f t="shared" si="12"/>
        <v>612.30288135167439</v>
      </c>
      <c r="D55">
        <f t="shared" si="12"/>
        <v>612.30288135167439</v>
      </c>
      <c r="E55">
        <f t="shared" si="12"/>
        <v>612.30288135167439</v>
      </c>
      <c r="F55">
        <f t="shared" si="12"/>
        <v>612.30288135167439</v>
      </c>
      <c r="G55">
        <f t="shared" si="12"/>
        <v>612.30288135167439</v>
      </c>
      <c r="H55">
        <f t="shared" si="12"/>
        <v>612.30288135167439</v>
      </c>
      <c r="I55">
        <f t="shared" si="12"/>
        <v>612.30288135167439</v>
      </c>
      <c r="J55">
        <f t="shared" si="12"/>
        <v>612.30288135167439</v>
      </c>
      <c r="K55">
        <f t="shared" si="12"/>
        <v>612.30288135167439</v>
      </c>
      <c r="L55">
        <f t="shared" si="12"/>
        <v>612.30288135167439</v>
      </c>
    </row>
    <row r="56" spans="1:12" x14ac:dyDescent="0.25">
      <c r="A56" t="s">
        <v>442</v>
      </c>
      <c r="B56">
        <f>SUM(B30*B20,B32*B22,B33*B23)</f>
        <v>181.01911637665063</v>
      </c>
      <c r="C56">
        <f t="shared" ref="C56:L56" si="13">SUM(C30*C20,C32*C22,C33*C23)</f>
        <v>181.01911637665063</v>
      </c>
      <c r="D56">
        <f t="shared" si="13"/>
        <v>181.01911637665063</v>
      </c>
      <c r="E56">
        <f t="shared" si="13"/>
        <v>181.01911637665063</v>
      </c>
      <c r="F56">
        <f t="shared" si="13"/>
        <v>181.01911637665063</v>
      </c>
      <c r="G56">
        <f t="shared" si="13"/>
        <v>181.01911637665063</v>
      </c>
      <c r="H56">
        <f t="shared" si="13"/>
        <v>181.01911637665063</v>
      </c>
      <c r="I56">
        <f t="shared" si="13"/>
        <v>181.01911637665063</v>
      </c>
      <c r="J56">
        <f t="shared" si="13"/>
        <v>181.01911637665063</v>
      </c>
      <c r="K56">
        <f t="shared" si="13"/>
        <v>181.01911637665063</v>
      </c>
      <c r="L56">
        <f t="shared" si="13"/>
        <v>181.01911637665063</v>
      </c>
    </row>
    <row r="58" spans="1:12" x14ac:dyDescent="0.25">
      <c r="A58" s="9" t="s">
        <v>198</v>
      </c>
      <c r="B58" s="9">
        <v>0</v>
      </c>
      <c r="C58" s="9">
        <v>1</v>
      </c>
      <c r="D58" s="9">
        <v>2</v>
      </c>
      <c r="E58" s="9">
        <v>3</v>
      </c>
      <c r="F58" s="9">
        <v>4</v>
      </c>
      <c r="G58" s="9">
        <v>5</v>
      </c>
      <c r="H58" s="9">
        <v>6</v>
      </c>
      <c r="I58" s="9">
        <v>7</v>
      </c>
      <c r="J58" s="9">
        <v>8</v>
      </c>
      <c r="K58" s="9">
        <v>9</v>
      </c>
      <c r="L58" s="9">
        <v>10</v>
      </c>
    </row>
    <row r="59" spans="1:12" x14ac:dyDescent="0.25">
      <c r="A59" t="s">
        <v>441</v>
      </c>
      <c r="B59" s="88">
        <f>MAX('Resource Mix and Demand'!B27,'Resource Mix and Demand'!B28)</f>
        <v>30</v>
      </c>
      <c r="C59" s="88">
        <f>MAX('Resource Mix and Demand'!C27,'Resource Mix and Demand'!C28)</f>
        <v>30</v>
      </c>
      <c r="D59" s="88">
        <f>MAX('Resource Mix and Demand'!D27,'Resource Mix and Demand'!D28)</f>
        <v>30</v>
      </c>
      <c r="E59" s="88">
        <f>MAX('Resource Mix and Demand'!E27,'Resource Mix and Demand'!E28)</f>
        <v>30</v>
      </c>
      <c r="F59" s="88">
        <f>MAX('Resource Mix and Demand'!F27,'Resource Mix and Demand'!F28)</f>
        <v>30</v>
      </c>
      <c r="G59" s="88">
        <f>MAX('Resource Mix and Demand'!G27,'Resource Mix and Demand'!G28)</f>
        <v>30</v>
      </c>
      <c r="H59" s="88">
        <f>MAX('Resource Mix and Demand'!H27,'Resource Mix and Demand'!H28)</f>
        <v>30</v>
      </c>
      <c r="I59" s="88">
        <f>MAX('Resource Mix and Demand'!I27,'Resource Mix and Demand'!I28)</f>
        <v>30</v>
      </c>
      <c r="J59" s="88">
        <f>MAX('Resource Mix and Demand'!J27,'Resource Mix and Demand'!J28)</f>
        <v>30</v>
      </c>
      <c r="K59" s="88">
        <f>MAX('Resource Mix and Demand'!K27,'Resource Mix and Demand'!K28)</f>
        <v>30</v>
      </c>
      <c r="L59" s="88">
        <f>MAX('Resource Mix and Demand'!L27,'Resource Mix and Demand'!L28)</f>
        <v>30</v>
      </c>
    </row>
    <row r="60" spans="1:12" x14ac:dyDescent="0.25">
      <c r="A60" t="s">
        <v>442</v>
      </c>
      <c r="B60" s="88">
        <f>'Resource Mix and Demand'!B32</f>
        <v>10</v>
      </c>
      <c r="C60" s="88">
        <f>'Resource Mix and Demand'!C32</f>
        <v>15</v>
      </c>
      <c r="D60" s="88">
        <f>'Resource Mix and Demand'!D32</f>
        <v>21</v>
      </c>
      <c r="E60" s="88">
        <f>'Resource Mix and Demand'!E32</f>
        <v>28</v>
      </c>
      <c r="F60" s="88">
        <f>'Resource Mix and Demand'!F32</f>
        <v>36</v>
      </c>
      <c r="G60" s="88">
        <f>'Resource Mix and Demand'!G32</f>
        <v>45</v>
      </c>
      <c r="H60" s="88">
        <f>'Resource Mix and Demand'!H32</f>
        <v>55</v>
      </c>
      <c r="I60" s="88">
        <f>'Resource Mix and Demand'!I32</f>
        <v>66</v>
      </c>
      <c r="J60" s="88">
        <f>'Resource Mix and Demand'!J32</f>
        <v>78</v>
      </c>
      <c r="K60" s="88">
        <f>'Resource Mix and Demand'!K32</f>
        <v>91</v>
      </c>
      <c r="L60" s="88">
        <f>'Resource Mix and Demand'!L32</f>
        <v>105</v>
      </c>
    </row>
    <row r="62" spans="1:12" x14ac:dyDescent="0.25">
      <c r="A62" s="9" t="s">
        <v>202</v>
      </c>
      <c r="B62" s="9">
        <v>0</v>
      </c>
      <c r="C62" s="9">
        <v>1</v>
      </c>
      <c r="D62" s="9">
        <v>2</v>
      </c>
      <c r="E62" s="9">
        <v>3</v>
      </c>
      <c r="F62" s="9">
        <v>4</v>
      </c>
      <c r="G62" s="9">
        <v>5</v>
      </c>
      <c r="H62" s="9">
        <v>6</v>
      </c>
      <c r="I62" s="9">
        <v>7</v>
      </c>
      <c r="J62" s="9">
        <v>8</v>
      </c>
      <c r="K62" s="9">
        <v>9</v>
      </c>
      <c r="L62" s="9">
        <v>10</v>
      </c>
    </row>
    <row r="63" spans="1:12" x14ac:dyDescent="0.25">
      <c r="A63" t="s">
        <v>201</v>
      </c>
      <c r="B63">
        <f>'Resource Mix and Demand'!B57/8760/('Game Assumptions'!$B$75*(1-'Game Assumptions'!$B$78)^Reliability!B62)</f>
        <v>2054.794520547945</v>
      </c>
      <c r="C63">
        <f>'Resource Mix and Demand'!C57/8760/('Game Assumptions'!$B$75*(1-'Game Assumptions'!$B$78)^Reliability!C62)</f>
        <v>2071.270536176623</v>
      </c>
      <c r="D63">
        <f>'Resource Mix and Demand'!D57/8760/('Game Assumptions'!$B$75*(1-'Game Assumptions'!$B$78)^Reliability!D62)</f>
        <v>2111.0653309204099</v>
      </c>
      <c r="E63">
        <f>'Resource Mix and Demand'!E57/8760/('Game Assumptions'!$B$75*(1-'Game Assumptions'!$B$78)^Reliability!E62)</f>
        <v>2126.3248385855536</v>
      </c>
      <c r="F63">
        <f>'Resource Mix and Demand'!F57/8760/('Game Assumptions'!$B$75*(1-'Game Assumptions'!$B$78)^Reliability!F62)</f>
        <v>2140.5089339308788</v>
      </c>
      <c r="G63">
        <f>'Resource Mix and Demand'!G57/8760/('Game Assumptions'!$B$75*(1-'Game Assumptions'!$B$78)^Reliability!G62)</f>
        <v>2233.2971115413466</v>
      </c>
      <c r="H63">
        <f>'Resource Mix and Demand'!H57/8760/('Game Assumptions'!$B$75*(1-'Game Assumptions'!$B$78)^Reliability!H62)</f>
        <v>2247.5498667941874</v>
      </c>
      <c r="I63">
        <f>'Resource Mix and Demand'!I57/8760/('Game Assumptions'!$B$75*(1-'Game Assumptions'!$B$78)^Reliability!I62)</f>
        <v>2260.5480178970961</v>
      </c>
      <c r="J63">
        <f>'Resource Mix and Demand'!J57/8760/('Game Assumptions'!$B$75*(1-'Game Assumptions'!$B$78)^Reliability!J62)</f>
        <v>2388.7234209737353</v>
      </c>
      <c r="K63">
        <f>'Resource Mix and Demand'!K57/8760/('Game Assumptions'!$B$75*(1-'Game Assumptions'!$B$78)^Reliability!K62)</f>
        <v>2432.5697397394088</v>
      </c>
      <c r="L63">
        <f>'Resource Mix and Demand'!L57/8760/('Game Assumptions'!$B$75*(1-'Game Assumptions'!$B$78)^Reliability!L62)</f>
        <v>2476.843313976743</v>
      </c>
    </row>
    <row r="65" spans="1:12" x14ac:dyDescent="0.25">
      <c r="A65" s="9" t="s">
        <v>203</v>
      </c>
      <c r="B65" s="9">
        <v>0</v>
      </c>
      <c r="C65" s="9">
        <v>1</v>
      </c>
      <c r="D65" s="9">
        <v>2</v>
      </c>
      <c r="E65" s="9">
        <v>3</v>
      </c>
      <c r="F65" s="9">
        <v>4</v>
      </c>
      <c r="G65" s="9">
        <v>5</v>
      </c>
      <c r="H65" s="9">
        <v>6</v>
      </c>
      <c r="I65" s="9">
        <v>7</v>
      </c>
      <c r="J65" s="9">
        <v>8</v>
      </c>
      <c r="K65" s="9">
        <v>9</v>
      </c>
      <c r="L65" s="9">
        <v>10</v>
      </c>
    </row>
    <row r="66" spans="1:12" x14ac:dyDescent="0.25">
      <c r="A66" t="s">
        <v>201</v>
      </c>
      <c r="B66">
        <f>'Resource Mix and Demand'!B60/8760/(('Game Assumptions'!$B$75*(1-'Game Assumptions'!$B$78)^Reliability!B65)+'Event Tracker'!B5*'Game Assumptions'!$B$76)-'Resource Mix and Demand'!B64</f>
        <v>2054.794520547945</v>
      </c>
      <c r="C66">
        <f>'Resource Mix and Demand'!C60/8760/(('Game Assumptions'!$B$75*(1-'Game Assumptions'!$B$78)^Reliability!C65)+'Event Tracker'!C5*'Game Assumptions'!$B$76)-'Resource Mix and Demand'!C64</f>
        <v>1988.4197147295581</v>
      </c>
      <c r="D66">
        <f>'Resource Mix and Demand'!D60/8760/(('Game Assumptions'!$B$75*(1-'Game Assumptions'!$B$78)^Reliability!D65)+'Event Tracker'!D5*'Game Assumptions'!$B$76)-'Resource Mix and Demand'!D64</f>
        <v>2216.6185974664309</v>
      </c>
      <c r="E66">
        <f>'Resource Mix and Demand'!E60/8760/(('Game Assumptions'!$B$75*(1-'Game Assumptions'!$B$78)^Reliability!E65)+'Event Tracker'!E5*'Game Assumptions'!$B$76)-'Resource Mix and Demand'!E64</f>
        <v>2211.3778321289756</v>
      </c>
      <c r="F66">
        <f>'Resource Mix and Demand'!F60/8760/(('Game Assumptions'!$B$75*(1-'Game Assumptions'!$B$78)^Reliability!F65)+'Event Tracker'!F5*'Game Assumptions'!$B$76)-'Resource Mix and Demand'!F64</f>
        <v>2247.5343806274223</v>
      </c>
      <c r="G66">
        <f>'Resource Mix and Demand'!G60/8760/(('Game Assumptions'!$B$75*(1-'Game Assumptions'!$B$78)^Reliability!G65)+'Event Tracker'!G5*'Game Assumptions'!$B$76)-'Resource Mix and Demand'!G64</f>
        <v>2277.9630537721737</v>
      </c>
      <c r="H66">
        <f>'Resource Mix and Demand'!H60/8760/(('Game Assumptions'!$B$75*(1-'Game Assumptions'!$B$78)^Reliability!H65)+'Event Tracker'!H5*'Game Assumptions'!$B$76)-'Resource Mix and Demand'!H64</f>
        <v>2180.1233707903621</v>
      </c>
      <c r="I66">
        <f>'Resource Mix and Demand'!I60/8760/(('Game Assumptions'!$B$75*(1-'Game Assumptions'!$B$78)^Reliability!I65)+'Event Tracker'!I5*'Game Assumptions'!$B$76)-'Resource Mix and Demand'!I64</f>
        <v>2373.5754187919511</v>
      </c>
      <c r="J66">
        <f>'Resource Mix and Demand'!J60/8760/(('Game Assumptions'!$B$75*(1-'Game Assumptions'!$B$78)^Reliability!J65)+'Event Tracker'!J5*'Game Assumptions'!$B$76)-'Resource Mix and Demand'!J64</f>
        <v>2364.8361867639978</v>
      </c>
      <c r="K66">
        <f>'Resource Mix and Demand'!K60/8760/(('Game Assumptions'!$B$75*(1-'Game Assumptions'!$B$78)^Reliability!K65)+'Event Tracker'!K5*'Game Assumptions'!$B$76)-'Resource Mix and Demand'!K64</f>
        <v>2335.2669501498326</v>
      </c>
      <c r="L66">
        <f>'Resource Mix and Demand'!L60/8760/(('Game Assumptions'!$B$75*(1-'Game Assumptions'!$B$78)^Reliability!L65)+'Event Tracker'!L5*'Game Assumptions'!$B$76)-'Resource Mix and Demand'!L64</f>
        <v>2476.843313976743</v>
      </c>
    </row>
    <row r="68" spans="1:12" x14ac:dyDescent="0.25">
      <c r="A68" s="9" t="s">
        <v>411</v>
      </c>
      <c r="B68" s="9">
        <v>0</v>
      </c>
      <c r="C68" s="9">
        <v>1</v>
      </c>
      <c r="D68" s="9">
        <v>2</v>
      </c>
      <c r="E68" s="9">
        <v>3</v>
      </c>
      <c r="F68" s="9">
        <v>4</v>
      </c>
      <c r="G68" s="9">
        <v>5</v>
      </c>
      <c r="H68" s="9">
        <v>6</v>
      </c>
      <c r="I68" s="9">
        <v>7</v>
      </c>
      <c r="J68" s="9">
        <v>8</v>
      </c>
      <c r="K68" s="9">
        <v>9</v>
      </c>
      <c r="L68" s="9">
        <v>10</v>
      </c>
    </row>
    <row r="69" spans="1:12" x14ac:dyDescent="0.25">
      <c r="A69" t="s">
        <v>7</v>
      </c>
      <c r="B69" s="16">
        <f>'Resource Mix and Demand'!B24*'Game Assumptions'!$H$55</f>
        <v>375</v>
      </c>
      <c r="C69" s="16">
        <f>'Resource Mix and Demand'!C24*'Game Assumptions'!$H$55</f>
        <v>150</v>
      </c>
      <c r="D69" s="16">
        <f>'Resource Mix and Demand'!D24*'Game Assumptions'!$H$55</f>
        <v>150</v>
      </c>
      <c r="E69" s="16">
        <f>'Resource Mix and Demand'!E24*'Game Assumptions'!$H$55</f>
        <v>150</v>
      </c>
      <c r="F69" s="16">
        <f>'Resource Mix and Demand'!F24*'Game Assumptions'!$H$55</f>
        <v>150</v>
      </c>
      <c r="G69" s="16">
        <f>'Resource Mix and Demand'!G24*'Game Assumptions'!$H$55</f>
        <v>75</v>
      </c>
      <c r="H69" s="16">
        <f>'Resource Mix and Demand'!H24*'Game Assumptions'!$H$55</f>
        <v>75</v>
      </c>
      <c r="I69" s="16">
        <f>'Resource Mix and Demand'!I24*'Game Assumptions'!$H$55</f>
        <v>75</v>
      </c>
      <c r="J69" s="16">
        <f>'Resource Mix and Demand'!J24*'Game Assumptions'!$H$55</f>
        <v>75</v>
      </c>
      <c r="K69" s="16">
        <f>'Resource Mix and Demand'!K24*'Game Assumptions'!$H$55</f>
        <v>75</v>
      </c>
      <c r="L69" s="16">
        <f>'Resource Mix and Demand'!L24*'Game Assumptions'!$H$55</f>
        <v>75</v>
      </c>
    </row>
    <row r="70" spans="1:12" x14ac:dyDescent="0.25">
      <c r="A70" t="s">
        <v>8</v>
      </c>
      <c r="B70" s="16">
        <f>'Resource Mix and Demand'!B25*'Game Assumptions'!$H$56</f>
        <v>1020</v>
      </c>
      <c r="C70" s="16">
        <f>'Resource Mix and Demand'!C25*'Game Assumptions'!$H$56</f>
        <v>1020</v>
      </c>
      <c r="D70" s="16">
        <f>'Resource Mix and Demand'!D25*'Game Assumptions'!$H$56</f>
        <v>1020</v>
      </c>
      <c r="E70" s="16">
        <f>'Resource Mix and Demand'!E25*'Game Assumptions'!$H$56</f>
        <v>1020</v>
      </c>
      <c r="F70" s="16">
        <f>'Resource Mix and Demand'!F25*'Game Assumptions'!$H$56</f>
        <v>1020</v>
      </c>
      <c r="G70" s="16">
        <f>'Resource Mix and Demand'!G25*'Game Assumptions'!$H$56</f>
        <v>1020</v>
      </c>
      <c r="H70" s="16">
        <f>'Resource Mix and Demand'!H25*'Game Assumptions'!$H$56</f>
        <v>1020</v>
      </c>
      <c r="I70" s="16">
        <f>'Resource Mix and Demand'!I25*'Game Assumptions'!$H$56</f>
        <v>1020</v>
      </c>
      <c r="J70" s="16">
        <f>'Resource Mix and Demand'!J25*'Game Assumptions'!$H$56</f>
        <v>1020</v>
      </c>
      <c r="K70" s="16">
        <f>'Resource Mix and Demand'!K25*'Game Assumptions'!$H$56</f>
        <v>1020</v>
      </c>
      <c r="L70" s="16">
        <f>'Resource Mix and Demand'!L25*'Game Assumptions'!$H$56</f>
        <v>1020</v>
      </c>
    </row>
    <row r="71" spans="1:12" x14ac:dyDescent="0.25">
      <c r="A71" t="s">
        <v>13</v>
      </c>
      <c r="B71" s="16">
        <f>'Resource Mix and Demand'!B26*'Game Assumptions'!$H$57</f>
        <v>450</v>
      </c>
      <c r="C71" s="16">
        <f>'Resource Mix and Demand'!C26*'Game Assumptions'!$H$57</f>
        <v>450</v>
      </c>
      <c r="D71" s="16">
        <f>'Resource Mix and Demand'!D26*'Game Assumptions'!$H$57</f>
        <v>450</v>
      </c>
      <c r="E71" s="16">
        <f>'Resource Mix and Demand'!E26*'Game Assumptions'!$H$57</f>
        <v>0</v>
      </c>
      <c r="F71" s="16">
        <f>'Resource Mix and Demand'!F26*'Game Assumptions'!$H$57</f>
        <v>0</v>
      </c>
      <c r="G71" s="16">
        <f>'Resource Mix and Demand'!G26*'Game Assumptions'!$H$57</f>
        <v>0</v>
      </c>
      <c r="H71" s="16">
        <f>'Resource Mix and Demand'!H26*'Game Assumptions'!$H$57</f>
        <v>0</v>
      </c>
      <c r="I71" s="16">
        <f>'Resource Mix and Demand'!I26*'Game Assumptions'!$H$57</f>
        <v>0</v>
      </c>
      <c r="J71" s="16">
        <f>'Resource Mix and Demand'!J26*'Game Assumptions'!$H$57</f>
        <v>0</v>
      </c>
      <c r="K71" s="16">
        <f>'Resource Mix and Demand'!K26*'Game Assumptions'!$H$57</f>
        <v>0</v>
      </c>
      <c r="L71" s="16">
        <f>'Resource Mix and Demand'!L26*'Game Assumptions'!$H$57</f>
        <v>0</v>
      </c>
    </row>
    <row r="72" spans="1:12" x14ac:dyDescent="0.25">
      <c r="A72" t="s">
        <v>9</v>
      </c>
      <c r="B72" s="16">
        <f>MIN('Resource Mix and Demand'!B27,B55)*'Game Assumptions'!$H$58</f>
        <v>7.5</v>
      </c>
      <c r="C72" s="16">
        <f>'Resource Mix and Demand'!C27*'Game Assumptions'!$H$58</f>
        <v>7.5</v>
      </c>
      <c r="D72" s="16">
        <f>'Resource Mix and Demand'!D27*'Game Assumptions'!$H$58</f>
        <v>7.5</v>
      </c>
      <c r="E72" s="16">
        <f>'Resource Mix and Demand'!E27*'Game Assumptions'!$H$58</f>
        <v>7.5</v>
      </c>
      <c r="F72" s="16">
        <f>'Resource Mix and Demand'!F27*'Game Assumptions'!$H$58</f>
        <v>7.5</v>
      </c>
      <c r="G72" s="16">
        <f>'Resource Mix and Demand'!G27*'Game Assumptions'!$H$58</f>
        <v>7.5</v>
      </c>
      <c r="H72" s="16">
        <f>'Resource Mix and Demand'!H27*'Game Assumptions'!$H$58</f>
        <v>7.5</v>
      </c>
      <c r="I72" s="16">
        <f>'Resource Mix and Demand'!I27*'Game Assumptions'!$H$58</f>
        <v>7.5</v>
      </c>
      <c r="J72" s="16">
        <f>'Resource Mix and Demand'!J27*'Game Assumptions'!$H$58</f>
        <v>7.5</v>
      </c>
      <c r="K72" s="16">
        <f>'Resource Mix and Demand'!K27*'Game Assumptions'!$H$58</f>
        <v>7.5</v>
      </c>
      <c r="L72" s="16">
        <f>'Resource Mix and Demand'!L27*'Game Assumptions'!$H$58</f>
        <v>7.5</v>
      </c>
    </row>
    <row r="73" spans="1:12" x14ac:dyDescent="0.25">
      <c r="A73" t="s">
        <v>10</v>
      </c>
      <c r="B73" s="16">
        <f>MIN('Resource Mix and Demand'!B28,B55)*'Game Assumptions'!$H$59</f>
        <v>9</v>
      </c>
      <c r="C73" s="16">
        <f>'Resource Mix and Demand'!C28*'Game Assumptions'!$H$59</f>
        <v>9</v>
      </c>
      <c r="D73" s="16">
        <f>'Resource Mix and Demand'!D28*'Game Assumptions'!$H$59</f>
        <v>9</v>
      </c>
      <c r="E73" s="16">
        <f>'Resource Mix and Demand'!E28*'Game Assumptions'!$H$59</f>
        <v>9</v>
      </c>
      <c r="F73" s="16">
        <f>'Resource Mix and Demand'!F28*'Game Assumptions'!$H$59</f>
        <v>9</v>
      </c>
      <c r="G73" s="16">
        <f>'Resource Mix and Demand'!G28*'Game Assumptions'!$H$59</f>
        <v>9</v>
      </c>
      <c r="H73" s="16">
        <f>'Resource Mix and Demand'!H28*'Game Assumptions'!$H$59</f>
        <v>9</v>
      </c>
      <c r="I73" s="16">
        <f>'Resource Mix and Demand'!I28*'Game Assumptions'!$H$59</f>
        <v>9</v>
      </c>
      <c r="J73" s="16">
        <f>'Resource Mix and Demand'!J28*'Game Assumptions'!$H$59</f>
        <v>9</v>
      </c>
      <c r="K73" s="16">
        <f>'Resource Mix and Demand'!K28*'Game Assumptions'!$H$59</f>
        <v>9</v>
      </c>
      <c r="L73" s="16">
        <f>'Resource Mix and Demand'!L28*'Game Assumptions'!$H$59</f>
        <v>9</v>
      </c>
    </row>
    <row r="74" spans="1:12" x14ac:dyDescent="0.25">
      <c r="A74" t="s">
        <v>11</v>
      </c>
      <c r="B74" s="16">
        <f>'Resource Mix and Demand'!B29*'Game Assumptions'!$H$60</f>
        <v>18</v>
      </c>
      <c r="C74" s="16">
        <f>'Resource Mix and Demand'!C29*'Game Assumptions'!$H$60</f>
        <v>18</v>
      </c>
      <c r="D74" s="16">
        <f>'Resource Mix and Demand'!D29*'Game Assumptions'!$H$60</f>
        <v>18</v>
      </c>
      <c r="E74" s="16">
        <f>'Resource Mix and Demand'!E29*'Game Assumptions'!$H$60</f>
        <v>18</v>
      </c>
      <c r="F74" s="16">
        <f>'Resource Mix and Demand'!F29*'Game Assumptions'!$H$60</f>
        <v>18</v>
      </c>
      <c r="G74" s="16">
        <f>'Resource Mix and Demand'!G29*'Game Assumptions'!$H$60</f>
        <v>18</v>
      </c>
      <c r="H74" s="16">
        <f>'Resource Mix and Demand'!H29*'Game Assumptions'!$H$60</f>
        <v>18</v>
      </c>
      <c r="I74" s="16">
        <f>'Resource Mix and Demand'!I29*'Game Assumptions'!$H$60</f>
        <v>18</v>
      </c>
      <c r="J74" s="16">
        <f>'Resource Mix and Demand'!J29*'Game Assumptions'!$H$60</f>
        <v>18</v>
      </c>
      <c r="K74" s="16">
        <f>'Resource Mix and Demand'!K29*'Game Assumptions'!$H$60</f>
        <v>18</v>
      </c>
      <c r="L74" s="16">
        <f>'Resource Mix and Demand'!L29*'Game Assumptions'!$H$60</f>
        <v>18</v>
      </c>
    </row>
    <row r="75" spans="1:12" x14ac:dyDescent="0.25">
      <c r="A75" t="s">
        <v>204</v>
      </c>
      <c r="B75" s="16">
        <f t="shared" ref="B75:L75" si="14">B19</f>
        <v>300</v>
      </c>
      <c r="C75" s="16">
        <f t="shared" si="14"/>
        <v>300</v>
      </c>
      <c r="D75" s="16">
        <f t="shared" si="14"/>
        <v>300</v>
      </c>
      <c r="E75" s="16">
        <f t="shared" si="14"/>
        <v>300</v>
      </c>
      <c r="F75" s="16">
        <f t="shared" si="14"/>
        <v>300</v>
      </c>
      <c r="G75" s="16">
        <f t="shared" si="14"/>
        <v>300</v>
      </c>
      <c r="H75" s="16">
        <f t="shared" si="14"/>
        <v>300</v>
      </c>
      <c r="I75" s="16">
        <f t="shared" si="14"/>
        <v>300</v>
      </c>
      <c r="J75" s="16">
        <f t="shared" si="14"/>
        <v>300</v>
      </c>
      <c r="K75" s="16">
        <f t="shared" si="14"/>
        <v>300</v>
      </c>
      <c r="L75" s="16">
        <f t="shared" si="14"/>
        <v>300</v>
      </c>
    </row>
    <row r="76" spans="1:12" x14ac:dyDescent="0.25">
      <c r="A76" t="s">
        <v>183</v>
      </c>
      <c r="B76" s="16">
        <f t="shared" ref="B76:L76" si="15">B20</f>
        <v>10</v>
      </c>
      <c r="C76" s="16">
        <f t="shared" si="15"/>
        <v>10</v>
      </c>
      <c r="D76" s="16">
        <f t="shared" si="15"/>
        <v>10</v>
      </c>
      <c r="E76" s="16">
        <f t="shared" si="15"/>
        <v>10</v>
      </c>
      <c r="F76" s="16">
        <f t="shared" si="15"/>
        <v>10</v>
      </c>
      <c r="G76" s="16">
        <f t="shared" si="15"/>
        <v>10</v>
      </c>
      <c r="H76" s="16">
        <f t="shared" si="15"/>
        <v>10</v>
      </c>
      <c r="I76" s="16">
        <f t="shared" si="15"/>
        <v>10</v>
      </c>
      <c r="J76" s="16">
        <f t="shared" si="15"/>
        <v>10</v>
      </c>
      <c r="K76" s="16">
        <f t="shared" si="15"/>
        <v>10</v>
      </c>
      <c r="L76" s="16">
        <f t="shared" si="15"/>
        <v>10</v>
      </c>
    </row>
    <row r="77" spans="1:12" x14ac:dyDescent="0.25">
      <c r="A77" t="s">
        <v>182</v>
      </c>
      <c r="B77" s="16">
        <f t="shared" ref="B77:L77" si="16">B21</f>
        <v>200</v>
      </c>
      <c r="C77" s="16">
        <f t="shared" si="16"/>
        <v>200</v>
      </c>
      <c r="D77" s="16">
        <f t="shared" si="16"/>
        <v>200</v>
      </c>
      <c r="E77" s="16">
        <f t="shared" si="16"/>
        <v>200</v>
      </c>
      <c r="F77" s="16">
        <f t="shared" si="16"/>
        <v>200</v>
      </c>
      <c r="G77" s="16">
        <f t="shared" si="16"/>
        <v>200</v>
      </c>
      <c r="H77" s="16">
        <f t="shared" si="16"/>
        <v>200</v>
      </c>
      <c r="I77" s="16">
        <f t="shared" si="16"/>
        <v>200</v>
      </c>
      <c r="J77" s="16">
        <f t="shared" si="16"/>
        <v>200</v>
      </c>
      <c r="K77" s="16">
        <f t="shared" si="16"/>
        <v>200</v>
      </c>
      <c r="L77" s="16">
        <f t="shared" si="16"/>
        <v>200</v>
      </c>
    </row>
    <row r="78" spans="1:12" x14ac:dyDescent="0.25">
      <c r="A78" t="s">
        <v>289</v>
      </c>
      <c r="B78" s="16">
        <f t="shared" ref="B78:L78" si="17">B24</f>
        <v>10</v>
      </c>
      <c r="C78" s="16">
        <f t="shared" si="17"/>
        <v>10</v>
      </c>
      <c r="D78" s="16">
        <f t="shared" si="17"/>
        <v>10</v>
      </c>
      <c r="E78" s="16">
        <f t="shared" si="17"/>
        <v>10</v>
      </c>
      <c r="F78" s="16">
        <f t="shared" si="17"/>
        <v>10</v>
      </c>
      <c r="G78" s="16">
        <f t="shared" si="17"/>
        <v>10</v>
      </c>
      <c r="H78" s="16">
        <f t="shared" si="17"/>
        <v>10</v>
      </c>
      <c r="I78" s="16">
        <f t="shared" si="17"/>
        <v>10</v>
      </c>
      <c r="J78" s="16">
        <f t="shared" si="17"/>
        <v>10</v>
      </c>
      <c r="K78" s="16">
        <f t="shared" si="17"/>
        <v>10</v>
      </c>
      <c r="L78" s="16">
        <f t="shared" si="17"/>
        <v>10</v>
      </c>
    </row>
    <row r="79" spans="1:12" x14ac:dyDescent="0.25">
      <c r="A79" t="s">
        <v>290</v>
      </c>
      <c r="B79" s="16">
        <f>B25</f>
        <v>10</v>
      </c>
      <c r="C79" s="16">
        <f t="shared" ref="C79:L79" si="18">C25</f>
        <v>10.5</v>
      </c>
      <c r="D79" s="16">
        <f t="shared" si="18"/>
        <v>11.5</v>
      </c>
      <c r="E79" s="16">
        <f t="shared" si="18"/>
        <v>13</v>
      </c>
      <c r="F79" s="16">
        <f t="shared" si="18"/>
        <v>15</v>
      </c>
      <c r="G79" s="16">
        <f t="shared" si="18"/>
        <v>17.5</v>
      </c>
      <c r="H79" s="16">
        <f t="shared" si="18"/>
        <v>20.5</v>
      </c>
      <c r="I79" s="16">
        <f t="shared" si="18"/>
        <v>24</v>
      </c>
      <c r="J79" s="16">
        <f t="shared" si="18"/>
        <v>28</v>
      </c>
      <c r="K79" s="16">
        <f t="shared" si="18"/>
        <v>32.5</v>
      </c>
      <c r="L79" s="16">
        <f t="shared" si="18"/>
        <v>37.5</v>
      </c>
    </row>
    <row r="80" spans="1:12" x14ac:dyDescent="0.25">
      <c r="A80" t="s">
        <v>428</v>
      </c>
      <c r="B80" s="16">
        <f>MIN(B26,B56)*'Game Assumptions'!$H$63</f>
        <v>2.5</v>
      </c>
      <c r="C80" s="16">
        <f>MIN(C26,C56)*'Game Assumptions'!$H$63</f>
        <v>3.75</v>
      </c>
      <c r="D80" s="16">
        <f>MIN(D26,D56)*'Game Assumptions'!$H$63</f>
        <v>5.25</v>
      </c>
      <c r="E80" s="16">
        <f>MIN(E26,E56)*'Game Assumptions'!$H$63</f>
        <v>7</v>
      </c>
      <c r="F80" s="16">
        <f>MIN(F26,F56)*'Game Assumptions'!$H$63</f>
        <v>9</v>
      </c>
      <c r="G80" s="16">
        <f>MIN(G26,G56)*'Game Assumptions'!$H$63</f>
        <v>11.25</v>
      </c>
      <c r="H80" s="16">
        <f>MIN(H26,H56)*'Game Assumptions'!$H$63</f>
        <v>13.75</v>
      </c>
      <c r="I80" s="16">
        <f>MIN(I26,I56)*'Game Assumptions'!$H$63</f>
        <v>16.5</v>
      </c>
      <c r="J80" s="16">
        <f>MIN(J26,J56)*'Game Assumptions'!$H$63</f>
        <v>19.5</v>
      </c>
      <c r="K80" s="16">
        <f>MIN(K26,K56)*'Game Assumptions'!$H$63</f>
        <v>22.75</v>
      </c>
      <c r="L80" s="16">
        <f>MIN(L26,L56)*'Game Assumptions'!$H$63</f>
        <v>26.25</v>
      </c>
    </row>
    <row r="82" spans="1:12" x14ac:dyDescent="0.25">
      <c r="A82" s="9" t="s">
        <v>412</v>
      </c>
      <c r="B82" s="87"/>
      <c r="C82" s="87"/>
      <c r="D82" s="87"/>
      <c r="E82" s="87"/>
      <c r="F82" s="87"/>
      <c r="G82" s="87"/>
      <c r="H82" s="87"/>
      <c r="I82" s="87"/>
      <c r="J82" s="87"/>
      <c r="K82" s="87"/>
      <c r="L82" s="87"/>
    </row>
    <row r="83" spans="1:12" x14ac:dyDescent="0.25">
      <c r="A83" t="s">
        <v>289</v>
      </c>
      <c r="B83" s="16">
        <f t="shared" ref="B83:L83" si="19">B24</f>
        <v>10</v>
      </c>
      <c r="C83" s="16">
        <f t="shared" si="19"/>
        <v>10</v>
      </c>
      <c r="D83" s="16">
        <f t="shared" si="19"/>
        <v>10</v>
      </c>
      <c r="E83" s="16">
        <f t="shared" si="19"/>
        <v>10</v>
      </c>
      <c r="F83" s="16">
        <f t="shared" si="19"/>
        <v>10</v>
      </c>
      <c r="G83" s="16">
        <f t="shared" si="19"/>
        <v>10</v>
      </c>
      <c r="H83" s="16">
        <f t="shared" si="19"/>
        <v>10</v>
      </c>
      <c r="I83" s="16">
        <f t="shared" si="19"/>
        <v>10</v>
      </c>
      <c r="J83" s="16">
        <f t="shared" si="19"/>
        <v>10</v>
      </c>
      <c r="K83" s="16">
        <f t="shared" si="19"/>
        <v>10</v>
      </c>
      <c r="L83" s="16">
        <f t="shared" si="19"/>
        <v>10</v>
      </c>
    </row>
    <row r="84" spans="1:12" x14ac:dyDescent="0.25">
      <c r="A84" t="s">
        <v>290</v>
      </c>
      <c r="B84" s="16">
        <f t="shared" ref="B84:L84" si="20">B25</f>
        <v>10</v>
      </c>
      <c r="C84" s="16">
        <f t="shared" si="20"/>
        <v>10.5</v>
      </c>
      <c r="D84" s="16">
        <f t="shared" si="20"/>
        <v>11.5</v>
      </c>
      <c r="E84" s="16">
        <f t="shared" si="20"/>
        <v>13</v>
      </c>
      <c r="F84" s="16">
        <f t="shared" si="20"/>
        <v>15</v>
      </c>
      <c r="G84" s="16">
        <f t="shared" si="20"/>
        <v>17.5</v>
      </c>
      <c r="H84" s="16">
        <f t="shared" si="20"/>
        <v>20.5</v>
      </c>
      <c r="I84" s="16">
        <f t="shared" si="20"/>
        <v>24</v>
      </c>
      <c r="J84" s="16">
        <f t="shared" si="20"/>
        <v>28</v>
      </c>
      <c r="K84" s="16">
        <f t="shared" si="20"/>
        <v>32.5</v>
      </c>
      <c r="L84" s="16">
        <f t="shared" si="20"/>
        <v>37.5</v>
      </c>
    </row>
    <row r="85" spans="1:12" x14ac:dyDescent="0.25">
      <c r="A85" t="s">
        <v>39</v>
      </c>
      <c r="B85" s="16">
        <f t="shared" ref="B85:L85" si="21">B22</f>
        <v>50</v>
      </c>
      <c r="C85" s="16">
        <f t="shared" si="21"/>
        <v>50</v>
      </c>
      <c r="D85" s="16">
        <f t="shared" si="21"/>
        <v>50</v>
      </c>
      <c r="E85" s="16">
        <f t="shared" si="21"/>
        <v>50</v>
      </c>
      <c r="F85" s="16">
        <f t="shared" si="21"/>
        <v>50</v>
      </c>
      <c r="G85" s="16">
        <f t="shared" si="21"/>
        <v>50</v>
      </c>
      <c r="H85" s="16">
        <f t="shared" si="21"/>
        <v>50</v>
      </c>
      <c r="I85" s="16">
        <f t="shared" si="21"/>
        <v>50</v>
      </c>
      <c r="J85" s="16">
        <f t="shared" si="21"/>
        <v>50</v>
      </c>
      <c r="K85" s="16">
        <f t="shared" si="21"/>
        <v>50</v>
      </c>
      <c r="L85" s="16">
        <f t="shared" si="21"/>
        <v>50</v>
      </c>
    </row>
    <row r="86" spans="1:12" x14ac:dyDescent="0.25">
      <c r="A86" t="s">
        <v>392</v>
      </c>
      <c r="B86" s="16">
        <f t="shared" ref="B86:L86" si="22">B23</f>
        <v>1984.794520547945</v>
      </c>
      <c r="C86" s="16">
        <f t="shared" si="22"/>
        <v>1984.794520547945</v>
      </c>
      <c r="D86" s="16">
        <f t="shared" si="22"/>
        <v>1984.794520547945</v>
      </c>
      <c r="E86" s="16">
        <f t="shared" si="22"/>
        <v>1984.794520547945</v>
      </c>
      <c r="F86" s="16">
        <f t="shared" si="22"/>
        <v>1984.794520547945</v>
      </c>
      <c r="G86" s="16">
        <f t="shared" si="22"/>
        <v>1984.794520547945</v>
      </c>
      <c r="H86" s="16">
        <f t="shared" si="22"/>
        <v>1984.794520547945</v>
      </c>
      <c r="I86" s="16">
        <f t="shared" si="22"/>
        <v>1984.794520547945</v>
      </c>
      <c r="J86" s="16">
        <f t="shared" si="22"/>
        <v>1984.794520547945</v>
      </c>
      <c r="K86" s="16">
        <f t="shared" si="22"/>
        <v>1984.794520547945</v>
      </c>
      <c r="L86" s="16">
        <f t="shared" si="22"/>
        <v>1984.794520547945</v>
      </c>
    </row>
    <row r="88" spans="1:12" x14ac:dyDescent="0.25">
      <c r="A88" s="9" t="s">
        <v>413</v>
      </c>
      <c r="B88" s="9">
        <v>0</v>
      </c>
      <c r="C88" s="9">
        <v>1</v>
      </c>
      <c r="D88" s="9">
        <v>2</v>
      </c>
      <c r="E88" s="9">
        <v>3</v>
      </c>
      <c r="F88" s="9">
        <v>4</v>
      </c>
      <c r="G88" s="9">
        <v>5</v>
      </c>
      <c r="H88" s="9">
        <v>6</v>
      </c>
      <c r="I88" s="9">
        <v>7</v>
      </c>
      <c r="J88" s="9">
        <v>8</v>
      </c>
      <c r="K88" s="9">
        <v>9</v>
      </c>
      <c r="L88" s="9">
        <v>10</v>
      </c>
    </row>
    <row r="89" spans="1:12" x14ac:dyDescent="0.25">
      <c r="A89" t="s">
        <v>201</v>
      </c>
      <c r="B89" s="5">
        <f>SUM(B69:B80)/B66-1</f>
        <v>0.17384000000000022</v>
      </c>
      <c r="C89" s="5">
        <f t="shared" ref="C89:L89" si="23">SUM(C69:C80)/C66-1</f>
        <v>0.10074849076704528</v>
      </c>
      <c r="D89" s="5">
        <f t="shared" si="23"/>
        <v>-1.1444728243021562E-2</v>
      </c>
      <c r="E89" s="5">
        <f t="shared" si="23"/>
        <v>-0.21112531081108599</v>
      </c>
      <c r="F89" s="5">
        <f t="shared" si="23"/>
        <v>-0.22203637235934592</v>
      </c>
      <c r="G89" s="5">
        <f t="shared" si="23"/>
        <v>-0.26326724341691321</v>
      </c>
      <c r="H89" s="5">
        <f t="shared" si="23"/>
        <v>-0.22768132181914613</v>
      </c>
      <c r="I89" s="5">
        <f t="shared" si="23"/>
        <v>-0.28799397456680009</v>
      </c>
      <c r="J89" s="5">
        <f t="shared" si="23"/>
        <v>-0.28240272645601461</v>
      </c>
      <c r="K89" s="5">
        <f t="shared" si="23"/>
        <v>-0.26999780479459878</v>
      </c>
      <c r="L89" s="5">
        <f t="shared" si="23"/>
        <v>-0.30829294274200225</v>
      </c>
    </row>
    <row r="90" spans="1:12" ht="17.100000000000001" customHeight="1" x14ac:dyDescent="0.25"/>
    <row r="91" spans="1:12" ht="17.100000000000001" customHeight="1" x14ac:dyDescent="0.25">
      <c r="A91" s="9" t="s">
        <v>414</v>
      </c>
      <c r="B91" s="9">
        <v>0</v>
      </c>
      <c r="C91" s="9">
        <v>1</v>
      </c>
      <c r="D91" s="9">
        <v>2</v>
      </c>
      <c r="E91" s="9">
        <v>3</v>
      </c>
      <c r="F91" s="9">
        <v>4</v>
      </c>
      <c r="G91" s="9">
        <v>5</v>
      </c>
      <c r="H91" s="9">
        <v>6</v>
      </c>
      <c r="I91" s="9">
        <v>7</v>
      </c>
      <c r="J91" s="9">
        <v>8</v>
      </c>
      <c r="K91" s="9">
        <v>9</v>
      </c>
      <c r="L91" s="9">
        <v>10</v>
      </c>
    </row>
    <row r="92" spans="1:12" ht="17.100000000000001" customHeight="1" x14ac:dyDescent="0.25">
      <c r="A92" t="s">
        <v>201</v>
      </c>
      <c r="B92" s="5">
        <f>SUM(B83:B86)/B66-1</f>
        <v>0</v>
      </c>
      <c r="C92" s="5">
        <f t="shared" ref="C92:L92" si="24">SUM(C83:C86)/C66-1</f>
        <v>3.3632137784090688E-2</v>
      </c>
      <c r="D92" s="5">
        <f t="shared" si="24"/>
        <v>-7.2328219704433816E-2</v>
      </c>
      <c r="E92" s="5">
        <f t="shared" si="24"/>
        <v>-6.9451411400452634E-2</v>
      </c>
      <c r="F92" s="5">
        <f t="shared" si="24"/>
        <v>-8.3531474177969023E-2</v>
      </c>
      <c r="G92" s="5">
        <f t="shared" si="24"/>
        <v>-9.4676045279616927E-2</v>
      </c>
      <c r="H92" s="5">
        <f t="shared" si="24"/>
        <v>-5.2670803763177898E-2</v>
      </c>
      <c r="I92" s="5">
        <f t="shared" si="24"/>
        <v>-0.12840582011045876</v>
      </c>
      <c r="J92" s="5">
        <f t="shared" si="24"/>
        <v>-0.12349340214371374</v>
      </c>
      <c r="K92" s="5">
        <f t="shared" si="24"/>
        <v>-0.11046806858005498</v>
      </c>
      <c r="L92" s="5">
        <f t="shared" si="24"/>
        <v>-0.15929501523264411</v>
      </c>
    </row>
    <row r="93" spans="1:12" ht="17.100000000000001" customHeight="1" x14ac:dyDescent="0.25"/>
    <row r="94" spans="1:12" x14ac:dyDescent="0.25">
      <c r="A94" s="9" t="s">
        <v>381</v>
      </c>
      <c r="B94" s="9">
        <v>0</v>
      </c>
      <c r="C94" s="9">
        <v>1</v>
      </c>
      <c r="D94" s="9">
        <v>2</v>
      </c>
      <c r="E94" s="9">
        <v>3</v>
      </c>
      <c r="F94" s="9">
        <v>4</v>
      </c>
      <c r="G94" s="9">
        <v>5</v>
      </c>
      <c r="H94" s="9">
        <v>6</v>
      </c>
      <c r="I94" s="9">
        <v>7</v>
      </c>
      <c r="J94" s="9">
        <v>8</v>
      </c>
      <c r="K94" s="9">
        <v>9</v>
      </c>
      <c r="L94" s="9">
        <v>10</v>
      </c>
    </row>
    <row r="95" spans="1:12" x14ac:dyDescent="0.25">
      <c r="A95" t="s">
        <v>382</v>
      </c>
      <c r="B95">
        <f>'Game Assumptions'!$B$133</f>
        <v>287</v>
      </c>
      <c r="C95" s="16">
        <f>(1-C92)*'Game Assumptions'!$B$133</f>
        <v>277.34757645596596</v>
      </c>
      <c r="D95" s="16">
        <f>(1-D92)*'Game Assumptions'!$B$133</f>
        <v>307.75819905517255</v>
      </c>
      <c r="E95" s="16">
        <f>(1-E92)*'Game Assumptions'!$B$133</f>
        <v>306.93255507192993</v>
      </c>
      <c r="F95" s="16">
        <f>(1-F92)*'Game Assumptions'!$B$133</f>
        <v>310.97353308907714</v>
      </c>
      <c r="G95" s="16">
        <f>(1-G92)*'Game Assumptions'!$B$133</f>
        <v>314.17202499525007</v>
      </c>
      <c r="H95" s="16">
        <f>(1-H92)*'Game Assumptions'!$B$133</f>
        <v>302.11652068003201</v>
      </c>
      <c r="I95" s="16">
        <f>(1-I92)*'Game Assumptions'!$B$133</f>
        <v>323.85247037170166</v>
      </c>
      <c r="J95" s="16">
        <f>(1-J92)*'Game Assumptions'!$B$133</f>
        <v>322.44260641524585</v>
      </c>
      <c r="K95" s="16">
        <f>(1-K92)*'Game Assumptions'!$B$133</f>
        <v>318.7043356824758</v>
      </c>
      <c r="L95" s="16">
        <f>(1-L92)*'Game Assumptions'!$B$133</f>
        <v>332.71766937176886</v>
      </c>
    </row>
    <row r="104" spans="1:1" x14ac:dyDescent="0.25">
      <c r="A104" t="s">
        <v>33</v>
      </c>
    </row>
    <row r="105" spans="1:1" x14ac:dyDescent="0.25">
      <c r="A105" t="s">
        <v>34</v>
      </c>
    </row>
    <row r="106" spans="1:1" x14ac:dyDescent="0.25">
      <c r="A106" t="s">
        <v>35</v>
      </c>
    </row>
    <row r="108" spans="1:1" x14ac:dyDescent="0.25">
      <c r="A108" t="s">
        <v>40</v>
      </c>
    </row>
    <row r="110" spans="1:1" x14ac:dyDescent="0.25">
      <c r="A110" t="s">
        <v>41</v>
      </c>
    </row>
    <row r="111" spans="1:1" x14ac:dyDescent="0.25">
      <c r="A111" t="s">
        <v>42</v>
      </c>
    </row>
    <row r="113" spans="1:10" x14ac:dyDescent="0.25">
      <c r="A113" t="s">
        <v>43</v>
      </c>
    </row>
    <row r="114" spans="1:10" x14ac:dyDescent="0.25">
      <c r="D114" t="s">
        <v>51</v>
      </c>
      <c r="J114" t="s">
        <v>59</v>
      </c>
    </row>
    <row r="115" spans="1:10" x14ac:dyDescent="0.25">
      <c r="A115" t="s">
        <v>44</v>
      </c>
      <c r="D115" t="s">
        <v>52</v>
      </c>
      <c r="J115" t="s">
        <v>60</v>
      </c>
    </row>
    <row r="116" spans="1:10" x14ac:dyDescent="0.25">
      <c r="A116" t="s">
        <v>45</v>
      </c>
      <c r="D116" t="s">
        <v>53</v>
      </c>
      <c r="J116" t="s">
        <v>61</v>
      </c>
    </row>
    <row r="117" spans="1:10" x14ac:dyDescent="0.25">
      <c r="A117" t="s">
        <v>46</v>
      </c>
      <c r="D117" t="s">
        <v>54</v>
      </c>
      <c r="J117" t="s">
        <v>62</v>
      </c>
    </row>
    <row r="118" spans="1:10" x14ac:dyDescent="0.25">
      <c r="A118" t="s">
        <v>50</v>
      </c>
      <c r="D118" t="s">
        <v>55</v>
      </c>
    </row>
    <row r="119" spans="1:10" x14ac:dyDescent="0.25">
      <c r="A119" t="s">
        <v>47</v>
      </c>
      <c r="D119" t="s">
        <v>56</v>
      </c>
    </row>
    <row r="120" spans="1:10" x14ac:dyDescent="0.25">
      <c r="A120" t="s">
        <v>45</v>
      </c>
      <c r="D120" t="s">
        <v>57</v>
      </c>
    </row>
    <row r="121" spans="1:10" x14ac:dyDescent="0.25">
      <c r="A121" t="s">
        <v>48</v>
      </c>
      <c r="D121" t="s">
        <v>58</v>
      </c>
    </row>
    <row r="123" spans="1:10" x14ac:dyDescent="0.25">
      <c r="A123" t="s">
        <v>49</v>
      </c>
    </row>
    <row r="125" spans="1:10" x14ac:dyDescent="0.25">
      <c r="A125" t="s">
        <v>63</v>
      </c>
    </row>
    <row r="126" spans="1:10" x14ac:dyDescent="0.25">
      <c r="A126" t="s">
        <v>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M156"/>
  <sheetViews>
    <sheetView topLeftCell="A9" zoomScale="85" zoomScaleNormal="85" workbookViewId="0">
      <selection activeCell="G34" sqref="G34"/>
    </sheetView>
  </sheetViews>
  <sheetFormatPr defaultRowHeight="15" x14ac:dyDescent="0.25"/>
  <cols>
    <col min="1" max="1" width="72.28515625" customWidth="1"/>
    <col min="2" max="2" width="15.28515625" bestFit="1" customWidth="1"/>
    <col min="3" max="5" width="9.7109375" bestFit="1" customWidth="1"/>
    <col min="6" max="6" width="37.140625" bestFit="1" customWidth="1"/>
    <col min="7" max="7" width="16" customWidth="1"/>
    <col min="8" max="9" width="9.7109375" bestFit="1" customWidth="1"/>
    <col min="10" max="10" width="27.7109375" bestFit="1" customWidth="1"/>
    <col min="11" max="11" width="9.7109375" bestFit="1" customWidth="1"/>
  </cols>
  <sheetData>
    <row r="1" spans="1:10" ht="19.5" thickBot="1" x14ac:dyDescent="0.35">
      <c r="A1" s="20" t="s">
        <v>14</v>
      </c>
      <c r="B1" s="20"/>
      <c r="C1" s="20"/>
      <c r="D1" s="20"/>
      <c r="E1" s="20"/>
      <c r="F1" s="20"/>
      <c r="G1" s="20"/>
    </row>
    <row r="2" spans="1:10" ht="15.75" thickBot="1" x14ac:dyDescent="0.3">
      <c r="A2" t="s">
        <v>146</v>
      </c>
      <c r="B2" s="92">
        <v>981814740.74492908</v>
      </c>
      <c r="C2" t="s">
        <v>263</v>
      </c>
    </row>
    <row r="3" spans="1:10" ht="15.75" thickBot="1" x14ac:dyDescent="0.3">
      <c r="A3" t="s">
        <v>147</v>
      </c>
      <c r="B3" s="92">
        <v>981814740.74492908</v>
      </c>
      <c r="C3" t="s">
        <v>263</v>
      </c>
      <c r="J3" s="93"/>
    </row>
    <row r="4" spans="1:10" ht="15.75" thickBot="1" x14ac:dyDescent="0.3">
      <c r="A4" t="s">
        <v>148</v>
      </c>
      <c r="B4" s="92">
        <v>981814740.74492908</v>
      </c>
      <c r="C4" t="s">
        <v>263</v>
      </c>
    </row>
    <row r="5" spans="1:10" ht="15.75" thickBot="1" x14ac:dyDescent="0.3">
      <c r="A5" t="s">
        <v>284</v>
      </c>
      <c r="B5" s="108">
        <v>0.08</v>
      </c>
      <c r="C5" t="s">
        <v>263</v>
      </c>
    </row>
    <row r="6" spans="1:10" ht="15.75" thickBot="1" x14ac:dyDescent="0.3">
      <c r="A6" t="s">
        <v>338</v>
      </c>
      <c r="B6" s="84">
        <v>0.05</v>
      </c>
      <c r="C6" t="s">
        <v>263</v>
      </c>
    </row>
    <row r="7" spans="1:10" x14ac:dyDescent="0.25">
      <c r="A7" t="s">
        <v>110</v>
      </c>
      <c r="B7" s="5">
        <v>0.25</v>
      </c>
    </row>
    <row r="8" spans="1:10" x14ac:dyDescent="0.25">
      <c r="A8" t="s">
        <v>143</v>
      </c>
      <c r="B8" s="7">
        <v>5</v>
      </c>
    </row>
    <row r="9" spans="1:10" ht="15.75" thickBot="1" x14ac:dyDescent="0.3">
      <c r="A9" t="s">
        <v>239</v>
      </c>
      <c r="B9" s="7">
        <v>100</v>
      </c>
    </row>
    <row r="10" spans="1:10" ht="15.75" thickBot="1" x14ac:dyDescent="0.3">
      <c r="A10" t="s">
        <v>262</v>
      </c>
      <c r="B10" s="84">
        <v>0.02</v>
      </c>
      <c r="C10" t="s">
        <v>263</v>
      </c>
    </row>
    <row r="11" spans="1:10" ht="15.75" thickBot="1" x14ac:dyDescent="0.3">
      <c r="A11" t="s">
        <v>281</v>
      </c>
      <c r="B11" s="90">
        <v>3.3000000000000002E-2</v>
      </c>
      <c r="C11" t="s">
        <v>263</v>
      </c>
    </row>
    <row r="12" spans="1:10" ht="15.75" thickBot="1" x14ac:dyDescent="0.3">
      <c r="A12" t="s">
        <v>282</v>
      </c>
      <c r="B12" s="90">
        <v>3.3000000000000002E-2</v>
      </c>
    </row>
    <row r="13" spans="1:10" ht="15.75" thickBot="1" x14ac:dyDescent="0.3">
      <c r="A13" t="s">
        <v>283</v>
      </c>
      <c r="B13" s="91">
        <v>3.3000000000000002E-2</v>
      </c>
      <c r="C13" t="s">
        <v>379</v>
      </c>
    </row>
    <row r="14" spans="1:10" x14ac:dyDescent="0.25">
      <c r="A14" t="s">
        <v>339</v>
      </c>
      <c r="B14" s="106">
        <v>20</v>
      </c>
      <c r="C14" s="65"/>
    </row>
    <row r="15" spans="1:10" x14ac:dyDescent="0.25">
      <c r="A15" t="s">
        <v>357</v>
      </c>
      <c r="B15" s="86">
        <v>0.1</v>
      </c>
      <c r="C15" s="65"/>
    </row>
    <row r="16" spans="1:10" x14ac:dyDescent="0.25">
      <c r="A16" t="s">
        <v>358</v>
      </c>
      <c r="B16" s="86">
        <v>0.03</v>
      </c>
      <c r="C16" s="65"/>
    </row>
    <row r="17" spans="1:11" x14ac:dyDescent="0.25">
      <c r="A17" t="s">
        <v>429</v>
      </c>
      <c r="B17" s="151">
        <f>10^7</f>
        <v>10000000</v>
      </c>
      <c r="C17" s="65"/>
    </row>
    <row r="18" spans="1:11" x14ac:dyDescent="0.25">
      <c r="B18" s="86"/>
      <c r="C18" s="65"/>
    </row>
    <row r="19" spans="1:11" ht="18.75" x14ac:dyDescent="0.3">
      <c r="A19" s="20" t="s">
        <v>323</v>
      </c>
      <c r="B19" s="101"/>
      <c r="C19" s="65"/>
    </row>
    <row r="20" spans="1:11" x14ac:dyDescent="0.25">
      <c r="A20" t="s">
        <v>320</v>
      </c>
      <c r="B20" s="7">
        <v>3</v>
      </c>
      <c r="C20" s="65"/>
    </row>
    <row r="21" spans="1:11" x14ac:dyDescent="0.25">
      <c r="A21" t="s">
        <v>324</v>
      </c>
      <c r="B21" s="5">
        <v>0.05</v>
      </c>
    </row>
    <row r="22" spans="1:11" x14ac:dyDescent="0.25">
      <c r="A22" t="s">
        <v>326</v>
      </c>
      <c r="B22" s="18">
        <v>0.2</v>
      </c>
    </row>
    <row r="23" spans="1:11" ht="15.75" thickBot="1" x14ac:dyDescent="0.3">
      <c r="A23" t="s">
        <v>424</v>
      </c>
      <c r="B23" s="7">
        <v>5</v>
      </c>
    </row>
    <row r="24" spans="1:11" ht="15.75" thickBot="1" x14ac:dyDescent="0.3">
      <c r="A24" t="s">
        <v>437</v>
      </c>
      <c r="B24" s="156">
        <v>100</v>
      </c>
    </row>
    <row r="26" spans="1:11" ht="18.75" x14ac:dyDescent="0.3">
      <c r="A26" s="20" t="s">
        <v>87</v>
      </c>
      <c r="B26" s="21"/>
      <c r="C26" s="21"/>
      <c r="D26" s="21"/>
      <c r="E26" s="21"/>
      <c r="F26" s="21"/>
      <c r="G26" s="21"/>
      <c r="H26" s="21"/>
      <c r="I26" s="21"/>
      <c r="J26" s="21"/>
      <c r="K26" s="21"/>
    </row>
    <row r="27" spans="1:11" x14ac:dyDescent="0.25">
      <c r="A27" s="9" t="s">
        <v>76</v>
      </c>
      <c r="B27" s="9"/>
      <c r="F27" s="9" t="s">
        <v>78</v>
      </c>
      <c r="G27" s="9"/>
      <c r="J27" s="9" t="s">
        <v>162</v>
      </c>
      <c r="K27" s="3"/>
    </row>
    <row r="28" spans="1:11" x14ac:dyDescent="0.25">
      <c r="A28" t="s">
        <v>7</v>
      </c>
      <c r="B28">
        <v>40</v>
      </c>
      <c r="C28" t="s">
        <v>25</v>
      </c>
      <c r="F28" t="s">
        <v>7</v>
      </c>
      <c r="G28" s="7">
        <f>AVERAGE(3000,8400)*1000</f>
        <v>5700000</v>
      </c>
      <c r="H28" t="s">
        <v>25</v>
      </c>
      <c r="J28" t="s">
        <v>7</v>
      </c>
      <c r="K28">
        <v>1.075</v>
      </c>
    </row>
    <row r="29" spans="1:11" x14ac:dyDescent="0.25">
      <c r="A29" t="s">
        <v>8</v>
      </c>
      <c r="B29">
        <v>20</v>
      </c>
      <c r="C29" t="s">
        <v>25</v>
      </c>
      <c r="F29" t="s">
        <v>8</v>
      </c>
      <c r="G29" s="7">
        <f>AVERAGE(1000,1300)*1000</f>
        <v>1150000</v>
      </c>
      <c r="H29" t="s">
        <v>25</v>
      </c>
      <c r="J29" t="s">
        <v>8</v>
      </c>
      <c r="K29">
        <v>0.60499999999999998</v>
      </c>
    </row>
    <row r="30" spans="1:11" x14ac:dyDescent="0.25">
      <c r="A30" t="s">
        <v>13</v>
      </c>
      <c r="B30">
        <v>40</v>
      </c>
      <c r="C30" t="s">
        <v>25</v>
      </c>
      <c r="F30" t="s">
        <v>13</v>
      </c>
      <c r="G30" s="7">
        <f>AVERAGE(5400,8200)*1000</f>
        <v>6800000</v>
      </c>
      <c r="H30" t="s">
        <v>25</v>
      </c>
      <c r="J30" t="s">
        <v>13</v>
      </c>
      <c r="K30">
        <v>0</v>
      </c>
    </row>
    <row r="31" spans="1:11" x14ac:dyDescent="0.25">
      <c r="A31" t="s">
        <v>9</v>
      </c>
      <c r="B31">
        <v>30</v>
      </c>
      <c r="C31" t="s">
        <v>25</v>
      </c>
      <c r="F31" t="s">
        <v>9</v>
      </c>
      <c r="G31" s="7">
        <f>AVERAGE(1750,1500,1600,1400)*1000</f>
        <v>1562500</v>
      </c>
      <c r="H31" t="s">
        <v>25</v>
      </c>
      <c r="J31" t="s">
        <v>9</v>
      </c>
      <c r="K31">
        <v>0</v>
      </c>
    </row>
    <row r="32" spans="1:11" x14ac:dyDescent="0.25">
      <c r="A32" t="s">
        <v>10</v>
      </c>
      <c r="B32">
        <v>20</v>
      </c>
      <c r="C32" t="s">
        <v>25</v>
      </c>
      <c r="F32" t="s">
        <v>10</v>
      </c>
      <c r="G32" s="7">
        <f>AVERAGE(1250,1700)*1000</f>
        <v>1475000</v>
      </c>
      <c r="H32" t="s">
        <v>25</v>
      </c>
      <c r="J32" t="s">
        <v>10</v>
      </c>
      <c r="K32">
        <v>0</v>
      </c>
    </row>
    <row r="33" spans="1:11" x14ac:dyDescent="0.25">
      <c r="A33" t="s">
        <v>11</v>
      </c>
      <c r="B33">
        <v>60</v>
      </c>
      <c r="C33" t="s">
        <v>77</v>
      </c>
      <c r="F33" t="s">
        <v>11</v>
      </c>
      <c r="G33" s="7">
        <v>2936000</v>
      </c>
      <c r="H33" t="s">
        <v>347</v>
      </c>
      <c r="J33" t="s">
        <v>11</v>
      </c>
      <c r="K33">
        <v>0</v>
      </c>
    </row>
    <row r="34" spans="1:11" x14ac:dyDescent="0.25">
      <c r="A34" t="s">
        <v>12</v>
      </c>
      <c r="B34">
        <v>10</v>
      </c>
      <c r="C34" t="s">
        <v>77</v>
      </c>
      <c r="F34" t="s">
        <v>12</v>
      </c>
      <c r="G34" s="7">
        <f>0.054*1000*8760</f>
        <v>473040</v>
      </c>
      <c r="H34" t="s">
        <v>351</v>
      </c>
      <c r="J34" t="s">
        <v>12</v>
      </c>
      <c r="K34">
        <v>0</v>
      </c>
    </row>
    <row r="35" spans="1:11" x14ac:dyDescent="0.25">
      <c r="A35" t="s">
        <v>345</v>
      </c>
      <c r="B35" t="s">
        <v>349</v>
      </c>
      <c r="F35" t="s">
        <v>345</v>
      </c>
      <c r="G35" s="7">
        <f>900*1000</f>
        <v>900000</v>
      </c>
      <c r="H35" t="s">
        <v>25</v>
      </c>
    </row>
    <row r="36" spans="1:11" x14ac:dyDescent="0.25">
      <c r="A36" t="s">
        <v>346</v>
      </c>
      <c r="B36" t="s">
        <v>349</v>
      </c>
      <c r="F36" t="s">
        <v>346</v>
      </c>
      <c r="G36" s="7">
        <f>AVERAGE(513,1263)*1000*100/25</f>
        <v>3552000</v>
      </c>
      <c r="H36" t="s">
        <v>25</v>
      </c>
    </row>
    <row r="37" spans="1:11" x14ac:dyDescent="0.25">
      <c r="A37" t="s">
        <v>182</v>
      </c>
      <c r="B37" t="s">
        <v>349</v>
      </c>
      <c r="F37" t="s">
        <v>182</v>
      </c>
      <c r="G37" s="7">
        <v>5288000</v>
      </c>
      <c r="H37" t="s">
        <v>347</v>
      </c>
    </row>
    <row r="38" spans="1:11" x14ac:dyDescent="0.25">
      <c r="A38" t="s">
        <v>329</v>
      </c>
      <c r="B38">
        <v>10</v>
      </c>
      <c r="C38" t="s">
        <v>350</v>
      </c>
      <c r="F38" t="s">
        <v>329</v>
      </c>
      <c r="G38" s="7">
        <f>2.74*1000*B38</f>
        <v>27400</v>
      </c>
      <c r="H38" t="s">
        <v>25</v>
      </c>
    </row>
    <row r="40" spans="1:11" x14ac:dyDescent="0.25">
      <c r="A40" s="9" t="s">
        <v>79</v>
      </c>
      <c r="B40" s="9"/>
      <c r="F40" s="9" t="s">
        <v>86</v>
      </c>
      <c r="G40" s="3"/>
      <c r="J40" s="9" t="s">
        <v>291</v>
      </c>
      <c r="K40" s="3"/>
    </row>
    <row r="41" spans="1:11" x14ac:dyDescent="0.25">
      <c r="A41" t="s">
        <v>7</v>
      </c>
      <c r="B41" s="19">
        <v>31188</v>
      </c>
      <c r="C41" t="s">
        <v>25</v>
      </c>
      <c r="F41" t="s">
        <v>7</v>
      </c>
      <c r="G41" s="15">
        <v>4.47</v>
      </c>
      <c r="H41" t="s">
        <v>25</v>
      </c>
      <c r="J41" t="s">
        <v>7</v>
      </c>
      <c r="K41" s="16">
        <v>500</v>
      </c>
    </row>
    <row r="42" spans="1:11" x14ac:dyDescent="0.25">
      <c r="A42" t="s">
        <v>8</v>
      </c>
      <c r="B42" s="19">
        <v>11429</v>
      </c>
      <c r="C42" t="s">
        <v>25</v>
      </c>
      <c r="F42" t="s">
        <v>8</v>
      </c>
      <c r="G42" s="15">
        <v>6.63</v>
      </c>
      <c r="H42" t="s">
        <v>25</v>
      </c>
      <c r="J42" t="s">
        <v>8</v>
      </c>
      <c r="K42" s="16">
        <v>1200</v>
      </c>
    </row>
    <row r="43" spans="1:11" ht="15.75" thickBot="1" x14ac:dyDescent="0.3">
      <c r="A43" t="s">
        <v>13</v>
      </c>
      <c r="B43" s="19">
        <v>93280</v>
      </c>
      <c r="C43" t="s">
        <v>25</v>
      </c>
      <c r="F43" t="s">
        <v>13</v>
      </c>
      <c r="G43" s="15">
        <v>2.14</v>
      </c>
      <c r="H43" t="s">
        <v>25</v>
      </c>
      <c r="J43" t="s">
        <v>13</v>
      </c>
      <c r="K43" s="16">
        <v>500</v>
      </c>
    </row>
    <row r="44" spans="1:11" ht="15.75" thickBot="1" x14ac:dyDescent="0.3">
      <c r="A44" t="s">
        <v>9</v>
      </c>
      <c r="B44" s="19">
        <v>24690</v>
      </c>
      <c r="C44" t="s">
        <v>25</v>
      </c>
      <c r="F44" t="s">
        <v>9</v>
      </c>
      <c r="G44" s="63">
        <v>0.01</v>
      </c>
      <c r="H44" s="4" t="s">
        <v>164</v>
      </c>
      <c r="J44" t="s">
        <v>9</v>
      </c>
      <c r="K44" s="16">
        <v>30</v>
      </c>
    </row>
    <row r="45" spans="1:11" ht="15.75" thickBot="1" x14ac:dyDescent="0.3">
      <c r="A45" t="s">
        <v>10</v>
      </c>
      <c r="B45" s="19">
        <v>39550</v>
      </c>
      <c r="C45" t="s">
        <v>25</v>
      </c>
      <c r="F45" t="s">
        <v>10</v>
      </c>
      <c r="G45" s="63">
        <v>0.02</v>
      </c>
      <c r="H45" s="4" t="s">
        <v>164</v>
      </c>
      <c r="J45" t="s">
        <v>10</v>
      </c>
      <c r="K45" s="16">
        <v>30</v>
      </c>
    </row>
    <row r="46" spans="1:11" x14ac:dyDescent="0.25">
      <c r="A46" t="s">
        <v>11</v>
      </c>
      <c r="B46" s="19">
        <v>14130</v>
      </c>
      <c r="C46" t="s">
        <v>347</v>
      </c>
      <c r="F46" t="s">
        <v>11</v>
      </c>
      <c r="G46" s="15">
        <v>7</v>
      </c>
      <c r="H46" t="s">
        <v>24</v>
      </c>
      <c r="J46" t="s">
        <v>11</v>
      </c>
      <c r="K46" s="16">
        <v>30</v>
      </c>
    </row>
    <row r="47" spans="1:11" x14ac:dyDescent="0.25">
      <c r="A47" t="s">
        <v>12</v>
      </c>
      <c r="B47" s="19">
        <v>0</v>
      </c>
      <c r="C47" t="s">
        <v>25</v>
      </c>
      <c r="F47" t="s">
        <v>12</v>
      </c>
      <c r="G47" s="15">
        <v>0</v>
      </c>
      <c r="H47" s="4"/>
      <c r="J47" t="s">
        <v>289</v>
      </c>
      <c r="K47" s="16">
        <v>10</v>
      </c>
    </row>
    <row r="48" spans="1:11" x14ac:dyDescent="0.25">
      <c r="A48" t="s">
        <v>345</v>
      </c>
      <c r="B48" s="7">
        <f>AVERAGE(5,25)*1000</f>
        <v>15000</v>
      </c>
      <c r="J48" t="s">
        <v>290</v>
      </c>
      <c r="K48" s="16">
        <v>10</v>
      </c>
    </row>
    <row r="49" spans="1:11" x14ac:dyDescent="0.25">
      <c r="A49" t="s">
        <v>346</v>
      </c>
      <c r="B49" s="7">
        <v>0</v>
      </c>
      <c r="C49" t="s">
        <v>25</v>
      </c>
      <c r="J49" t="s">
        <v>428</v>
      </c>
      <c r="K49" s="16">
        <v>10</v>
      </c>
    </row>
    <row r="50" spans="1:11" x14ac:dyDescent="0.25">
      <c r="A50" t="s">
        <v>182</v>
      </c>
      <c r="B50" s="7">
        <v>18000</v>
      </c>
      <c r="C50" t="s">
        <v>347</v>
      </c>
      <c r="K50" s="16"/>
    </row>
    <row r="51" spans="1:11" x14ac:dyDescent="0.25">
      <c r="A51" t="s">
        <v>329</v>
      </c>
      <c r="B51" s="7">
        <f>22.18*1000</f>
        <v>22180</v>
      </c>
      <c r="C51" t="s">
        <v>348</v>
      </c>
      <c r="K51" s="16"/>
    </row>
    <row r="52" spans="1:11" x14ac:dyDescent="0.25">
      <c r="K52" s="16"/>
    </row>
    <row r="53" spans="1:11" x14ac:dyDescent="0.25">
      <c r="A53" s="9" t="s">
        <v>91</v>
      </c>
      <c r="B53" s="9"/>
      <c r="F53" s="9" t="s">
        <v>125</v>
      </c>
      <c r="G53" s="3"/>
      <c r="H53" s="3"/>
    </row>
    <row r="54" spans="1:11" x14ac:dyDescent="0.25">
      <c r="A54" t="s">
        <v>7</v>
      </c>
      <c r="B54">
        <v>10.375</v>
      </c>
      <c r="C54" t="s">
        <v>25</v>
      </c>
      <c r="G54" t="s">
        <v>126</v>
      </c>
      <c r="H54" t="s">
        <v>127</v>
      </c>
    </row>
    <row r="55" spans="1:11" x14ac:dyDescent="0.25">
      <c r="A55" t="s">
        <v>8</v>
      </c>
      <c r="B55">
        <v>6.8</v>
      </c>
      <c r="C55" t="s">
        <v>25</v>
      </c>
      <c r="F55" t="s">
        <v>7</v>
      </c>
      <c r="G55">
        <v>0.6</v>
      </c>
      <c r="H55">
        <v>0.75</v>
      </c>
    </row>
    <row r="56" spans="1:11" x14ac:dyDescent="0.25">
      <c r="A56" t="s">
        <v>13</v>
      </c>
      <c r="B56">
        <v>10.45</v>
      </c>
      <c r="C56" t="s">
        <v>25</v>
      </c>
      <c r="F56" t="s">
        <v>8</v>
      </c>
      <c r="G56">
        <v>0.4</v>
      </c>
      <c r="H56">
        <v>0.85</v>
      </c>
    </row>
    <row r="57" spans="1:11" x14ac:dyDescent="0.25">
      <c r="A57" t="s">
        <v>9</v>
      </c>
      <c r="B57">
        <v>0</v>
      </c>
      <c r="C57" t="s">
        <v>25</v>
      </c>
      <c r="F57" t="s">
        <v>13</v>
      </c>
      <c r="G57">
        <v>0.9</v>
      </c>
      <c r="H57">
        <v>0.9</v>
      </c>
    </row>
    <row r="58" spans="1:11" x14ac:dyDescent="0.25">
      <c r="A58" t="s">
        <v>10</v>
      </c>
      <c r="B58">
        <v>0</v>
      </c>
      <c r="C58" t="s">
        <v>25</v>
      </c>
      <c r="F58" t="s">
        <v>9</v>
      </c>
      <c r="G58">
        <v>0.25</v>
      </c>
      <c r="H58">
        <v>0.25</v>
      </c>
    </row>
    <row r="59" spans="1:11" x14ac:dyDescent="0.25">
      <c r="A59" t="s">
        <v>11</v>
      </c>
      <c r="B59">
        <v>0</v>
      </c>
      <c r="C59" t="s">
        <v>25</v>
      </c>
      <c r="F59" t="s">
        <v>10</v>
      </c>
      <c r="G59">
        <v>0.3</v>
      </c>
      <c r="H59">
        <v>0.3</v>
      </c>
    </row>
    <row r="60" spans="1:11" x14ac:dyDescent="0.25">
      <c r="A60" t="s">
        <v>12</v>
      </c>
      <c r="B60">
        <v>0</v>
      </c>
      <c r="C60" t="s">
        <v>25</v>
      </c>
      <c r="F60" t="s">
        <v>11</v>
      </c>
      <c r="G60">
        <v>0.6</v>
      </c>
      <c r="H60">
        <v>0.6</v>
      </c>
    </row>
    <row r="61" spans="1:11" x14ac:dyDescent="0.25">
      <c r="F61" t="s">
        <v>289</v>
      </c>
      <c r="G61">
        <v>1</v>
      </c>
      <c r="H61">
        <v>1</v>
      </c>
    </row>
    <row r="62" spans="1:11" x14ac:dyDescent="0.25">
      <c r="F62" t="s">
        <v>290</v>
      </c>
      <c r="G62">
        <v>1</v>
      </c>
      <c r="H62">
        <v>1</v>
      </c>
    </row>
    <row r="63" spans="1:11" x14ac:dyDescent="0.25">
      <c r="F63" t="s">
        <v>428</v>
      </c>
      <c r="G63">
        <v>0.25</v>
      </c>
      <c r="H63">
        <v>0.25</v>
      </c>
    </row>
    <row r="66" spans="1:13" ht="18.75" x14ac:dyDescent="0.3">
      <c r="A66" s="20" t="s">
        <v>89</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118</v>
      </c>
      <c r="B72" s="21"/>
      <c r="C72" s="21"/>
    </row>
    <row r="73" spans="1:13" ht="15.75" thickBot="1" x14ac:dyDescent="0.3">
      <c r="A73" s="42" t="s">
        <v>119</v>
      </c>
      <c r="B73" s="48">
        <v>0.02</v>
      </c>
      <c r="C73" t="s">
        <v>131</v>
      </c>
    </row>
    <row r="74" spans="1:13" x14ac:dyDescent="0.25">
      <c r="A74" s="43" t="s">
        <v>121</v>
      </c>
      <c r="B74" s="18">
        <v>0.15</v>
      </c>
      <c r="C74" t="s">
        <v>122</v>
      </c>
    </row>
    <row r="75" spans="1:13" ht="15.75" thickBot="1" x14ac:dyDescent="0.3">
      <c r="A75" s="43" t="s">
        <v>120</v>
      </c>
      <c r="B75" s="44">
        <v>0.5</v>
      </c>
    </row>
    <row r="76" spans="1:13" ht="15.75" thickBot="1" x14ac:dyDescent="0.3">
      <c r="A76" t="s">
        <v>257</v>
      </c>
      <c r="B76" s="48">
        <v>0.05</v>
      </c>
      <c r="C76" t="s">
        <v>258</v>
      </c>
    </row>
    <row r="77" spans="1:13" ht="15.75" thickBot="1" x14ac:dyDescent="0.3">
      <c r="A77" t="s">
        <v>265</v>
      </c>
      <c r="B77" s="86">
        <v>5.8000000000000003E-2</v>
      </c>
      <c r="C77" s="65" t="s">
        <v>264</v>
      </c>
    </row>
    <row r="78" spans="1:13" ht="15.75" thickBot="1" x14ac:dyDescent="0.3">
      <c r="A78" t="s">
        <v>416</v>
      </c>
      <c r="B78" s="146">
        <v>0.03</v>
      </c>
      <c r="C78" t="s">
        <v>263</v>
      </c>
    </row>
    <row r="80" spans="1:13" ht="18.75" x14ac:dyDescent="0.3">
      <c r="A80" s="20" t="s">
        <v>107</v>
      </c>
      <c r="B80" s="20"/>
      <c r="C80" s="20"/>
      <c r="D80" s="20"/>
      <c r="E80" s="20"/>
      <c r="F80" s="20"/>
      <c r="G80" s="20"/>
      <c r="H80" s="20"/>
      <c r="I80" s="20"/>
      <c r="J80" s="20"/>
      <c r="K80" s="20"/>
      <c r="L80" s="21"/>
    </row>
    <row r="81" spans="1:12" x14ac:dyDescent="0.25">
      <c r="A81" s="9" t="s">
        <v>266</v>
      </c>
      <c r="B81" s="9">
        <v>0</v>
      </c>
      <c r="C81" s="9">
        <v>1</v>
      </c>
      <c r="D81" s="9">
        <v>2</v>
      </c>
      <c r="E81" s="9">
        <v>3</v>
      </c>
      <c r="F81" s="9">
        <v>4</v>
      </c>
      <c r="G81" s="9">
        <v>5</v>
      </c>
      <c r="H81" s="9">
        <v>6</v>
      </c>
      <c r="I81" s="9">
        <v>7</v>
      </c>
      <c r="J81" s="9">
        <v>8</v>
      </c>
      <c r="K81" s="9">
        <v>9</v>
      </c>
      <c r="L81" s="9">
        <v>10</v>
      </c>
    </row>
    <row r="82" spans="1:12" x14ac:dyDescent="0.25">
      <c r="A82" t="s">
        <v>267</v>
      </c>
      <c r="B82" s="16">
        <f>8000000</f>
        <v>8000000</v>
      </c>
      <c r="C82" s="16">
        <f t="shared" ref="C82:L82" si="0">8000000</f>
        <v>8000000</v>
      </c>
      <c r="D82" s="16">
        <f t="shared" si="0"/>
        <v>8000000</v>
      </c>
      <c r="E82" s="16">
        <f t="shared" si="0"/>
        <v>8000000</v>
      </c>
      <c r="F82" s="16">
        <f t="shared" si="0"/>
        <v>8000000</v>
      </c>
      <c r="G82" s="16">
        <f t="shared" si="0"/>
        <v>8000000</v>
      </c>
      <c r="H82" s="16">
        <f t="shared" si="0"/>
        <v>8000000</v>
      </c>
      <c r="I82" s="16">
        <f t="shared" si="0"/>
        <v>8000000</v>
      </c>
      <c r="J82" s="16">
        <f t="shared" si="0"/>
        <v>8000000</v>
      </c>
      <c r="K82" s="16">
        <f t="shared" si="0"/>
        <v>8000000</v>
      </c>
      <c r="L82" s="16">
        <f t="shared" si="0"/>
        <v>8000000</v>
      </c>
    </row>
    <row r="83" spans="1:12" x14ac:dyDescent="0.25">
      <c r="A83" s="16"/>
      <c r="B83" s="16"/>
      <c r="C83" s="16"/>
      <c r="D83" s="16"/>
      <c r="E83" s="16"/>
      <c r="F83" s="16"/>
      <c r="G83" s="16"/>
      <c r="H83" s="16"/>
      <c r="I83" s="16"/>
      <c r="J83" s="16"/>
      <c r="K83" s="16"/>
    </row>
    <row r="84" spans="1:12" x14ac:dyDescent="0.25">
      <c r="A84" s="87" t="s">
        <v>271</v>
      </c>
      <c r="B84" s="87">
        <v>2010</v>
      </c>
      <c r="C84" s="87">
        <v>2011</v>
      </c>
      <c r="D84" s="87">
        <v>2012</v>
      </c>
      <c r="E84" s="87">
        <v>2013</v>
      </c>
      <c r="F84" s="87">
        <v>2014</v>
      </c>
      <c r="G84" s="16"/>
      <c r="H84" s="16"/>
      <c r="I84" s="16"/>
      <c r="J84" s="16"/>
      <c r="K84" s="16"/>
    </row>
    <row r="85" spans="1:12" x14ac:dyDescent="0.25">
      <c r="A85" s="16" t="s">
        <v>268</v>
      </c>
      <c r="B85" s="16">
        <v>1445708</v>
      </c>
      <c r="C85" s="16">
        <v>1422801</v>
      </c>
      <c r="D85" s="16">
        <v>1374515</v>
      </c>
      <c r="E85" s="16">
        <v>1394812</v>
      </c>
      <c r="F85" s="16">
        <v>1407208</v>
      </c>
      <c r="G85" s="16"/>
      <c r="H85" s="16"/>
      <c r="I85" s="16"/>
      <c r="J85" s="16"/>
      <c r="K85" s="16"/>
    </row>
    <row r="86" spans="1:12" x14ac:dyDescent="0.25">
      <c r="A86" s="16" t="s">
        <v>269</v>
      </c>
      <c r="B86" s="16">
        <v>1330199</v>
      </c>
      <c r="C86" s="16">
        <v>1328057</v>
      </c>
      <c r="D86" s="16">
        <v>1327101</v>
      </c>
      <c r="E86" s="16">
        <v>1337079</v>
      </c>
      <c r="F86" s="16">
        <v>1352158</v>
      </c>
      <c r="G86" s="16"/>
      <c r="H86" s="16"/>
      <c r="I86" s="16"/>
      <c r="J86" s="16"/>
      <c r="K86" s="16"/>
    </row>
    <row r="87" spans="1:12" x14ac:dyDescent="0.25">
      <c r="A87" s="16" t="s">
        <v>270</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7" t="s">
        <v>272</v>
      </c>
      <c r="B89" s="87">
        <v>2010</v>
      </c>
      <c r="C89" s="87">
        <v>2011</v>
      </c>
      <c r="D89" s="87">
        <v>2012</v>
      </c>
      <c r="E89" s="87">
        <v>2013</v>
      </c>
      <c r="F89" s="87">
        <v>2014</v>
      </c>
      <c r="G89" s="87" t="s">
        <v>126</v>
      </c>
      <c r="H89" s="16"/>
      <c r="I89" s="16"/>
      <c r="J89" s="16"/>
      <c r="K89" s="16"/>
    </row>
    <row r="90" spans="1:12" x14ac:dyDescent="0.25">
      <c r="A90" s="16" t="s">
        <v>268</v>
      </c>
      <c r="B90" s="5">
        <f>B85/SUM(B$85:B$87)</f>
        <v>0.38581761818651511</v>
      </c>
      <c r="C90" s="5">
        <f t="shared" ref="C90:F90" si="1">C85/SUM(C$85:C$87)</f>
        <v>0.38020706680127647</v>
      </c>
      <c r="D90" s="5">
        <f t="shared" si="1"/>
        <v>0.37276701569970683</v>
      </c>
      <c r="E90" s="5">
        <f t="shared" si="1"/>
        <v>0.37522755439986033</v>
      </c>
      <c r="F90" s="5">
        <f t="shared" si="1"/>
        <v>0.37456207734907804</v>
      </c>
      <c r="G90" s="5">
        <f>AVERAGE(B90:F90)</f>
        <v>0.3777162664872874</v>
      </c>
      <c r="H90" s="16"/>
      <c r="I90" s="16"/>
      <c r="J90" s="16"/>
      <c r="K90" s="16"/>
    </row>
    <row r="91" spans="1:12" x14ac:dyDescent="0.25">
      <c r="A91" s="16" t="s">
        <v>269</v>
      </c>
      <c r="B91" s="5">
        <f t="shared" ref="B91:F92" si="2">B86/SUM(B$85:B$87)</f>
        <v>0.35499160957405246</v>
      </c>
      <c r="C91" s="5">
        <f t="shared" si="2"/>
        <v>0.35488916335798387</v>
      </c>
      <c r="D91" s="5">
        <f t="shared" si="2"/>
        <v>0.35990838899691646</v>
      </c>
      <c r="E91" s="5">
        <f t="shared" si="2"/>
        <v>0.35969642016946429</v>
      </c>
      <c r="F91" s="5">
        <f t="shared" si="2"/>
        <v>0.3599092027505349</v>
      </c>
      <c r="G91" s="5">
        <f t="shared" ref="G91:G93" si="3">AVERAGE(B91:F91)</f>
        <v>0.35787895696979038</v>
      </c>
      <c r="H91" s="16"/>
      <c r="I91" s="16"/>
      <c r="J91" s="16"/>
      <c r="K91" s="16"/>
    </row>
    <row r="92" spans="1:12" x14ac:dyDescent="0.25">
      <c r="A92" s="16" t="s">
        <v>270</v>
      </c>
      <c r="B92" s="5">
        <f t="shared" si="2"/>
        <v>0.25919077223943243</v>
      </c>
      <c r="C92" s="5">
        <f t="shared" si="2"/>
        <v>0.26490376984073966</v>
      </c>
      <c r="D92" s="5">
        <f t="shared" si="2"/>
        <v>0.26732459530337671</v>
      </c>
      <c r="E92" s="5">
        <f t="shared" si="2"/>
        <v>0.26507602543067538</v>
      </c>
      <c r="F92" s="5">
        <f t="shared" si="2"/>
        <v>0.26552871990038707</v>
      </c>
      <c r="G92" s="5">
        <f t="shared" si="3"/>
        <v>0.26440477654292227</v>
      </c>
      <c r="H92" s="16"/>
      <c r="I92" s="16"/>
      <c r="J92" s="16"/>
      <c r="K92" s="16"/>
    </row>
    <row r="93" spans="1:12" x14ac:dyDescent="0.25">
      <c r="A93" s="16" t="s">
        <v>279</v>
      </c>
      <c r="B93" s="5">
        <f>SUM(B85:B86)/SUM(B85:B87)</f>
        <v>0.74080922776056757</v>
      </c>
      <c r="C93" s="5">
        <f t="shared" ref="C93:F93" si="4">SUM(C85:C86)/SUM(C85:C87)</f>
        <v>0.7350962301592604</v>
      </c>
      <c r="D93" s="5">
        <f t="shared" si="4"/>
        <v>0.73267540469662329</v>
      </c>
      <c r="E93" s="5">
        <f t="shared" si="4"/>
        <v>0.73492397456932468</v>
      </c>
      <c r="F93" s="5">
        <f t="shared" si="4"/>
        <v>0.73447128009961293</v>
      </c>
      <c r="G93" s="5">
        <f t="shared" si="3"/>
        <v>0.73559522345707773</v>
      </c>
    </row>
    <row r="95" spans="1:12" ht="18.75" x14ac:dyDescent="0.3">
      <c r="A95" s="20" t="s">
        <v>169</v>
      </c>
      <c r="B95" s="20"/>
      <c r="C95" s="20"/>
      <c r="D95" s="20"/>
      <c r="E95" s="20"/>
      <c r="F95" s="20"/>
      <c r="G95" s="20"/>
      <c r="H95" s="20"/>
      <c r="I95" s="20"/>
      <c r="J95" s="20"/>
      <c r="K95" s="20"/>
    </row>
    <row r="96" spans="1:12" x14ac:dyDescent="0.25">
      <c r="A96" s="9" t="s">
        <v>170</v>
      </c>
      <c r="B96" s="9"/>
      <c r="C96" s="3"/>
    </row>
    <row r="97" spans="1:3" x14ac:dyDescent="0.25">
      <c r="A97" t="s">
        <v>171</v>
      </c>
      <c r="B97">
        <v>7.7837837837837833</v>
      </c>
      <c r="C97" s="65" t="s">
        <v>177</v>
      </c>
    </row>
    <row r="98" spans="1:3" x14ac:dyDescent="0.25">
      <c r="A98" t="s">
        <v>172</v>
      </c>
      <c r="B98">
        <v>7.7837837837837833</v>
      </c>
      <c r="C98" s="65" t="s">
        <v>177</v>
      </c>
    </row>
    <row r="99" spans="1:3" x14ac:dyDescent="0.25">
      <c r="A99" t="s">
        <v>173</v>
      </c>
      <c r="B99">
        <v>4.7058823529411766</v>
      </c>
      <c r="C99" s="65" t="s">
        <v>177</v>
      </c>
    </row>
    <row r="100" spans="1:3" x14ac:dyDescent="0.25">
      <c r="A100" t="s">
        <v>174</v>
      </c>
      <c r="B100">
        <v>3.2505643340857793</v>
      </c>
      <c r="C100" s="65" t="s">
        <v>177</v>
      </c>
    </row>
    <row r="101" spans="1:3" x14ac:dyDescent="0.25">
      <c r="A101" t="s">
        <v>175</v>
      </c>
      <c r="B101">
        <v>3.9782233435134779</v>
      </c>
      <c r="C101" s="65" t="s">
        <v>177</v>
      </c>
    </row>
    <row r="102" spans="1:3" x14ac:dyDescent="0.25">
      <c r="A102" t="s">
        <v>176</v>
      </c>
      <c r="B102">
        <v>1.6666666666666665</v>
      </c>
      <c r="C102" s="65" t="s">
        <v>177</v>
      </c>
    </row>
    <row r="104" spans="1:3" x14ac:dyDescent="0.25">
      <c r="A104" s="9" t="s">
        <v>178</v>
      </c>
      <c r="B104" s="9"/>
    </row>
    <row r="105" spans="1:3" x14ac:dyDescent="0.25">
      <c r="A105" t="s">
        <v>179</v>
      </c>
      <c r="B105">
        <v>0.186</v>
      </c>
      <c r="C105" t="s">
        <v>180</v>
      </c>
    </row>
    <row r="107" spans="1:3" x14ac:dyDescent="0.25">
      <c r="A107" s="9" t="s">
        <v>187</v>
      </c>
      <c r="B107" s="9"/>
    </row>
    <row r="108" spans="1:3" x14ac:dyDescent="0.25">
      <c r="A108" t="s">
        <v>188</v>
      </c>
      <c r="B108">
        <v>5000</v>
      </c>
      <c r="C108" t="s">
        <v>189</v>
      </c>
    </row>
    <row r="110" spans="1:3" x14ac:dyDescent="0.25">
      <c r="A110" s="9" t="s">
        <v>205</v>
      </c>
      <c r="B110" s="3"/>
    </row>
    <row r="111" spans="1:3" x14ac:dyDescent="0.25">
      <c r="A111" t="s">
        <v>206</v>
      </c>
      <c r="B111" s="7">
        <f>AVERAGE(959700,1536400/2,1343800,2150300/2,1919450,3071750/2)</f>
        <v>1267029.1666666667</v>
      </c>
      <c r="C111" t="s">
        <v>210</v>
      </c>
    </row>
    <row r="113" spans="1:3" x14ac:dyDescent="0.25">
      <c r="A113" s="9" t="s">
        <v>207</v>
      </c>
      <c r="B113" s="3"/>
    </row>
    <row r="114" spans="1:3" x14ac:dyDescent="0.25">
      <c r="A114" t="s">
        <v>208</v>
      </c>
      <c r="B114">
        <v>40</v>
      </c>
      <c r="C114" t="s">
        <v>209</v>
      </c>
    </row>
    <row r="116" spans="1:3" x14ac:dyDescent="0.25">
      <c r="A116" s="9" t="s">
        <v>249</v>
      </c>
      <c r="B116" s="3"/>
    </row>
    <row r="117" spans="1:3" x14ac:dyDescent="0.25">
      <c r="A117" t="s">
        <v>244</v>
      </c>
      <c r="B117" s="7">
        <f>(1282+24640+15517+30990)*10^3/12156</f>
        <v>5958.2922013820335</v>
      </c>
      <c r="C117" s="65" t="s">
        <v>247</v>
      </c>
    </row>
    <row r="119" spans="1:3" x14ac:dyDescent="0.25">
      <c r="A119" s="9" t="s">
        <v>250</v>
      </c>
      <c r="B119" s="3"/>
    </row>
    <row r="120" spans="1:3" x14ac:dyDescent="0.25">
      <c r="A120" t="s">
        <v>402</v>
      </c>
      <c r="B120" s="7">
        <v>424</v>
      </c>
      <c r="C120" s="65" t="s">
        <v>401</v>
      </c>
    </row>
    <row r="121" spans="1:3" x14ac:dyDescent="0.25">
      <c r="A121" t="s">
        <v>403</v>
      </c>
      <c r="B121" s="7">
        <v>7671</v>
      </c>
      <c r="C121" s="65" t="s">
        <v>404</v>
      </c>
    </row>
    <row r="123" spans="1:3" x14ac:dyDescent="0.25">
      <c r="A123" s="9" t="s">
        <v>252</v>
      </c>
      <c r="B123" s="9"/>
    </row>
    <row r="124" spans="1:3" x14ac:dyDescent="0.25">
      <c r="A124" t="s">
        <v>253</v>
      </c>
      <c r="B124">
        <v>1000</v>
      </c>
    </row>
    <row r="126" spans="1:3" x14ac:dyDescent="0.25">
      <c r="A126" s="9" t="s">
        <v>277</v>
      </c>
      <c r="B126" s="9"/>
    </row>
    <row r="127" spans="1:3" x14ac:dyDescent="0.25">
      <c r="A127" t="s">
        <v>278</v>
      </c>
      <c r="B127">
        <v>1.1000000000000001</v>
      </c>
    </row>
    <row r="129" spans="1:12" ht="15.75" thickBot="1" x14ac:dyDescent="0.3">
      <c r="A129" s="9" t="s">
        <v>334</v>
      </c>
      <c r="B129" s="9"/>
    </row>
    <row r="130" spans="1:12" ht="15.75" thickBot="1" x14ac:dyDescent="0.3">
      <c r="B130" s="105">
        <v>1.1000000000000001</v>
      </c>
      <c r="C130" t="s">
        <v>263</v>
      </c>
    </row>
    <row r="132" spans="1:12" x14ac:dyDescent="0.25">
      <c r="A132" s="9" t="s">
        <v>380</v>
      </c>
      <c r="B132" s="9"/>
    </row>
    <row r="133" spans="1:12" x14ac:dyDescent="0.25">
      <c r="B133">
        <v>287</v>
      </c>
      <c r="C133" t="s">
        <v>415</v>
      </c>
    </row>
    <row r="134" spans="1:12" x14ac:dyDescent="0.25">
      <c r="A134" s="9" t="s">
        <v>405</v>
      </c>
      <c r="B134" s="3"/>
    </row>
    <row r="135" spans="1:12" x14ac:dyDescent="0.25">
      <c r="A135" t="s">
        <v>397</v>
      </c>
      <c r="B135" s="7">
        <v>94919</v>
      </c>
      <c r="C135" s="65" t="s">
        <v>406</v>
      </c>
    </row>
    <row r="136" spans="1:12" x14ac:dyDescent="0.25">
      <c r="A136" t="s">
        <v>398</v>
      </c>
      <c r="B136" s="7">
        <v>589524</v>
      </c>
      <c r="C136" s="65" t="s">
        <v>407</v>
      </c>
    </row>
    <row r="138" spans="1:12" x14ac:dyDescent="0.25">
      <c r="A138" s="9" t="s">
        <v>408</v>
      </c>
      <c r="B138" s="9"/>
    </row>
    <row r="139" spans="1:12" x14ac:dyDescent="0.25">
      <c r="A139" t="s">
        <v>409</v>
      </c>
      <c r="B139" s="7">
        <v>43063</v>
      </c>
      <c r="C139" s="65" t="s">
        <v>399</v>
      </c>
    </row>
    <row r="140" spans="1:12" x14ac:dyDescent="0.25">
      <c r="A140" t="s">
        <v>398</v>
      </c>
      <c r="B140" s="7">
        <v>237644</v>
      </c>
      <c r="C140" s="65" t="s">
        <v>400</v>
      </c>
    </row>
    <row r="142" spans="1:12" ht="18.75" x14ac:dyDescent="0.3">
      <c r="A142" s="198" t="s">
        <v>436</v>
      </c>
      <c r="B142" s="198"/>
      <c r="C142" s="198"/>
      <c r="D142" s="198"/>
      <c r="E142" s="198"/>
      <c r="F142" s="198"/>
      <c r="G142" s="198"/>
      <c r="H142" s="198"/>
      <c r="I142" s="198"/>
      <c r="J142" s="198"/>
      <c r="K142" s="198"/>
      <c r="L142" s="198"/>
    </row>
    <row r="143" spans="1:12" x14ac:dyDescent="0.25">
      <c r="A143" s="9" t="s">
        <v>443</v>
      </c>
      <c r="B143" s="9">
        <v>0</v>
      </c>
      <c r="C143" s="9">
        <v>1</v>
      </c>
      <c r="D143" s="9">
        <v>2</v>
      </c>
      <c r="E143" s="9">
        <v>3</v>
      </c>
      <c r="F143" s="9">
        <v>4</v>
      </c>
      <c r="G143" s="9">
        <v>5</v>
      </c>
      <c r="H143" s="9">
        <v>6</v>
      </c>
      <c r="I143" s="9">
        <v>7</v>
      </c>
      <c r="J143" s="9">
        <v>8</v>
      </c>
      <c r="K143" s="9">
        <v>9</v>
      </c>
      <c r="L143" s="9">
        <v>10</v>
      </c>
    </row>
    <row r="144" spans="1:12" x14ac:dyDescent="0.25">
      <c r="A144" t="s">
        <v>7</v>
      </c>
      <c r="B144" s="88">
        <v>0</v>
      </c>
      <c r="C144" s="88">
        <v>0</v>
      </c>
      <c r="D144" s="88">
        <v>0</v>
      </c>
      <c r="E144" s="88">
        <v>0</v>
      </c>
      <c r="F144" s="88">
        <v>0</v>
      </c>
      <c r="G144" s="88">
        <v>0</v>
      </c>
      <c r="H144" s="88">
        <v>0</v>
      </c>
      <c r="I144" s="88">
        <v>0</v>
      </c>
      <c r="J144" s="88">
        <v>0</v>
      </c>
      <c r="K144" s="88">
        <v>0</v>
      </c>
      <c r="L144" s="88">
        <v>0</v>
      </c>
    </row>
    <row r="145" spans="1:12" x14ac:dyDescent="0.25">
      <c r="A145" t="s">
        <v>8</v>
      </c>
      <c r="B145" s="88">
        <v>0</v>
      </c>
      <c r="C145" s="88">
        <v>200</v>
      </c>
      <c r="D145" s="88">
        <v>0</v>
      </c>
      <c r="E145" s="88">
        <v>400</v>
      </c>
      <c r="F145" s="88">
        <v>0</v>
      </c>
      <c r="G145" s="88">
        <v>0</v>
      </c>
      <c r="H145" s="88">
        <v>0</v>
      </c>
      <c r="I145" s="88">
        <v>0</v>
      </c>
      <c r="J145" s="88">
        <v>0</v>
      </c>
      <c r="K145" s="88">
        <v>0</v>
      </c>
      <c r="L145" s="88">
        <v>0</v>
      </c>
    </row>
    <row r="146" spans="1:12" x14ac:dyDescent="0.25">
      <c r="A146" t="s">
        <v>13</v>
      </c>
      <c r="B146" s="88">
        <v>0</v>
      </c>
      <c r="C146" s="88">
        <v>0</v>
      </c>
      <c r="D146" s="88">
        <v>0</v>
      </c>
      <c r="E146" s="88">
        <v>0</v>
      </c>
      <c r="F146" s="88">
        <v>0</v>
      </c>
      <c r="G146" s="88">
        <v>0</v>
      </c>
      <c r="H146" s="88">
        <v>0</v>
      </c>
      <c r="I146" s="88">
        <v>0</v>
      </c>
      <c r="J146" s="88">
        <v>0</v>
      </c>
      <c r="K146" s="88">
        <v>0</v>
      </c>
      <c r="L146" s="88">
        <v>0</v>
      </c>
    </row>
    <row r="147" spans="1:12" x14ac:dyDescent="0.25">
      <c r="A147" t="s">
        <v>9</v>
      </c>
      <c r="B147" s="88">
        <v>0</v>
      </c>
      <c r="C147" s="88">
        <v>75</v>
      </c>
      <c r="D147" s="88">
        <v>0</v>
      </c>
      <c r="E147" s="88">
        <v>75</v>
      </c>
      <c r="F147" s="88">
        <v>0</v>
      </c>
      <c r="G147" s="88">
        <v>0</v>
      </c>
      <c r="H147" s="88">
        <v>0</v>
      </c>
      <c r="I147" s="88">
        <v>0</v>
      </c>
      <c r="J147" s="88">
        <v>0</v>
      </c>
      <c r="K147" s="88">
        <v>0</v>
      </c>
      <c r="L147" s="88">
        <v>0</v>
      </c>
    </row>
    <row r="148" spans="1:12" x14ac:dyDescent="0.25">
      <c r="A148" t="s">
        <v>10</v>
      </c>
      <c r="B148" s="88">
        <v>0</v>
      </c>
      <c r="C148" s="88">
        <v>75</v>
      </c>
      <c r="D148" s="88">
        <v>0</v>
      </c>
      <c r="E148" s="88">
        <v>75</v>
      </c>
      <c r="F148" s="88">
        <v>0</v>
      </c>
      <c r="G148" s="88">
        <v>0</v>
      </c>
      <c r="H148" s="88">
        <v>0</v>
      </c>
      <c r="I148" s="88">
        <v>0</v>
      </c>
      <c r="J148" s="88">
        <v>0</v>
      </c>
      <c r="K148" s="88">
        <v>0</v>
      </c>
      <c r="L148" s="88">
        <v>0</v>
      </c>
    </row>
    <row r="149" spans="1:12" x14ac:dyDescent="0.25">
      <c r="A149" t="s">
        <v>11</v>
      </c>
      <c r="B149" s="88">
        <v>0</v>
      </c>
      <c r="C149" s="88">
        <v>0</v>
      </c>
      <c r="D149" s="88">
        <v>0</v>
      </c>
      <c r="E149" s="88">
        <v>0</v>
      </c>
      <c r="F149" s="88">
        <v>0</v>
      </c>
      <c r="G149" s="88">
        <v>0</v>
      </c>
      <c r="H149" s="88">
        <v>0</v>
      </c>
      <c r="I149" s="88">
        <v>0</v>
      </c>
      <c r="J149" s="88">
        <v>0</v>
      </c>
      <c r="K149" s="88">
        <v>0</v>
      </c>
      <c r="L149" s="88">
        <v>0</v>
      </c>
    </row>
    <row r="150" spans="1:12" x14ac:dyDescent="0.25">
      <c r="A150" t="s">
        <v>289</v>
      </c>
      <c r="B150" s="88">
        <v>0</v>
      </c>
      <c r="C150" s="88">
        <v>0</v>
      </c>
      <c r="D150" s="88">
        <v>0</v>
      </c>
      <c r="E150" s="88">
        <v>0</v>
      </c>
      <c r="F150" s="88">
        <v>0</v>
      </c>
      <c r="G150" s="88">
        <v>0</v>
      </c>
      <c r="H150" s="88">
        <v>0</v>
      </c>
      <c r="I150" s="88">
        <v>0</v>
      </c>
      <c r="J150" s="88">
        <v>0</v>
      </c>
      <c r="K150" s="88">
        <v>0</v>
      </c>
      <c r="L150" s="88">
        <v>0</v>
      </c>
    </row>
    <row r="151" spans="1:12" x14ac:dyDescent="0.25">
      <c r="A151" t="s">
        <v>290</v>
      </c>
      <c r="B151" s="88">
        <v>0</v>
      </c>
      <c r="C151" s="88">
        <v>0</v>
      </c>
      <c r="D151" s="88">
        <v>0</v>
      </c>
      <c r="E151" s="88">
        <v>0</v>
      </c>
      <c r="F151" s="88">
        <v>0</v>
      </c>
      <c r="G151" s="88">
        <v>0</v>
      </c>
      <c r="H151" s="88">
        <v>0</v>
      </c>
      <c r="I151" s="88">
        <v>0</v>
      </c>
      <c r="J151" s="88">
        <v>0</v>
      </c>
      <c r="K151" s="88">
        <v>0</v>
      </c>
      <c r="L151" s="88">
        <v>0</v>
      </c>
    </row>
    <row r="152" spans="1:12" x14ac:dyDescent="0.25">
      <c r="A152" t="s">
        <v>428</v>
      </c>
      <c r="B152" s="88">
        <v>0</v>
      </c>
      <c r="C152" s="88">
        <v>0</v>
      </c>
      <c r="D152" s="88">
        <v>0</v>
      </c>
      <c r="E152" s="88">
        <v>0</v>
      </c>
      <c r="F152" s="88">
        <v>0</v>
      </c>
      <c r="G152" s="88">
        <v>0</v>
      </c>
      <c r="H152" s="88">
        <v>0</v>
      </c>
      <c r="I152" s="88">
        <v>0</v>
      </c>
      <c r="J152" s="88">
        <v>0</v>
      </c>
      <c r="K152" s="88">
        <v>0</v>
      </c>
      <c r="L152" s="88">
        <v>0</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90</v>
      </c>
      <c r="B155" s="88">
        <f>90000*(10^2)</f>
        <v>9000000</v>
      </c>
      <c r="C155" s="88">
        <f>88000*(10^2)</f>
        <v>8800000</v>
      </c>
      <c r="D155" s="88">
        <f>87000*(10^2)</f>
        <v>8700000</v>
      </c>
      <c r="E155" s="88">
        <f>85000*(10^2)</f>
        <v>8500000</v>
      </c>
      <c r="F155" s="88">
        <f>83000*(10^2)</f>
        <v>8300000</v>
      </c>
      <c r="G155" s="88">
        <f>84000*(10^2)</f>
        <v>8400000</v>
      </c>
      <c r="H155" s="88">
        <f>82000*(10^2)</f>
        <v>8200000</v>
      </c>
      <c r="I155" s="88">
        <f>80000*(10^2)</f>
        <v>8000000</v>
      </c>
      <c r="J155" s="88">
        <f>82000*(10^2)</f>
        <v>8200000</v>
      </c>
      <c r="K155" s="88">
        <f>81000*(10^2)</f>
        <v>8100000</v>
      </c>
      <c r="L155" s="88">
        <f>80000*(10^2)</f>
        <v>8000000</v>
      </c>
    </row>
    <row r="156" spans="1:12" x14ac:dyDescent="0.25">
      <c r="A156" s="17" t="s">
        <v>321</v>
      </c>
      <c r="B156" s="89">
        <f>B155</f>
        <v>9000000</v>
      </c>
      <c r="C156" s="89">
        <f ca="1">C155+C155*RANDBETWEEN(-5,5)/100</f>
        <v>8448000</v>
      </c>
      <c r="D156" s="89">
        <f t="shared" ref="D156:L156" ca="1" si="5">D155+D155*RANDBETWEEN(-5,5)/100</f>
        <v>8613000</v>
      </c>
      <c r="E156" s="89">
        <f t="shared" ca="1" si="5"/>
        <v>8585000</v>
      </c>
      <c r="F156" s="89">
        <f t="shared" ca="1" si="5"/>
        <v>8715000</v>
      </c>
      <c r="G156" s="89">
        <f t="shared" ca="1" si="5"/>
        <v>8568000</v>
      </c>
      <c r="H156" s="89">
        <f t="shared" ca="1" si="5"/>
        <v>8610000</v>
      </c>
      <c r="I156" s="89">
        <f t="shared" ca="1" si="5"/>
        <v>8000000</v>
      </c>
      <c r="J156" s="89">
        <f t="shared" ca="1" si="5"/>
        <v>7790000</v>
      </c>
      <c r="K156" s="89">
        <f t="shared" ca="1" si="5"/>
        <v>8181000</v>
      </c>
      <c r="L156" s="89">
        <f t="shared" ca="1" si="5"/>
        <v>8240000</v>
      </c>
    </row>
  </sheetData>
  <mergeCells count="1">
    <mergeCell ref="A142:L142"/>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s>
  <pageMargins left="0.7" right="0.7" top="0.75" bottom="0.75" header="0.3" footer="0.3"/>
  <pageSetup orientation="portrait"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83"/>
  <sheetViews>
    <sheetView topLeftCell="A20" zoomScale="70" zoomScaleNormal="70" workbookViewId="0">
      <selection activeCell="H51" sqref="H51"/>
    </sheetView>
  </sheetViews>
  <sheetFormatPr defaultRowHeight="15" x14ac:dyDescent="0.25"/>
  <cols>
    <col min="1" max="1" width="57.5703125" bestFit="1"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20.28515625" customWidth="1"/>
  </cols>
  <sheetData>
    <row r="1" spans="1:15" ht="15.75" thickBot="1" x14ac:dyDescent="0.3">
      <c r="A1" s="9" t="s">
        <v>80</v>
      </c>
      <c r="B1" s="9">
        <v>0</v>
      </c>
      <c r="C1" s="9">
        <v>1</v>
      </c>
      <c r="D1" s="9">
        <v>2</v>
      </c>
      <c r="E1" s="9">
        <v>3</v>
      </c>
      <c r="F1" s="9">
        <v>4</v>
      </c>
      <c r="G1" s="9">
        <v>5</v>
      </c>
      <c r="H1" s="9">
        <v>6</v>
      </c>
      <c r="I1" s="9">
        <v>7</v>
      </c>
      <c r="J1" s="9">
        <v>8</v>
      </c>
      <c r="K1" s="9">
        <v>9</v>
      </c>
      <c r="L1" s="9">
        <v>10</v>
      </c>
      <c r="N1" s="115" t="s">
        <v>384</v>
      </c>
      <c r="O1" s="104">
        <f>'Event Tracker'!$P$1</f>
        <v>0</v>
      </c>
    </row>
    <row r="2" spans="1:15" x14ac:dyDescent="0.25">
      <c r="A2" t="s">
        <v>7</v>
      </c>
      <c r="B2" s="88">
        <v>0</v>
      </c>
      <c r="C2" s="88">
        <f>Gameplay!$D$5</f>
        <v>0</v>
      </c>
      <c r="D2" s="88">
        <f>Gameplay!$D$5</f>
        <v>0</v>
      </c>
      <c r="E2" s="88">
        <f>Gameplay!$D$5</f>
        <v>0</v>
      </c>
      <c r="F2" s="88">
        <f>Gameplay!$D$5</f>
        <v>0</v>
      </c>
      <c r="G2" s="88">
        <f>Gameplay!$D$5</f>
        <v>0</v>
      </c>
      <c r="H2" s="88">
        <f>Gameplay!$D$5</f>
        <v>0</v>
      </c>
      <c r="I2" s="88">
        <f>Gameplay!$D$5</f>
        <v>0</v>
      </c>
      <c r="J2" s="88">
        <f>Gameplay!$D$5</f>
        <v>0</v>
      </c>
      <c r="K2" s="88">
        <f>Gameplay!$D$5</f>
        <v>0</v>
      </c>
      <c r="L2" s="88">
        <f>Gameplay!$D$5</f>
        <v>0</v>
      </c>
    </row>
    <row r="3" spans="1:15" x14ac:dyDescent="0.25">
      <c r="A3" t="s">
        <v>8</v>
      </c>
      <c r="B3" s="88">
        <v>0</v>
      </c>
      <c r="C3" s="88">
        <f>Gameplay!$D$6</f>
        <v>0</v>
      </c>
      <c r="D3" s="88">
        <f>Gameplay!$D$6</f>
        <v>0</v>
      </c>
      <c r="E3" s="88">
        <f>Gameplay!$D$6</f>
        <v>0</v>
      </c>
      <c r="F3" s="88">
        <f>Gameplay!$D$6</f>
        <v>0</v>
      </c>
      <c r="G3" s="88">
        <f>Gameplay!$D$6</f>
        <v>0</v>
      </c>
      <c r="H3" s="88">
        <f>Gameplay!$D$6</f>
        <v>0</v>
      </c>
      <c r="I3" s="88">
        <f>Gameplay!$D$6</f>
        <v>0</v>
      </c>
      <c r="J3" s="88">
        <f>Gameplay!$D$6</f>
        <v>0</v>
      </c>
      <c r="K3" s="88">
        <f>Gameplay!$D$6</f>
        <v>0</v>
      </c>
      <c r="L3" s="88">
        <f>Gameplay!$D$6</f>
        <v>0</v>
      </c>
    </row>
    <row r="4" spans="1:15" x14ac:dyDescent="0.25">
      <c r="A4" t="s">
        <v>13</v>
      </c>
      <c r="B4" s="88">
        <v>0</v>
      </c>
      <c r="C4" s="88">
        <f>Gameplay!$D$7</f>
        <v>0</v>
      </c>
      <c r="D4" s="88">
        <f>Gameplay!$D$7</f>
        <v>0</v>
      </c>
      <c r="E4" s="88">
        <f>Gameplay!$D$7</f>
        <v>0</v>
      </c>
      <c r="F4" s="88">
        <f>Gameplay!$D$7</f>
        <v>0</v>
      </c>
      <c r="G4" s="88">
        <f>Gameplay!$D$7</f>
        <v>0</v>
      </c>
      <c r="H4" s="88">
        <f>Gameplay!$D$7</f>
        <v>0</v>
      </c>
      <c r="I4" s="88">
        <f>Gameplay!$D$7</f>
        <v>0</v>
      </c>
      <c r="J4" s="88">
        <f>Gameplay!$D$7</f>
        <v>0</v>
      </c>
      <c r="K4" s="88">
        <f>Gameplay!$D$7</f>
        <v>0</v>
      </c>
      <c r="L4" s="88">
        <f>Gameplay!$D$7</f>
        <v>0</v>
      </c>
    </row>
    <row r="5" spans="1:15" x14ac:dyDescent="0.25">
      <c r="A5" t="s">
        <v>9</v>
      </c>
      <c r="B5" s="88">
        <v>0</v>
      </c>
      <c r="C5" s="88">
        <f>Gameplay!$D$8</f>
        <v>0</v>
      </c>
      <c r="D5" s="88">
        <f>Gameplay!$D$8</f>
        <v>0</v>
      </c>
      <c r="E5" s="88">
        <f>Gameplay!$D$8</f>
        <v>0</v>
      </c>
      <c r="F5" s="88">
        <f>Gameplay!$D$8</f>
        <v>0</v>
      </c>
      <c r="G5" s="88">
        <f>Gameplay!$D$8</f>
        <v>0</v>
      </c>
      <c r="H5" s="88">
        <f>Gameplay!$D$8</f>
        <v>0</v>
      </c>
      <c r="I5" s="88">
        <f>Gameplay!$D$8</f>
        <v>0</v>
      </c>
      <c r="J5" s="88">
        <f>Gameplay!$D$8</f>
        <v>0</v>
      </c>
      <c r="K5" s="88">
        <f>Gameplay!$D$8</f>
        <v>0</v>
      </c>
      <c r="L5" s="88">
        <f>Gameplay!$D$8</f>
        <v>0</v>
      </c>
    </row>
    <row r="6" spans="1:15" x14ac:dyDescent="0.25">
      <c r="A6" t="s">
        <v>10</v>
      </c>
      <c r="B6" s="88">
        <v>0</v>
      </c>
      <c r="C6" s="88">
        <f>Gameplay!$D$9</f>
        <v>0</v>
      </c>
      <c r="D6" s="88">
        <f>Gameplay!$D$9</f>
        <v>0</v>
      </c>
      <c r="E6" s="88">
        <f>Gameplay!$D$9</f>
        <v>0</v>
      </c>
      <c r="F6" s="88">
        <f>Gameplay!$D$9</f>
        <v>0</v>
      </c>
      <c r="G6" s="88">
        <f>Gameplay!$D$9</f>
        <v>0</v>
      </c>
      <c r="H6" s="88">
        <f>Gameplay!$D$9</f>
        <v>0</v>
      </c>
      <c r="I6" s="88">
        <f>Gameplay!$D$9</f>
        <v>0</v>
      </c>
      <c r="J6" s="88">
        <f>Gameplay!$D$9</f>
        <v>0</v>
      </c>
      <c r="K6" s="88">
        <f>Gameplay!$D$9</f>
        <v>0</v>
      </c>
      <c r="L6" s="88">
        <f>Gameplay!$D$9</f>
        <v>0</v>
      </c>
    </row>
    <row r="7" spans="1:15" x14ac:dyDescent="0.25">
      <c r="A7" t="s">
        <v>11</v>
      </c>
      <c r="B7" s="88">
        <v>0</v>
      </c>
      <c r="C7" s="88">
        <f>Gameplay!$D$10</f>
        <v>0</v>
      </c>
      <c r="D7" s="88">
        <f>Gameplay!$D$10</f>
        <v>0</v>
      </c>
      <c r="E7" s="88">
        <f>Gameplay!$D$10</f>
        <v>0</v>
      </c>
      <c r="F7" s="88">
        <f>Gameplay!$D$10</f>
        <v>0</v>
      </c>
      <c r="G7" s="88">
        <f>Gameplay!$D$10</f>
        <v>0</v>
      </c>
      <c r="H7" s="88">
        <f>Gameplay!$D$10</f>
        <v>0</v>
      </c>
      <c r="I7" s="88">
        <f>Gameplay!$D$10</f>
        <v>0</v>
      </c>
      <c r="J7" s="88">
        <f>Gameplay!$D$10</f>
        <v>0</v>
      </c>
      <c r="K7" s="88">
        <f>Gameplay!$D$10</f>
        <v>0</v>
      </c>
      <c r="L7" s="88">
        <f>Gameplay!$D$10</f>
        <v>0</v>
      </c>
    </row>
    <row r="8" spans="1:15" x14ac:dyDescent="0.25">
      <c r="A8" t="s">
        <v>289</v>
      </c>
      <c r="B8" s="88">
        <v>0</v>
      </c>
      <c r="C8" s="88">
        <f>Gameplay!$D$11</f>
        <v>0</v>
      </c>
      <c r="D8" s="88">
        <f>Gameplay!$D$11</f>
        <v>0</v>
      </c>
      <c r="E8" s="88">
        <f>Gameplay!$D$11</f>
        <v>0</v>
      </c>
      <c r="F8" s="88">
        <f>Gameplay!$D$11</f>
        <v>0</v>
      </c>
      <c r="G8" s="88">
        <f>Gameplay!$D$11</f>
        <v>0</v>
      </c>
      <c r="H8" s="88">
        <f>Gameplay!$D$11</f>
        <v>0</v>
      </c>
      <c r="I8" s="88">
        <f>Gameplay!$D$11</f>
        <v>0</v>
      </c>
      <c r="J8" s="88">
        <f>Gameplay!$D$11</f>
        <v>0</v>
      </c>
      <c r="K8" s="88">
        <f>Gameplay!$D$11</f>
        <v>0</v>
      </c>
      <c r="L8" s="88">
        <f>Gameplay!$D$11</f>
        <v>0</v>
      </c>
    </row>
    <row r="9" spans="1:15" x14ac:dyDescent="0.25">
      <c r="A9" t="s">
        <v>290</v>
      </c>
      <c r="B9" s="88">
        <v>0</v>
      </c>
      <c r="C9" s="88">
        <f>IF('Event Tracker'!C4=1,0.25*'Resource Mix and Demand'!C1,C1*0.5)</f>
        <v>0.5</v>
      </c>
      <c r="D9" s="88">
        <f>IF('Event Tracker'!D4=1,0.25*'Resource Mix and Demand'!D1,D1*0.5)</f>
        <v>1</v>
      </c>
      <c r="E9" s="88">
        <f>IF('Event Tracker'!E4=1,0.25*'Resource Mix and Demand'!E1,E1*0.5)</f>
        <v>1.5</v>
      </c>
      <c r="F9" s="88">
        <f>IF('Event Tracker'!F4=1,0.25*'Resource Mix and Demand'!F1,F1*0.5)</f>
        <v>2</v>
      </c>
      <c r="G9" s="88">
        <f>IF('Event Tracker'!G4=1,0.25*'Resource Mix and Demand'!G1,G1*0.5)</f>
        <v>2.5</v>
      </c>
      <c r="H9" s="88">
        <f>IF('Event Tracker'!H4=1,0.25*'Resource Mix and Demand'!H1,H1*0.5)</f>
        <v>3</v>
      </c>
      <c r="I9" s="88">
        <f>IF('Event Tracker'!I4=1,0.25*'Resource Mix and Demand'!I1,I1*0.5)</f>
        <v>3.5</v>
      </c>
      <c r="J9" s="88">
        <f>IF('Event Tracker'!J4=1,0.25*'Resource Mix and Demand'!J1,J1*0.5)</f>
        <v>4</v>
      </c>
      <c r="K9" s="88">
        <f>IF('Event Tracker'!K4=1,0.25*'Resource Mix and Demand'!K1,K1*0.5)</f>
        <v>4.5</v>
      </c>
      <c r="L9" s="88">
        <f>IF('Event Tracker'!L4=1,0.25*'Resource Mix and Demand'!L1,L1*0.5)</f>
        <v>5</v>
      </c>
    </row>
    <row r="10" spans="1:15" x14ac:dyDescent="0.25">
      <c r="A10" t="s">
        <v>428</v>
      </c>
      <c r="B10">
        <v>0</v>
      </c>
      <c r="C10">
        <f>IF('Event Tracker'!C4=1,0.5*B10,'Resource Mix and Demand'!C1+4)</f>
        <v>5</v>
      </c>
      <c r="D10">
        <f>IF('Event Tracker'!D4=1,0.5*C10,'Resource Mix and Demand'!D1+4)</f>
        <v>6</v>
      </c>
      <c r="E10">
        <f>IF('Event Tracker'!E4=1,0.5*D10,'Resource Mix and Demand'!E1+4)</f>
        <v>7</v>
      </c>
      <c r="F10">
        <f>IF('Event Tracker'!F4=1,0.5*E10,'Resource Mix and Demand'!F1+4)</f>
        <v>8</v>
      </c>
      <c r="G10">
        <f>IF('Event Tracker'!G4=1,0.5*F10,'Resource Mix and Demand'!G1+4)</f>
        <v>9</v>
      </c>
      <c r="H10">
        <f>IF('Event Tracker'!H4=1,0.5*G10,'Resource Mix and Demand'!H1+4)</f>
        <v>10</v>
      </c>
      <c r="I10">
        <f>IF('Event Tracker'!I4=1,0.5*H10,'Resource Mix and Demand'!I1+4)</f>
        <v>11</v>
      </c>
      <c r="J10">
        <f>IF('Event Tracker'!J4=1,0.5*I10,'Resource Mix and Demand'!J1+4)</f>
        <v>12</v>
      </c>
      <c r="K10">
        <f>IF('Event Tracker'!K4=1,0.5*J10,'Resource Mix and Demand'!K1+4)</f>
        <v>13</v>
      </c>
      <c r="L10">
        <f>IF('Event Tracker'!L4=1,0.5*K10,'Resource Mix and Demand'!L1+4)</f>
        <v>14</v>
      </c>
    </row>
    <row r="12" spans="1:15" x14ac:dyDescent="0.25">
      <c r="A12" s="9" t="s">
        <v>81</v>
      </c>
      <c r="B12" s="9">
        <v>0</v>
      </c>
      <c r="C12" s="9">
        <v>1</v>
      </c>
      <c r="D12" s="9">
        <v>2</v>
      </c>
      <c r="E12" s="9">
        <v>3</v>
      </c>
      <c r="F12" s="9">
        <v>4</v>
      </c>
      <c r="G12" s="9">
        <v>5</v>
      </c>
      <c r="H12" s="9">
        <v>6</v>
      </c>
      <c r="I12" s="9">
        <v>7</v>
      </c>
      <c r="J12" s="9">
        <v>8</v>
      </c>
      <c r="K12" s="9">
        <v>9</v>
      </c>
      <c r="L12" s="9">
        <v>10</v>
      </c>
    </row>
    <row r="13" spans="1:15" x14ac:dyDescent="0.25">
      <c r="A13" t="s">
        <v>7</v>
      </c>
      <c r="B13" s="88">
        <v>0</v>
      </c>
      <c r="C13" s="88">
        <v>300</v>
      </c>
      <c r="D13" s="88">
        <v>0</v>
      </c>
      <c r="E13" s="88">
        <v>0</v>
      </c>
      <c r="F13" s="88">
        <v>0</v>
      </c>
      <c r="G13" s="88">
        <v>100</v>
      </c>
      <c r="H13" s="88">
        <v>0</v>
      </c>
      <c r="I13" s="88">
        <v>0</v>
      </c>
      <c r="J13" s="88">
        <v>0</v>
      </c>
      <c r="K13" s="88">
        <v>0</v>
      </c>
      <c r="L13" s="88">
        <v>0</v>
      </c>
    </row>
    <row r="14" spans="1:15" x14ac:dyDescent="0.25">
      <c r="A14" t="s">
        <v>8</v>
      </c>
      <c r="B14" s="88">
        <v>0</v>
      </c>
      <c r="C14" s="88">
        <v>0</v>
      </c>
      <c r="D14" s="88">
        <v>0</v>
      </c>
      <c r="E14" s="88">
        <v>0</v>
      </c>
      <c r="F14" s="88">
        <v>0</v>
      </c>
      <c r="G14" s="88">
        <v>0</v>
      </c>
      <c r="H14" s="88">
        <v>0</v>
      </c>
      <c r="I14" s="88">
        <v>0</v>
      </c>
      <c r="J14" s="88">
        <v>0</v>
      </c>
      <c r="K14" s="88">
        <v>0</v>
      </c>
      <c r="L14" s="88">
        <v>0</v>
      </c>
    </row>
    <row r="15" spans="1:15" x14ac:dyDescent="0.25">
      <c r="A15" t="s">
        <v>13</v>
      </c>
      <c r="B15" s="88">
        <v>0</v>
      </c>
      <c r="C15" s="88">
        <v>0</v>
      </c>
      <c r="D15" s="88">
        <v>0</v>
      </c>
      <c r="E15" s="88">
        <v>500</v>
      </c>
      <c r="F15" s="88">
        <v>0</v>
      </c>
      <c r="G15" s="88">
        <v>0</v>
      </c>
      <c r="H15" s="88">
        <v>0</v>
      </c>
      <c r="I15" s="88">
        <v>0</v>
      </c>
      <c r="J15" s="88">
        <v>0</v>
      </c>
      <c r="K15" s="88">
        <v>0</v>
      </c>
      <c r="L15" s="88">
        <v>0</v>
      </c>
    </row>
    <row r="16" spans="1:15" x14ac:dyDescent="0.25">
      <c r="A16" t="s">
        <v>9</v>
      </c>
      <c r="B16" s="88">
        <v>0</v>
      </c>
      <c r="C16" s="88">
        <v>0</v>
      </c>
      <c r="D16" s="88">
        <v>0</v>
      </c>
      <c r="E16" s="88">
        <v>0</v>
      </c>
      <c r="F16" s="88">
        <v>0</v>
      </c>
      <c r="G16" s="88">
        <v>0</v>
      </c>
      <c r="H16" s="88">
        <v>0</v>
      </c>
      <c r="I16" s="88">
        <v>0</v>
      </c>
      <c r="J16" s="88">
        <v>0</v>
      </c>
      <c r="K16" s="88">
        <v>0</v>
      </c>
      <c r="L16" s="88">
        <v>0</v>
      </c>
    </row>
    <row r="17" spans="1:12" x14ac:dyDescent="0.25">
      <c r="A17" t="s">
        <v>10</v>
      </c>
      <c r="B17" s="88">
        <v>0</v>
      </c>
      <c r="C17" s="88">
        <v>0</v>
      </c>
      <c r="D17" s="88">
        <v>0</v>
      </c>
      <c r="E17" s="88">
        <v>0</v>
      </c>
      <c r="F17" s="88">
        <v>0</v>
      </c>
      <c r="G17" s="88">
        <v>0</v>
      </c>
      <c r="H17" s="88">
        <v>0</v>
      </c>
      <c r="I17" s="88">
        <v>0</v>
      </c>
      <c r="J17" s="88">
        <v>0</v>
      </c>
      <c r="K17" s="88">
        <v>0</v>
      </c>
      <c r="L17" s="88">
        <v>0</v>
      </c>
    </row>
    <row r="18" spans="1:12" x14ac:dyDescent="0.25">
      <c r="A18" t="s">
        <v>11</v>
      </c>
      <c r="B18" s="88">
        <v>0</v>
      </c>
      <c r="C18" s="88">
        <v>0</v>
      </c>
      <c r="D18" s="88">
        <v>0</v>
      </c>
      <c r="E18" s="88">
        <v>0</v>
      </c>
      <c r="F18" s="88">
        <v>0</v>
      </c>
      <c r="G18" s="88">
        <v>0</v>
      </c>
      <c r="H18" s="88">
        <v>0</v>
      </c>
      <c r="I18" s="88">
        <v>0</v>
      </c>
      <c r="J18" s="88">
        <v>0</v>
      </c>
      <c r="K18" s="88">
        <v>0</v>
      </c>
      <c r="L18" s="88">
        <v>0</v>
      </c>
    </row>
    <row r="19" spans="1:12" x14ac:dyDescent="0.25">
      <c r="A19" t="s">
        <v>289</v>
      </c>
      <c r="B19" s="88">
        <v>0</v>
      </c>
      <c r="C19" s="88">
        <v>0</v>
      </c>
      <c r="D19" s="88">
        <v>0</v>
      </c>
      <c r="E19" s="88">
        <v>0</v>
      </c>
      <c r="F19" s="88">
        <v>0</v>
      </c>
      <c r="G19" s="88">
        <v>0</v>
      </c>
      <c r="H19" s="88">
        <v>0</v>
      </c>
      <c r="I19" s="88">
        <v>0</v>
      </c>
      <c r="J19" s="88">
        <v>0</v>
      </c>
      <c r="K19" s="88">
        <v>0</v>
      </c>
      <c r="L19" s="88">
        <v>0</v>
      </c>
    </row>
    <row r="20" spans="1:12" x14ac:dyDescent="0.25">
      <c r="A20" t="s">
        <v>290</v>
      </c>
      <c r="B20" s="88">
        <v>0</v>
      </c>
      <c r="C20" s="88">
        <v>0</v>
      </c>
      <c r="D20" s="88">
        <v>0</v>
      </c>
      <c r="E20" s="88">
        <v>0</v>
      </c>
      <c r="F20" s="88">
        <v>0</v>
      </c>
      <c r="G20" s="88">
        <v>0</v>
      </c>
      <c r="H20" s="88">
        <v>0</v>
      </c>
      <c r="I20" s="88">
        <v>0</v>
      </c>
      <c r="J20" s="88">
        <v>0</v>
      </c>
      <c r="K20" s="88">
        <v>0</v>
      </c>
      <c r="L20" s="88">
        <v>0</v>
      </c>
    </row>
    <row r="21" spans="1:12" x14ac:dyDescent="0.25">
      <c r="A21" t="s">
        <v>428</v>
      </c>
      <c r="B21" s="88">
        <v>0</v>
      </c>
      <c r="C21" s="88">
        <v>0</v>
      </c>
      <c r="D21" s="88">
        <v>0</v>
      </c>
      <c r="E21" s="88">
        <v>0</v>
      </c>
      <c r="F21" s="88">
        <v>0</v>
      </c>
      <c r="G21" s="88">
        <v>0</v>
      </c>
      <c r="H21" s="88">
        <v>0</v>
      </c>
      <c r="I21" s="88">
        <v>0</v>
      </c>
      <c r="J21" s="88">
        <v>0</v>
      </c>
      <c r="K21" s="88">
        <v>0</v>
      </c>
      <c r="L21" s="88">
        <v>0</v>
      </c>
    </row>
    <row r="23" spans="1:12" x14ac:dyDescent="0.25">
      <c r="A23" s="9" t="s">
        <v>82</v>
      </c>
      <c r="B23" s="9">
        <v>0</v>
      </c>
      <c r="C23" s="9">
        <v>1</v>
      </c>
      <c r="D23" s="9">
        <v>2</v>
      </c>
      <c r="E23" s="9">
        <v>3</v>
      </c>
      <c r="F23" s="9">
        <v>4</v>
      </c>
      <c r="G23" s="9">
        <v>5</v>
      </c>
      <c r="H23" s="9">
        <v>6</v>
      </c>
      <c r="I23" s="9">
        <v>7</v>
      </c>
      <c r="J23" s="9">
        <v>8</v>
      </c>
      <c r="K23" s="9">
        <v>9</v>
      </c>
      <c r="L23" s="9">
        <v>10</v>
      </c>
    </row>
    <row r="24" spans="1:12" x14ac:dyDescent="0.25">
      <c r="A24" t="s">
        <v>7</v>
      </c>
      <c r="B24" s="164">
        <f>'Game Assumptions'!K41</f>
        <v>500</v>
      </c>
      <c r="C24" s="164">
        <f>INDEX($B$24:$L$32,MATCH($A24,$A$24:$A$32,0),C$23)+INDEX($B$2:$L$10,MATCH($A24,$A$2:$A$10,0),C$23+1)-INDEX($B$13:$L$21,MATCH($A24,$A$13:$A$21,0),C$23+1)</f>
        <v>200</v>
      </c>
      <c r="D24" s="164">
        <f t="shared" ref="D24:L24" si="0">INDEX($B$24:$L$32,MATCH($A24,$A$24:$A$32,0),D$23)+INDEX($B$2:$L$10,MATCH($A24,$A$2:$A$10,0),D$23+1)-INDEX($B$13:$L$21,MATCH($A24,$A$13:$A$21,0),D$23+1)</f>
        <v>200</v>
      </c>
      <c r="E24" s="164">
        <f t="shared" si="0"/>
        <v>200</v>
      </c>
      <c r="F24" s="164">
        <f t="shared" si="0"/>
        <v>200</v>
      </c>
      <c r="G24" s="164">
        <f t="shared" si="0"/>
        <v>100</v>
      </c>
      <c r="H24" s="164">
        <f t="shared" si="0"/>
        <v>100</v>
      </c>
      <c r="I24" s="164">
        <f t="shared" si="0"/>
        <v>100</v>
      </c>
      <c r="J24" s="164">
        <f t="shared" si="0"/>
        <v>100</v>
      </c>
      <c r="K24" s="164">
        <f t="shared" si="0"/>
        <v>100</v>
      </c>
      <c r="L24" s="164">
        <f t="shared" si="0"/>
        <v>100</v>
      </c>
    </row>
    <row r="25" spans="1:12" x14ac:dyDescent="0.25">
      <c r="A25" t="s">
        <v>8</v>
      </c>
      <c r="B25" s="164">
        <f>'Game Assumptions'!K42</f>
        <v>1200</v>
      </c>
      <c r="C25" s="164">
        <f t="shared" ref="C25:L32" si="1">INDEX($B$24:$L$32,MATCH($A25,$A$24:$A$32,0),C$23)+INDEX($B$2:$L$10,MATCH($A25,$A$2:$A$10,0),C$23+1)-INDEX($B$13:$L$21,MATCH($A25,$A$13:$A$21,0),C$23+1)</f>
        <v>1200</v>
      </c>
      <c r="D25" s="164">
        <f t="shared" si="1"/>
        <v>1200</v>
      </c>
      <c r="E25" s="164">
        <f t="shared" si="1"/>
        <v>1200</v>
      </c>
      <c r="F25" s="164">
        <f t="shared" si="1"/>
        <v>1200</v>
      </c>
      <c r="G25" s="164">
        <f t="shared" si="1"/>
        <v>1200</v>
      </c>
      <c r="H25" s="164">
        <f t="shared" si="1"/>
        <v>1200</v>
      </c>
      <c r="I25" s="164">
        <f t="shared" si="1"/>
        <v>1200</v>
      </c>
      <c r="J25" s="164">
        <f t="shared" si="1"/>
        <v>1200</v>
      </c>
      <c r="K25" s="164">
        <f t="shared" si="1"/>
        <v>1200</v>
      </c>
      <c r="L25" s="164">
        <f t="shared" si="1"/>
        <v>1200</v>
      </c>
    </row>
    <row r="26" spans="1:12" x14ac:dyDescent="0.25">
      <c r="A26" t="s">
        <v>13</v>
      </c>
      <c r="B26" s="164">
        <f>'Game Assumptions'!K43</f>
        <v>500</v>
      </c>
      <c r="C26" s="164">
        <f t="shared" si="1"/>
        <v>500</v>
      </c>
      <c r="D26" s="164">
        <f t="shared" si="1"/>
        <v>500</v>
      </c>
      <c r="E26" s="164">
        <f t="shared" si="1"/>
        <v>0</v>
      </c>
      <c r="F26" s="164">
        <f t="shared" si="1"/>
        <v>0</v>
      </c>
      <c r="G26" s="164">
        <f t="shared" si="1"/>
        <v>0</v>
      </c>
      <c r="H26" s="164">
        <f t="shared" si="1"/>
        <v>0</v>
      </c>
      <c r="I26" s="164">
        <f t="shared" si="1"/>
        <v>0</v>
      </c>
      <c r="J26" s="164">
        <f t="shared" si="1"/>
        <v>0</v>
      </c>
      <c r="K26" s="164">
        <f t="shared" si="1"/>
        <v>0</v>
      </c>
      <c r="L26" s="164">
        <f t="shared" si="1"/>
        <v>0</v>
      </c>
    </row>
    <row r="27" spans="1:12" x14ac:dyDescent="0.25">
      <c r="A27" t="s">
        <v>9</v>
      </c>
      <c r="B27" s="164">
        <f>'Game Assumptions'!K44</f>
        <v>30</v>
      </c>
      <c r="C27" s="164">
        <f t="shared" si="1"/>
        <v>30</v>
      </c>
      <c r="D27" s="164">
        <f t="shared" si="1"/>
        <v>30</v>
      </c>
      <c r="E27" s="164">
        <f t="shared" si="1"/>
        <v>30</v>
      </c>
      <c r="F27" s="164">
        <f t="shared" si="1"/>
        <v>30</v>
      </c>
      <c r="G27" s="164">
        <f t="shared" si="1"/>
        <v>30</v>
      </c>
      <c r="H27" s="164">
        <f t="shared" si="1"/>
        <v>30</v>
      </c>
      <c r="I27" s="164">
        <f t="shared" si="1"/>
        <v>30</v>
      </c>
      <c r="J27" s="164">
        <f t="shared" si="1"/>
        <v>30</v>
      </c>
      <c r="K27" s="164">
        <f t="shared" si="1"/>
        <v>30</v>
      </c>
      <c r="L27" s="164">
        <f t="shared" si="1"/>
        <v>30</v>
      </c>
    </row>
    <row r="28" spans="1:12" x14ac:dyDescent="0.25">
      <c r="A28" t="s">
        <v>10</v>
      </c>
      <c r="B28" s="164">
        <f>'Game Assumptions'!K45</f>
        <v>30</v>
      </c>
      <c r="C28" s="164">
        <f t="shared" si="1"/>
        <v>30</v>
      </c>
      <c r="D28" s="164">
        <f t="shared" si="1"/>
        <v>30</v>
      </c>
      <c r="E28" s="164">
        <f t="shared" si="1"/>
        <v>30</v>
      </c>
      <c r="F28" s="164">
        <f t="shared" si="1"/>
        <v>30</v>
      </c>
      <c r="G28" s="164">
        <f t="shared" si="1"/>
        <v>30</v>
      </c>
      <c r="H28" s="164">
        <f t="shared" si="1"/>
        <v>30</v>
      </c>
      <c r="I28" s="164">
        <f t="shared" si="1"/>
        <v>30</v>
      </c>
      <c r="J28" s="164">
        <f t="shared" si="1"/>
        <v>30</v>
      </c>
      <c r="K28" s="164">
        <f t="shared" si="1"/>
        <v>30</v>
      </c>
      <c r="L28" s="164">
        <f t="shared" si="1"/>
        <v>30</v>
      </c>
    </row>
    <row r="29" spans="1:12" x14ac:dyDescent="0.25">
      <c r="A29" t="s">
        <v>11</v>
      </c>
      <c r="B29" s="164">
        <f>'Game Assumptions'!K46</f>
        <v>30</v>
      </c>
      <c r="C29" s="164">
        <f t="shared" si="1"/>
        <v>30</v>
      </c>
      <c r="D29" s="164">
        <f t="shared" si="1"/>
        <v>30</v>
      </c>
      <c r="E29" s="164">
        <f t="shared" si="1"/>
        <v>30</v>
      </c>
      <c r="F29" s="164">
        <f t="shared" si="1"/>
        <v>30</v>
      </c>
      <c r="G29" s="164">
        <f t="shared" si="1"/>
        <v>30</v>
      </c>
      <c r="H29" s="164">
        <f t="shared" si="1"/>
        <v>30</v>
      </c>
      <c r="I29" s="164">
        <f t="shared" si="1"/>
        <v>30</v>
      </c>
      <c r="J29" s="164">
        <f t="shared" si="1"/>
        <v>30</v>
      </c>
      <c r="K29" s="164">
        <f t="shared" si="1"/>
        <v>30</v>
      </c>
      <c r="L29" s="164">
        <f t="shared" si="1"/>
        <v>30</v>
      </c>
    </row>
    <row r="30" spans="1:12" x14ac:dyDescent="0.25">
      <c r="A30" t="s">
        <v>289</v>
      </c>
      <c r="B30" s="164">
        <f>'Game Assumptions'!K47</f>
        <v>10</v>
      </c>
      <c r="C30" s="164">
        <f t="shared" si="1"/>
        <v>10</v>
      </c>
      <c r="D30" s="164">
        <f t="shared" si="1"/>
        <v>10</v>
      </c>
      <c r="E30" s="164">
        <f t="shared" si="1"/>
        <v>10</v>
      </c>
      <c r="F30" s="164">
        <f t="shared" si="1"/>
        <v>10</v>
      </c>
      <c r="G30" s="164">
        <f t="shared" si="1"/>
        <v>10</v>
      </c>
      <c r="H30" s="164">
        <f t="shared" si="1"/>
        <v>10</v>
      </c>
      <c r="I30" s="164">
        <f t="shared" si="1"/>
        <v>10</v>
      </c>
      <c r="J30" s="164">
        <f t="shared" si="1"/>
        <v>10</v>
      </c>
      <c r="K30" s="164">
        <f t="shared" si="1"/>
        <v>10</v>
      </c>
      <c r="L30" s="164">
        <f t="shared" si="1"/>
        <v>10</v>
      </c>
    </row>
    <row r="31" spans="1:12" x14ac:dyDescent="0.25">
      <c r="A31" t="s">
        <v>290</v>
      </c>
      <c r="B31" s="164">
        <f>'Game Assumptions'!K48</f>
        <v>10</v>
      </c>
      <c r="C31" s="164">
        <f t="shared" si="1"/>
        <v>10.5</v>
      </c>
      <c r="D31" s="164">
        <f t="shared" si="1"/>
        <v>11.5</v>
      </c>
      <c r="E31" s="164">
        <f t="shared" si="1"/>
        <v>13</v>
      </c>
      <c r="F31" s="164">
        <f t="shared" si="1"/>
        <v>15</v>
      </c>
      <c r="G31" s="164">
        <f t="shared" si="1"/>
        <v>17.5</v>
      </c>
      <c r="H31" s="164">
        <f t="shared" si="1"/>
        <v>20.5</v>
      </c>
      <c r="I31" s="164">
        <f t="shared" si="1"/>
        <v>24</v>
      </c>
      <c r="J31" s="164">
        <f t="shared" si="1"/>
        <v>28</v>
      </c>
      <c r="K31" s="164">
        <f t="shared" si="1"/>
        <v>32.5</v>
      </c>
      <c r="L31" s="164">
        <f t="shared" si="1"/>
        <v>37.5</v>
      </c>
    </row>
    <row r="32" spans="1:12" x14ac:dyDescent="0.25">
      <c r="A32" t="s">
        <v>428</v>
      </c>
      <c r="B32" s="164">
        <f>'Game Assumptions'!K49</f>
        <v>10</v>
      </c>
      <c r="C32" s="164">
        <f t="shared" si="1"/>
        <v>15</v>
      </c>
      <c r="D32" s="164">
        <f t="shared" si="1"/>
        <v>21</v>
      </c>
      <c r="E32" s="164">
        <f t="shared" si="1"/>
        <v>28</v>
      </c>
      <c r="F32" s="164">
        <f t="shared" si="1"/>
        <v>36</v>
      </c>
      <c r="G32" s="164">
        <f t="shared" si="1"/>
        <v>45</v>
      </c>
      <c r="H32" s="164">
        <f t="shared" si="1"/>
        <v>55</v>
      </c>
      <c r="I32" s="164">
        <f t="shared" si="1"/>
        <v>66</v>
      </c>
      <c r="J32" s="164">
        <f t="shared" si="1"/>
        <v>78</v>
      </c>
      <c r="K32" s="164">
        <f t="shared" si="1"/>
        <v>91</v>
      </c>
      <c r="L32" s="164">
        <f t="shared" si="1"/>
        <v>105</v>
      </c>
    </row>
    <row r="33" spans="1:12" x14ac:dyDescent="0.25">
      <c r="B33" s="2"/>
      <c r="C33" s="88"/>
      <c r="D33" s="88"/>
      <c r="E33" s="88"/>
      <c r="F33" s="88"/>
      <c r="G33" s="88"/>
      <c r="H33" s="88"/>
      <c r="I33" s="88"/>
      <c r="J33" s="88"/>
      <c r="K33" s="88"/>
      <c r="L33" s="88"/>
    </row>
    <row r="34" spans="1:12" x14ac:dyDescent="0.25">
      <c r="A34" s="9" t="s">
        <v>199</v>
      </c>
      <c r="B34" s="9">
        <v>0</v>
      </c>
      <c r="C34" s="9">
        <v>1</v>
      </c>
      <c r="D34" s="9">
        <v>2</v>
      </c>
      <c r="E34" s="9">
        <v>3</v>
      </c>
      <c r="F34" s="9">
        <v>4</v>
      </c>
      <c r="G34" s="9">
        <v>5</v>
      </c>
      <c r="H34" s="9">
        <v>6</v>
      </c>
      <c r="I34" s="9">
        <v>7</v>
      </c>
      <c r="J34" s="9">
        <v>8</v>
      </c>
      <c r="K34" s="9">
        <v>9</v>
      </c>
      <c r="L34" s="9">
        <v>10</v>
      </c>
    </row>
    <row r="35" spans="1:12" x14ac:dyDescent="0.25">
      <c r="A35" t="s">
        <v>7</v>
      </c>
      <c r="B35" s="88">
        <f>(B24*'Game Assumptions'!$G55*8760)</f>
        <v>2628000</v>
      </c>
      <c r="C35" s="88">
        <f>(C24*'Game Assumptions'!$G55*8760)</f>
        <v>1051200</v>
      </c>
      <c r="D35" s="88">
        <f>(D24*'Game Assumptions'!$G55*8760)</f>
        <v>1051200</v>
      </c>
      <c r="E35" s="88">
        <f>(E24*'Game Assumptions'!$G55*8760)</f>
        <v>1051200</v>
      </c>
      <c r="F35" s="88">
        <f>(F24*'Game Assumptions'!$G55*8760)</f>
        <v>1051200</v>
      </c>
      <c r="G35" s="88">
        <f>(G24*'Game Assumptions'!$G55*8760)</f>
        <v>525600</v>
      </c>
      <c r="H35" s="88">
        <f>(H24*'Game Assumptions'!$G55*8760)</f>
        <v>525600</v>
      </c>
      <c r="I35" s="88">
        <f>(I24*'Game Assumptions'!$G55*8760)</f>
        <v>525600</v>
      </c>
      <c r="J35" s="88">
        <f>(J24*'Game Assumptions'!$G55*8760)</f>
        <v>525600</v>
      </c>
      <c r="K35" s="88">
        <f>(K24*'Game Assumptions'!$G55*8760)</f>
        <v>525600</v>
      </c>
      <c r="L35" s="88">
        <f>(L24*'Game Assumptions'!$G55*8760)</f>
        <v>525600</v>
      </c>
    </row>
    <row r="36" spans="1:12" x14ac:dyDescent="0.25">
      <c r="A36" t="s">
        <v>8</v>
      </c>
      <c r="B36" s="88">
        <f>(B25*'Game Assumptions'!$G56*8760)</f>
        <v>4204800</v>
      </c>
      <c r="C36" s="88">
        <f>(C25*'Game Assumptions'!$G56*8760)</f>
        <v>4204800</v>
      </c>
      <c r="D36" s="88">
        <f>(D25*'Game Assumptions'!$G56*8760)</f>
        <v>4204800</v>
      </c>
      <c r="E36" s="88">
        <f>(E25*'Game Assumptions'!$G56*8760)</f>
        <v>4204800</v>
      </c>
      <c r="F36" s="88">
        <f>(F25*'Game Assumptions'!$G56*8760)</f>
        <v>4204800</v>
      </c>
      <c r="G36" s="88">
        <f>(G25*'Game Assumptions'!$G56*8760)</f>
        <v>4204800</v>
      </c>
      <c r="H36" s="88">
        <f>(H25*'Game Assumptions'!$G56*8760)</f>
        <v>4204800</v>
      </c>
      <c r="I36" s="88">
        <f>(I25*'Game Assumptions'!$G56*8760)</f>
        <v>4204800</v>
      </c>
      <c r="J36" s="88">
        <f>(J25*'Game Assumptions'!$G56*8760)</f>
        <v>4204800</v>
      </c>
      <c r="K36" s="88">
        <f>(K25*'Game Assumptions'!$G56*8760)</f>
        <v>4204800</v>
      </c>
      <c r="L36" s="88">
        <f>(L25*'Game Assumptions'!$G56*8760)</f>
        <v>4204800</v>
      </c>
    </row>
    <row r="37" spans="1:12" x14ac:dyDescent="0.25">
      <c r="A37" t="s">
        <v>13</v>
      </c>
      <c r="B37" s="88">
        <f>(B26*'Game Assumptions'!$G57*8760)</f>
        <v>3942000</v>
      </c>
      <c r="C37" s="88">
        <f>(C26*'Game Assumptions'!$G57*8760)</f>
        <v>3942000</v>
      </c>
      <c r="D37" s="88">
        <f>(D26*'Game Assumptions'!$G57*8760)</f>
        <v>3942000</v>
      </c>
      <c r="E37" s="88">
        <f>(E26*'Game Assumptions'!$G57*8760)</f>
        <v>0</v>
      </c>
      <c r="F37" s="88">
        <f>(F26*'Game Assumptions'!$G57*8760)</f>
        <v>0</v>
      </c>
      <c r="G37" s="88">
        <f>(G26*'Game Assumptions'!$G57*8760)</f>
        <v>0</v>
      </c>
      <c r="H37" s="88">
        <f>(H26*'Game Assumptions'!$G57*8760)</f>
        <v>0</v>
      </c>
      <c r="I37" s="88">
        <f>(I26*'Game Assumptions'!$G57*8760)</f>
        <v>0</v>
      </c>
      <c r="J37" s="88">
        <f>(J26*'Game Assumptions'!$G57*8760)</f>
        <v>0</v>
      </c>
      <c r="K37" s="88">
        <f>(K26*'Game Assumptions'!$G57*8760)</f>
        <v>0</v>
      </c>
      <c r="L37" s="88">
        <f>(L26*'Game Assumptions'!$G57*8760)</f>
        <v>0</v>
      </c>
    </row>
    <row r="38" spans="1:12" x14ac:dyDescent="0.25">
      <c r="A38" t="s">
        <v>9</v>
      </c>
      <c r="B38" s="88">
        <f>(B27*'Game Assumptions'!$G58*8760)</f>
        <v>65700</v>
      </c>
      <c r="C38" s="88">
        <f>(C27*'Game Assumptions'!$G58*8760)</f>
        <v>65700</v>
      </c>
      <c r="D38" s="88">
        <f>(D27*'Game Assumptions'!$G58*8760)</f>
        <v>65700</v>
      </c>
      <c r="E38" s="88">
        <f>(E27*'Game Assumptions'!$G58*8760)</f>
        <v>65700</v>
      </c>
      <c r="F38" s="88">
        <f>(F27*'Game Assumptions'!$G58*8760)</f>
        <v>65700</v>
      </c>
      <c r="G38" s="88">
        <f>(G27*'Game Assumptions'!$G58*8760)</f>
        <v>65700</v>
      </c>
      <c r="H38" s="88">
        <f>(H27*'Game Assumptions'!$G58*8760)</f>
        <v>65700</v>
      </c>
      <c r="I38" s="88">
        <f>(I27*'Game Assumptions'!$G58*8760)</f>
        <v>65700</v>
      </c>
      <c r="J38" s="88">
        <f>(J27*'Game Assumptions'!$G58*8760)</f>
        <v>65700</v>
      </c>
      <c r="K38" s="88">
        <f>(K27*'Game Assumptions'!$G58*8760)</f>
        <v>65700</v>
      </c>
      <c r="L38" s="88">
        <f>(L27*'Game Assumptions'!$G58*8760)</f>
        <v>65700</v>
      </c>
    </row>
    <row r="39" spans="1:12" x14ac:dyDescent="0.25">
      <c r="A39" t="s">
        <v>10</v>
      </c>
      <c r="B39" s="88">
        <f>(B28*'Game Assumptions'!$G59*8760)</f>
        <v>78840</v>
      </c>
      <c r="C39" s="88">
        <f>(C28*'Game Assumptions'!$G59*8760)</f>
        <v>78840</v>
      </c>
      <c r="D39" s="88">
        <f>(D28*'Game Assumptions'!$G59*8760)</f>
        <v>78840</v>
      </c>
      <c r="E39" s="88">
        <f>(E28*'Game Assumptions'!$G59*8760)</f>
        <v>78840</v>
      </c>
      <c r="F39" s="88">
        <f>(F28*'Game Assumptions'!$G59*8760)</f>
        <v>78840</v>
      </c>
      <c r="G39" s="88">
        <f>(G28*'Game Assumptions'!$G59*8760)</f>
        <v>78840</v>
      </c>
      <c r="H39" s="88">
        <f>(H28*'Game Assumptions'!$G59*8760)</f>
        <v>78840</v>
      </c>
      <c r="I39" s="88">
        <f>(I28*'Game Assumptions'!$G59*8760)</f>
        <v>78840</v>
      </c>
      <c r="J39" s="88">
        <f>(J28*'Game Assumptions'!$G59*8760)</f>
        <v>78840</v>
      </c>
      <c r="K39" s="88">
        <f>(K28*'Game Assumptions'!$G59*8760)</f>
        <v>78840</v>
      </c>
      <c r="L39" s="88">
        <f>(L28*'Game Assumptions'!$G59*8760)</f>
        <v>78840</v>
      </c>
    </row>
    <row r="40" spans="1:12" x14ac:dyDescent="0.25">
      <c r="A40" t="s">
        <v>11</v>
      </c>
      <c r="B40" s="88">
        <f>(B29*'Game Assumptions'!$G60*8760)</f>
        <v>157680</v>
      </c>
      <c r="C40" s="88">
        <f>(C29*'Game Assumptions'!$G60*8760)</f>
        <v>157680</v>
      </c>
      <c r="D40" s="88">
        <f>(D29*'Game Assumptions'!$G60*8760)</f>
        <v>157680</v>
      </c>
      <c r="E40" s="88">
        <f>(E29*'Game Assumptions'!$G60*8760)</f>
        <v>157680</v>
      </c>
      <c r="F40" s="88">
        <f>(F29*'Game Assumptions'!$G60*8760)</f>
        <v>157680</v>
      </c>
      <c r="G40" s="88">
        <f>(G29*'Game Assumptions'!$G60*8760)</f>
        <v>157680</v>
      </c>
      <c r="H40" s="88">
        <f>(H29*'Game Assumptions'!$G60*8760)</f>
        <v>157680</v>
      </c>
      <c r="I40" s="88">
        <f>(I29*'Game Assumptions'!$G60*8760)</f>
        <v>157680</v>
      </c>
      <c r="J40" s="88">
        <f>(J29*'Game Assumptions'!$G60*8760)</f>
        <v>157680</v>
      </c>
      <c r="K40" s="88">
        <f>(K29*'Game Assumptions'!$G60*8760)</f>
        <v>157680</v>
      </c>
      <c r="L40" s="88">
        <f>(L29*'Game Assumptions'!$G60*8760)</f>
        <v>157680</v>
      </c>
    </row>
    <row r="41" spans="1:12" x14ac:dyDescent="0.25">
      <c r="A41" t="s">
        <v>289</v>
      </c>
      <c r="B41" s="88">
        <f>(B30*'Game Assumptions'!$G61*8760)</f>
        <v>87600</v>
      </c>
      <c r="C41" s="88">
        <f>(C30*'Game Assumptions'!$G61*8760)</f>
        <v>87600</v>
      </c>
      <c r="D41" s="88">
        <f>(D30*'Game Assumptions'!$G61*8760)</f>
        <v>87600</v>
      </c>
      <c r="E41" s="88">
        <f>(E30*'Game Assumptions'!$G61*8760)</f>
        <v>87600</v>
      </c>
      <c r="F41" s="88">
        <f>(F30*'Game Assumptions'!$G61*8760)</f>
        <v>87600</v>
      </c>
      <c r="G41" s="88">
        <f>(G30*'Game Assumptions'!$G61*8760)</f>
        <v>87600</v>
      </c>
      <c r="H41" s="88">
        <f>(H30*'Game Assumptions'!$G61*8760)</f>
        <v>87600</v>
      </c>
      <c r="I41" s="88">
        <f>(I30*'Game Assumptions'!$G61*8760)</f>
        <v>87600</v>
      </c>
      <c r="J41" s="88">
        <f>(J30*'Game Assumptions'!$G61*8760)</f>
        <v>87600</v>
      </c>
      <c r="K41" s="88">
        <f>(K30*'Game Assumptions'!$G61*8760)</f>
        <v>87600</v>
      </c>
      <c r="L41" s="88">
        <f>(L30*'Game Assumptions'!$G61*8760)</f>
        <v>87600</v>
      </c>
    </row>
    <row r="42" spans="1:12" x14ac:dyDescent="0.25">
      <c r="A42" t="s">
        <v>290</v>
      </c>
      <c r="B42" s="88">
        <f>(B31*'Game Assumptions'!$G62*8760)</f>
        <v>87600</v>
      </c>
      <c r="C42" s="88">
        <f>(C31*'Game Assumptions'!$G62*8760)</f>
        <v>91980</v>
      </c>
      <c r="D42" s="88">
        <f>(D31*'Game Assumptions'!$G62*8760)</f>
        <v>100740</v>
      </c>
      <c r="E42" s="88">
        <f>(E31*'Game Assumptions'!$G62*8760)</f>
        <v>113880</v>
      </c>
      <c r="F42" s="88">
        <f>(F31*'Game Assumptions'!$G62*8760)</f>
        <v>131400</v>
      </c>
      <c r="G42" s="88">
        <f>(G31*'Game Assumptions'!$G62*8760)</f>
        <v>153300</v>
      </c>
      <c r="H42" s="88">
        <f>(H31*'Game Assumptions'!$G62*8760)</f>
        <v>179580</v>
      </c>
      <c r="I42" s="88">
        <f>(I31*'Game Assumptions'!$G62*8760)</f>
        <v>210240</v>
      </c>
      <c r="J42" s="88">
        <f>(J31*'Game Assumptions'!$G62*8760)</f>
        <v>245280</v>
      </c>
      <c r="K42" s="88">
        <f>(K31*'Game Assumptions'!$G62*8760)</f>
        <v>284700</v>
      </c>
      <c r="L42" s="88">
        <f>(L31*'Game Assumptions'!$G62*8760)</f>
        <v>328500</v>
      </c>
    </row>
    <row r="43" spans="1:12" x14ac:dyDescent="0.25">
      <c r="A43" t="s">
        <v>428</v>
      </c>
      <c r="B43" s="88">
        <f>(B32*'Game Assumptions'!$G63*8760)</f>
        <v>21900</v>
      </c>
      <c r="C43" s="88">
        <f>(C32*'Game Assumptions'!$G63*8760)</f>
        <v>32850</v>
      </c>
      <c r="D43" s="88">
        <f>(D32*'Game Assumptions'!$G63*8760)</f>
        <v>45990</v>
      </c>
      <c r="E43" s="88">
        <f>(E32*'Game Assumptions'!$G63*8760)</f>
        <v>61320</v>
      </c>
      <c r="F43" s="88">
        <f>(F32*'Game Assumptions'!$G63*8760)</f>
        <v>78840</v>
      </c>
      <c r="G43" s="88">
        <f>(G32*'Game Assumptions'!$G63*8760)</f>
        <v>98550</v>
      </c>
      <c r="H43" s="88">
        <f>(H32*'Game Assumptions'!$G63*8760)</f>
        <v>120450</v>
      </c>
      <c r="I43" s="88">
        <f>(I32*'Game Assumptions'!$G63*8760)</f>
        <v>144540</v>
      </c>
      <c r="J43" s="88">
        <f>(J32*'Game Assumptions'!$G63*8760)</f>
        <v>170820</v>
      </c>
      <c r="K43" s="88">
        <f>(K32*'Game Assumptions'!$G63*8760)</f>
        <v>199290</v>
      </c>
      <c r="L43" s="88">
        <f>(L32*'Game Assumptions'!$G63*8760)</f>
        <v>229950</v>
      </c>
    </row>
    <row r="45" spans="1:12" x14ac:dyDescent="0.25">
      <c r="A45" s="9" t="s">
        <v>200</v>
      </c>
      <c r="B45" s="9">
        <v>0</v>
      </c>
      <c r="C45" s="9">
        <v>1</v>
      </c>
      <c r="D45" s="9">
        <v>2</v>
      </c>
      <c r="E45" s="9">
        <v>3</v>
      </c>
      <c r="F45" s="9">
        <v>4</v>
      </c>
      <c r="G45" s="9">
        <v>5</v>
      </c>
      <c r="H45" s="9">
        <v>6</v>
      </c>
      <c r="I45" s="9">
        <v>7</v>
      </c>
      <c r="J45" s="9">
        <v>8</v>
      </c>
      <c r="K45" s="9">
        <v>9</v>
      </c>
      <c r="L45" s="9">
        <v>10</v>
      </c>
    </row>
    <row r="46" spans="1:12" x14ac:dyDescent="0.25">
      <c r="A46" t="s">
        <v>7</v>
      </c>
      <c r="B46" s="88">
        <f>B35</f>
        <v>2628000</v>
      </c>
      <c r="C46" s="88">
        <f t="shared" ref="C46:L46" si="2">C35</f>
        <v>1051200</v>
      </c>
      <c r="D46" s="88">
        <f t="shared" si="2"/>
        <v>1051200</v>
      </c>
      <c r="E46" s="88">
        <f t="shared" si="2"/>
        <v>1051200</v>
      </c>
      <c r="F46" s="88">
        <f t="shared" si="2"/>
        <v>1051200</v>
      </c>
      <c r="G46" s="88">
        <f t="shared" si="2"/>
        <v>525600</v>
      </c>
      <c r="H46" s="88">
        <f t="shared" si="2"/>
        <v>525600</v>
      </c>
      <c r="I46" s="88">
        <f t="shared" si="2"/>
        <v>525600</v>
      </c>
      <c r="J46" s="88">
        <f t="shared" si="2"/>
        <v>525600</v>
      </c>
      <c r="K46" s="88">
        <f t="shared" si="2"/>
        <v>525600</v>
      </c>
      <c r="L46" s="88">
        <f t="shared" si="2"/>
        <v>525600</v>
      </c>
    </row>
    <row r="47" spans="1:12" x14ac:dyDescent="0.25">
      <c r="A47" t="s">
        <v>8</v>
      </c>
      <c r="B47" s="88">
        <f t="shared" ref="B47:L48" si="3">B36</f>
        <v>4204800</v>
      </c>
      <c r="C47" s="88">
        <f t="shared" si="3"/>
        <v>4204800</v>
      </c>
      <c r="D47" s="88">
        <f t="shared" si="3"/>
        <v>4204800</v>
      </c>
      <c r="E47" s="88">
        <f t="shared" si="3"/>
        <v>4204800</v>
      </c>
      <c r="F47" s="88">
        <f t="shared" si="3"/>
        <v>4204800</v>
      </c>
      <c r="G47" s="88">
        <f t="shared" si="3"/>
        <v>4204800</v>
      </c>
      <c r="H47" s="88">
        <f t="shared" si="3"/>
        <v>4204800</v>
      </c>
      <c r="I47" s="88">
        <f t="shared" si="3"/>
        <v>4204800</v>
      </c>
      <c r="J47" s="88">
        <f t="shared" si="3"/>
        <v>4204800</v>
      </c>
      <c r="K47" s="88">
        <f t="shared" si="3"/>
        <v>4204800</v>
      </c>
      <c r="L47" s="88">
        <f t="shared" si="3"/>
        <v>4204800</v>
      </c>
    </row>
    <row r="48" spans="1:12" x14ac:dyDescent="0.25">
      <c r="A48" t="s">
        <v>13</v>
      </c>
      <c r="B48" s="88">
        <f t="shared" si="3"/>
        <v>3942000</v>
      </c>
      <c r="C48" s="88">
        <f t="shared" si="3"/>
        <v>3942000</v>
      </c>
      <c r="D48" s="88">
        <f t="shared" si="3"/>
        <v>3942000</v>
      </c>
      <c r="E48" s="88">
        <f t="shared" si="3"/>
        <v>0</v>
      </c>
      <c r="F48" s="88">
        <f t="shared" si="3"/>
        <v>0</v>
      </c>
      <c r="G48" s="88">
        <f t="shared" si="3"/>
        <v>0</v>
      </c>
      <c r="H48" s="88">
        <f t="shared" si="3"/>
        <v>0</v>
      </c>
      <c r="I48" s="88">
        <f t="shared" si="3"/>
        <v>0</v>
      </c>
      <c r="J48" s="88">
        <f t="shared" si="3"/>
        <v>0</v>
      </c>
      <c r="K48" s="88">
        <f t="shared" si="3"/>
        <v>0</v>
      </c>
      <c r="L48" s="88">
        <f t="shared" si="3"/>
        <v>0</v>
      </c>
    </row>
    <row r="49" spans="1:12" x14ac:dyDescent="0.25">
      <c r="A49" t="s">
        <v>9</v>
      </c>
      <c r="B49" s="88">
        <f>MIN(B27,Reliability!B55)*8760*'Game Assumptions'!$G$58</f>
        <v>65700</v>
      </c>
      <c r="C49" s="88">
        <f>MIN(C27,Reliability!C55)*8760*'Game Assumptions'!$G$58</f>
        <v>65700</v>
      </c>
      <c r="D49" s="88">
        <f>MIN(D27,Reliability!D55)*8760*'Game Assumptions'!$G$58</f>
        <v>65700</v>
      </c>
      <c r="E49" s="88">
        <f>MIN(E27,Reliability!E55)*8760*'Game Assumptions'!$G$58</f>
        <v>65700</v>
      </c>
      <c r="F49" s="88">
        <f>MIN(F27,Reliability!F55)*8760*'Game Assumptions'!$G$58</f>
        <v>65700</v>
      </c>
      <c r="G49" s="88">
        <f>MIN(G27,Reliability!G55)*8760*'Game Assumptions'!$G$58</f>
        <v>65700</v>
      </c>
      <c r="H49" s="88">
        <f>MIN(H27,Reliability!H55)*8760*'Game Assumptions'!$G$58</f>
        <v>65700</v>
      </c>
      <c r="I49" s="88">
        <f>MIN(I27,Reliability!I55)*8760*'Game Assumptions'!$G$58</f>
        <v>65700</v>
      </c>
      <c r="J49" s="88">
        <f>MIN(J27,Reliability!J55)*8760*'Game Assumptions'!$G$58</f>
        <v>65700</v>
      </c>
      <c r="K49" s="88">
        <f>MIN(K27,Reliability!K55)*8760*'Game Assumptions'!$G$58</f>
        <v>65700</v>
      </c>
      <c r="L49" s="88">
        <f>MIN(L27,Reliability!L55)*8760*'Game Assumptions'!$G$58</f>
        <v>65700</v>
      </c>
    </row>
    <row r="50" spans="1:12" x14ac:dyDescent="0.25">
      <c r="A50" t="s">
        <v>10</v>
      </c>
      <c r="B50" s="88">
        <f>MIN(B28,Reliability!B55)*8760*'Game Assumptions'!$G$59</f>
        <v>78840</v>
      </c>
      <c r="C50" s="88">
        <f>MIN(C28,Reliability!C55)*8760*'Game Assumptions'!$G$59</f>
        <v>78840</v>
      </c>
      <c r="D50" s="88">
        <f>MIN(D28,Reliability!D55)*8760*'Game Assumptions'!$G$59</f>
        <v>78840</v>
      </c>
      <c r="E50" s="88">
        <f>MIN(E28,Reliability!E55)*8760*'Game Assumptions'!$G$59</f>
        <v>78840</v>
      </c>
      <c r="F50" s="88">
        <f>MIN(F28,Reliability!F55)*8760*'Game Assumptions'!$G$59</f>
        <v>78840</v>
      </c>
      <c r="G50" s="88">
        <f>MIN(G28,Reliability!G55)*8760*'Game Assumptions'!$G$59</f>
        <v>78840</v>
      </c>
      <c r="H50" s="88">
        <f>MIN(H28,Reliability!H55)*8760*'Game Assumptions'!$G$59</f>
        <v>78840</v>
      </c>
      <c r="I50" s="88">
        <f>MIN(I28,Reliability!I55)*8760*'Game Assumptions'!$G$59</f>
        <v>78840</v>
      </c>
      <c r="J50" s="88">
        <f>MIN(J28,Reliability!J55)*8760*'Game Assumptions'!$G$59</f>
        <v>78840</v>
      </c>
      <c r="K50" s="88">
        <f>MIN(K28,Reliability!K55)*8760*'Game Assumptions'!$G$59</f>
        <v>78840</v>
      </c>
      <c r="L50" s="88">
        <f>MIN(L28,Reliability!L55)*8760*'Game Assumptions'!$G$59</f>
        <v>78840</v>
      </c>
    </row>
    <row r="51" spans="1:12" x14ac:dyDescent="0.25">
      <c r="A51" t="s">
        <v>11</v>
      </c>
      <c r="B51" s="88">
        <f>B40</f>
        <v>157680</v>
      </c>
      <c r="C51" s="88">
        <f t="shared" ref="C51:L51" si="4">C40</f>
        <v>157680</v>
      </c>
      <c r="D51" s="88">
        <f t="shared" si="4"/>
        <v>157680</v>
      </c>
      <c r="E51" s="88">
        <f t="shared" si="4"/>
        <v>157680</v>
      </c>
      <c r="F51" s="88">
        <f t="shared" si="4"/>
        <v>157680</v>
      </c>
      <c r="G51" s="88">
        <f t="shared" si="4"/>
        <v>157680</v>
      </c>
      <c r="H51" s="88">
        <f t="shared" si="4"/>
        <v>157680</v>
      </c>
      <c r="I51" s="88">
        <f t="shared" si="4"/>
        <v>157680</v>
      </c>
      <c r="J51" s="88">
        <f t="shared" si="4"/>
        <v>157680</v>
      </c>
      <c r="K51" s="88">
        <f t="shared" si="4"/>
        <v>157680</v>
      </c>
      <c r="L51" s="88">
        <f t="shared" si="4"/>
        <v>157680</v>
      </c>
    </row>
    <row r="52" spans="1:12" x14ac:dyDescent="0.25">
      <c r="A52" t="s">
        <v>289</v>
      </c>
      <c r="B52" s="88">
        <f>B41</f>
        <v>87600</v>
      </c>
      <c r="C52" s="88">
        <f t="shared" ref="C52:L52" si="5">C41</f>
        <v>87600</v>
      </c>
      <c r="D52" s="88">
        <f t="shared" si="5"/>
        <v>87600</v>
      </c>
      <c r="E52" s="88">
        <f t="shared" si="5"/>
        <v>87600</v>
      </c>
      <c r="F52" s="88">
        <f t="shared" si="5"/>
        <v>87600</v>
      </c>
      <c r="G52" s="88">
        <f t="shared" si="5"/>
        <v>87600</v>
      </c>
      <c r="H52" s="88">
        <f t="shared" si="5"/>
        <v>87600</v>
      </c>
      <c r="I52" s="88">
        <f t="shared" si="5"/>
        <v>87600</v>
      </c>
      <c r="J52" s="88">
        <f t="shared" si="5"/>
        <v>87600</v>
      </c>
      <c r="K52" s="88">
        <f t="shared" si="5"/>
        <v>87600</v>
      </c>
      <c r="L52" s="88">
        <f t="shared" si="5"/>
        <v>87600</v>
      </c>
    </row>
    <row r="53" spans="1:12" x14ac:dyDescent="0.25">
      <c r="A53" t="s">
        <v>290</v>
      </c>
      <c r="B53" s="88">
        <f>B42</f>
        <v>87600</v>
      </c>
      <c r="C53" s="88">
        <f t="shared" ref="C53:L53" si="6">C42</f>
        <v>91980</v>
      </c>
      <c r="D53" s="88">
        <f t="shared" si="6"/>
        <v>100740</v>
      </c>
      <c r="E53" s="88">
        <f t="shared" si="6"/>
        <v>113880</v>
      </c>
      <c r="F53" s="88">
        <f t="shared" si="6"/>
        <v>131400</v>
      </c>
      <c r="G53" s="88">
        <f t="shared" si="6"/>
        <v>153300</v>
      </c>
      <c r="H53" s="88">
        <f t="shared" si="6"/>
        <v>179580</v>
      </c>
      <c r="I53" s="88">
        <f t="shared" si="6"/>
        <v>210240</v>
      </c>
      <c r="J53" s="88">
        <f t="shared" si="6"/>
        <v>245280</v>
      </c>
      <c r="K53" s="88">
        <f t="shared" si="6"/>
        <v>284700</v>
      </c>
      <c r="L53" s="88">
        <f t="shared" si="6"/>
        <v>328500</v>
      </c>
    </row>
    <row r="54" spans="1:12" x14ac:dyDescent="0.25">
      <c r="A54" t="s">
        <v>428</v>
      </c>
      <c r="B54" s="88">
        <f>MIN(B32,Reliability!B56)*8760*'Game Assumptions'!$G$63</f>
        <v>21900</v>
      </c>
      <c r="C54" s="88">
        <f>MIN(C32,Reliability!C56)*8760*'Game Assumptions'!$G$63</f>
        <v>32850</v>
      </c>
      <c r="D54" s="88">
        <f>MIN(D32,Reliability!D56)*8760*'Game Assumptions'!$G$63</f>
        <v>45990</v>
      </c>
      <c r="E54" s="88">
        <f>MIN(E32,Reliability!E56)*8760*'Game Assumptions'!$G$63</f>
        <v>61320</v>
      </c>
      <c r="F54" s="88">
        <f>MIN(F32,Reliability!F56)*8760*'Game Assumptions'!$G$63</f>
        <v>78840</v>
      </c>
      <c r="G54" s="88">
        <f>MIN(G32,Reliability!G56)*8760*'Game Assumptions'!$G$63</f>
        <v>98550</v>
      </c>
      <c r="H54" s="88">
        <f>MIN(H32,Reliability!H56)*8760*'Game Assumptions'!$G$63</f>
        <v>120450</v>
      </c>
      <c r="I54" s="88">
        <f>MIN(I32,Reliability!I56)*8760*'Game Assumptions'!$G$63</f>
        <v>144540</v>
      </c>
      <c r="J54" s="88">
        <f>MIN(J32,Reliability!J56)*8760*'Game Assumptions'!$G$63</f>
        <v>170820</v>
      </c>
      <c r="K54" s="88">
        <f>MIN(K32,Reliability!K56)*8760*'Game Assumptions'!$G$63</f>
        <v>199290</v>
      </c>
      <c r="L54" s="88">
        <f>MIN(L32,Reliability!L56)*8760*'Game Assumptions'!$G$63</f>
        <v>229950</v>
      </c>
    </row>
    <row r="56" spans="1:12" x14ac:dyDescent="0.25">
      <c r="A56" s="9" t="s">
        <v>32</v>
      </c>
      <c r="B56" s="9">
        <v>0</v>
      </c>
      <c r="C56" s="9">
        <v>1</v>
      </c>
      <c r="D56" s="9">
        <v>2</v>
      </c>
      <c r="E56" s="9">
        <v>3</v>
      </c>
      <c r="F56" s="9">
        <v>4</v>
      </c>
      <c r="G56" s="9">
        <v>5</v>
      </c>
      <c r="H56" s="9">
        <v>6</v>
      </c>
      <c r="I56" s="9">
        <v>7</v>
      </c>
      <c r="J56" s="9">
        <v>8</v>
      </c>
      <c r="K56" s="9">
        <v>9</v>
      </c>
      <c r="L56" s="9">
        <v>10</v>
      </c>
    </row>
    <row r="57" spans="1:12" x14ac:dyDescent="0.25">
      <c r="A57" s="17" t="s">
        <v>90</v>
      </c>
      <c r="B57" s="88">
        <f>90000*(10^2)</f>
        <v>9000000</v>
      </c>
      <c r="C57" s="88">
        <f>88000*(10^2)</f>
        <v>8800000</v>
      </c>
      <c r="D57" s="88">
        <f>87000*(10^2)</f>
        <v>8700000</v>
      </c>
      <c r="E57" s="88">
        <f>85000*(10^2)</f>
        <v>8500000</v>
      </c>
      <c r="F57" s="88">
        <f>83000*(10^2)</f>
        <v>8300000</v>
      </c>
      <c r="G57" s="88">
        <f>84000*(10^2)</f>
        <v>8400000</v>
      </c>
      <c r="H57" s="88">
        <f>82000*(10^2)</f>
        <v>8200000</v>
      </c>
      <c r="I57" s="88">
        <f>80000*(10^2)</f>
        <v>8000000</v>
      </c>
      <c r="J57" s="88">
        <f>82000*(10^2)</f>
        <v>8200000</v>
      </c>
      <c r="K57" s="88">
        <f>81000*(10^2)</f>
        <v>8100000</v>
      </c>
      <c r="L57" s="88">
        <f>80000*(10^2)</f>
        <v>8000000</v>
      </c>
    </row>
    <row r="58" spans="1:12" x14ac:dyDescent="0.25">
      <c r="A58" s="17" t="s">
        <v>293</v>
      </c>
      <c r="B58" s="88">
        <f>B57-B53-B54</f>
        <v>8890500</v>
      </c>
      <c r="C58" s="88">
        <f t="shared" ref="C58:L58" si="7">C57-C53-C54</f>
        <v>8675170</v>
      </c>
      <c r="D58" s="88">
        <f t="shared" si="7"/>
        <v>8553270</v>
      </c>
      <c r="E58" s="88">
        <f t="shared" si="7"/>
        <v>8324800</v>
      </c>
      <c r="F58" s="88">
        <f t="shared" si="7"/>
        <v>8089760</v>
      </c>
      <c r="G58" s="88">
        <f t="shared" si="7"/>
        <v>8148150</v>
      </c>
      <c r="H58" s="88">
        <f t="shared" si="7"/>
        <v>7899970</v>
      </c>
      <c r="I58" s="88">
        <f t="shared" si="7"/>
        <v>7645220</v>
      </c>
      <c r="J58" s="88">
        <f t="shared" si="7"/>
        <v>7783900</v>
      </c>
      <c r="K58" s="88">
        <f t="shared" si="7"/>
        <v>7616010</v>
      </c>
      <c r="L58" s="88">
        <f t="shared" si="7"/>
        <v>7441550</v>
      </c>
    </row>
    <row r="59" spans="1:12" x14ac:dyDescent="0.25">
      <c r="A59" s="17" t="s">
        <v>321</v>
      </c>
      <c r="B59" s="89">
        <v>9000000</v>
      </c>
      <c r="C59" s="89">
        <v>8448000</v>
      </c>
      <c r="D59" s="89">
        <v>9135000</v>
      </c>
      <c r="E59" s="89">
        <v>8840000</v>
      </c>
      <c r="F59" s="89">
        <v>8715000</v>
      </c>
      <c r="G59" s="89">
        <v>8568000</v>
      </c>
      <c r="H59" s="89">
        <v>7954000</v>
      </c>
      <c r="I59" s="89">
        <v>8400000</v>
      </c>
      <c r="J59" s="89">
        <v>8118000</v>
      </c>
      <c r="K59" s="89">
        <v>7776000</v>
      </c>
      <c r="L59" s="89">
        <v>8000000</v>
      </c>
    </row>
    <row r="60" spans="1:12" s="149" customFormat="1" x14ac:dyDescent="0.25">
      <c r="A60" s="149" t="s">
        <v>322</v>
      </c>
      <c r="B60" s="165">
        <f>B59+'Event Tracker'!B10*'Game Assumptions'!$B$21*'Resource Mix and Demand'!B59</f>
        <v>9000000</v>
      </c>
      <c r="C60" s="165">
        <f>C59+'Event Tracker'!C10*'Game Assumptions'!$B$21*'Resource Mix and Demand'!C59</f>
        <v>8448000</v>
      </c>
      <c r="D60" s="165">
        <f>D59+'Event Tracker'!D10*'Game Assumptions'!$B$21*'Resource Mix and Demand'!D59</f>
        <v>9135000</v>
      </c>
      <c r="E60" s="165">
        <f>E59+'Event Tracker'!E10*'Game Assumptions'!$B$21*'Resource Mix and Demand'!E59</f>
        <v>8840000</v>
      </c>
      <c r="F60" s="165">
        <f>F59+'Event Tracker'!F10*'Game Assumptions'!$B$21*'Resource Mix and Demand'!F59</f>
        <v>8715000</v>
      </c>
      <c r="G60" s="165">
        <f>G59+'Event Tracker'!G10*'Game Assumptions'!$B$21*'Resource Mix and Demand'!G59</f>
        <v>8568000</v>
      </c>
      <c r="H60" s="165">
        <f>H59+'Event Tracker'!H10*'Game Assumptions'!$B$21*'Resource Mix and Demand'!H59</f>
        <v>7954000</v>
      </c>
      <c r="I60" s="165">
        <f>I59+'Event Tracker'!I10*'Game Assumptions'!$B$21*'Resource Mix and Demand'!I59</f>
        <v>8400000</v>
      </c>
      <c r="J60" s="165">
        <f>J59+'Event Tracker'!J10*'Game Assumptions'!$B$21*'Resource Mix and Demand'!J59</f>
        <v>8118000</v>
      </c>
      <c r="K60" s="165">
        <f>K59+'Event Tracker'!K10*'Game Assumptions'!$B$21*'Resource Mix and Demand'!K59</f>
        <v>7776000</v>
      </c>
      <c r="L60" s="165">
        <f>L59+'Event Tracker'!L10*'Game Assumptions'!$B$21*'Resource Mix and Demand'!L59</f>
        <v>8000000</v>
      </c>
    </row>
    <row r="61" spans="1:12" x14ac:dyDescent="0.25">
      <c r="A61" s="17" t="s">
        <v>294</v>
      </c>
      <c r="B61" s="89">
        <f>B60-SUM(B53:B54)</f>
        <v>8890500</v>
      </c>
      <c r="C61" s="89">
        <f t="shared" ref="C61:L61" si="8">C60-SUM(C53:C54)</f>
        <v>8323170</v>
      </c>
      <c r="D61" s="89">
        <f t="shared" si="8"/>
        <v>8988270</v>
      </c>
      <c r="E61" s="89">
        <f t="shared" si="8"/>
        <v>8664800</v>
      </c>
      <c r="F61" s="89">
        <f t="shared" si="8"/>
        <v>8504760</v>
      </c>
      <c r="G61" s="89">
        <f t="shared" si="8"/>
        <v>8316150</v>
      </c>
      <c r="H61" s="89">
        <f t="shared" si="8"/>
        <v>7653970</v>
      </c>
      <c r="I61" s="89">
        <f t="shared" si="8"/>
        <v>8045220</v>
      </c>
      <c r="J61" s="89">
        <f t="shared" si="8"/>
        <v>7701900</v>
      </c>
      <c r="K61" s="89">
        <f t="shared" si="8"/>
        <v>7292010</v>
      </c>
      <c r="L61" s="89">
        <f t="shared" si="8"/>
        <v>7441550</v>
      </c>
    </row>
    <row r="62" spans="1:12" x14ac:dyDescent="0.25">
      <c r="A62" t="s">
        <v>124</v>
      </c>
      <c r="B62" s="88">
        <f t="shared" ref="B62:L62" si="9">B57/8760</f>
        <v>1027.3972602739725</v>
      </c>
      <c r="C62" s="88">
        <f t="shared" si="9"/>
        <v>1004.566210045662</v>
      </c>
      <c r="D62" s="88">
        <f t="shared" si="9"/>
        <v>993.15068493150682</v>
      </c>
      <c r="E62" s="88">
        <f t="shared" si="9"/>
        <v>970.31963470319636</v>
      </c>
      <c r="F62" s="88">
        <f t="shared" si="9"/>
        <v>947.4885844748859</v>
      </c>
      <c r="G62" s="88">
        <f t="shared" si="9"/>
        <v>958.90410958904113</v>
      </c>
      <c r="H62" s="88">
        <f t="shared" si="9"/>
        <v>936.07305936073055</v>
      </c>
      <c r="I62" s="88">
        <f t="shared" si="9"/>
        <v>913.24200913242009</v>
      </c>
      <c r="J62" s="88">
        <f t="shared" si="9"/>
        <v>936.07305936073055</v>
      </c>
      <c r="K62" s="88">
        <f t="shared" si="9"/>
        <v>924.65753424657532</v>
      </c>
      <c r="L62" s="88">
        <f t="shared" si="9"/>
        <v>913.24200913242009</v>
      </c>
    </row>
    <row r="63" spans="1:12" x14ac:dyDescent="0.25">
      <c r="A63" t="s">
        <v>273</v>
      </c>
      <c r="B63" s="88">
        <f>B62/'Game Assumptions'!$B$75</f>
        <v>2054.794520547945</v>
      </c>
      <c r="C63" s="88">
        <f>C62/'Game Assumptions'!$B$75</f>
        <v>2009.1324200913241</v>
      </c>
      <c r="D63" s="88">
        <f>D62/'Game Assumptions'!$B$75</f>
        <v>1986.3013698630136</v>
      </c>
      <c r="E63" s="88">
        <f>E62/'Game Assumptions'!$B$75</f>
        <v>1940.6392694063927</v>
      </c>
      <c r="F63" s="88">
        <f>F62/'Game Assumptions'!$B$75</f>
        <v>1894.9771689497718</v>
      </c>
      <c r="G63" s="88">
        <f>G62/'Game Assumptions'!$B$75</f>
        <v>1917.8082191780823</v>
      </c>
      <c r="H63" s="88">
        <f>H62/'Game Assumptions'!$B$75</f>
        <v>1872.1461187214611</v>
      </c>
      <c r="I63" s="88">
        <f>I62/'Game Assumptions'!$B$75</f>
        <v>1826.4840182648402</v>
      </c>
      <c r="J63" s="88">
        <f>J62/'Game Assumptions'!$B$75</f>
        <v>1872.1461187214611</v>
      </c>
      <c r="K63" s="88">
        <f>K62/'Game Assumptions'!$B$75</f>
        <v>1849.3150684931506</v>
      </c>
      <c r="L63" s="88">
        <f>L62/'Game Assumptions'!$B$75</f>
        <v>1826.4840182648402</v>
      </c>
    </row>
    <row r="64" spans="1:12" x14ac:dyDescent="0.25">
      <c r="A64" t="s">
        <v>274</v>
      </c>
      <c r="B64" s="88">
        <v>0</v>
      </c>
      <c r="C64" s="88">
        <f>IF('Event Tracker'!C5=1,'Resource Mix and Demand'!C63*'Game Assumptions'!$B$77*'Game Assumptions'!$G$93,0)</f>
        <v>0</v>
      </c>
      <c r="D64" s="88">
        <f>IF('Event Tracker'!D5=1,'Resource Mix and Demand'!D63*'Game Assumptions'!$B$77*'Game Assumptions'!$G$93,0)</f>
        <v>0</v>
      </c>
      <c r="E64" s="88">
        <f>IF('Event Tracker'!E5=1,'Resource Mix and Demand'!E63*'Game Assumptions'!$B$77*'Game Assumptions'!$G$93,0)</f>
        <v>0</v>
      </c>
      <c r="F64" s="88">
        <f>IF('Event Tracker'!F5=1,'Resource Mix and Demand'!F63*'Game Assumptions'!$B$77*'Game Assumptions'!$G$93,0)</f>
        <v>0</v>
      </c>
      <c r="G64" s="88">
        <f>IF('Event Tracker'!G5=1,'Resource Mix and Demand'!G63*'Game Assumptions'!$B$77*'Game Assumptions'!$G$93,0)</f>
        <v>0</v>
      </c>
      <c r="H64" s="88">
        <f>IF('Event Tracker'!H5=1,'Resource Mix and Demand'!H63*'Game Assumptions'!$B$77*'Game Assumptions'!$G$93,0)</f>
        <v>0</v>
      </c>
      <c r="I64" s="88">
        <f>IF('Event Tracker'!I5=1,'Resource Mix and Demand'!I63*'Game Assumptions'!$B$77*'Game Assumptions'!$G$93,0)</f>
        <v>0</v>
      </c>
      <c r="J64" s="88">
        <f>IF('Event Tracker'!J5=1,'Resource Mix and Demand'!J63*'Game Assumptions'!$B$77*'Game Assumptions'!$G$93,0)</f>
        <v>0</v>
      </c>
      <c r="K64" s="88">
        <f>IF('Event Tracker'!K5=1,'Resource Mix and Demand'!K63*'Game Assumptions'!$B$77*'Game Assumptions'!$G$93,0)</f>
        <v>0</v>
      </c>
      <c r="L64" s="88">
        <f>IF('Event Tracker'!L5=1,'Resource Mix and Demand'!L63*'Game Assumptions'!$B$77*'Game Assumptions'!$G$93,0)</f>
        <v>0</v>
      </c>
    </row>
    <row r="65" spans="1:12" x14ac:dyDescent="0.25">
      <c r="B65" s="88"/>
      <c r="C65" s="88"/>
      <c r="D65" s="88"/>
      <c r="E65" s="88"/>
      <c r="F65" s="88"/>
      <c r="G65" s="88"/>
      <c r="H65" s="88"/>
      <c r="I65" s="88"/>
      <c r="J65" s="88"/>
      <c r="K65" s="88"/>
      <c r="L65" s="88"/>
    </row>
    <row r="66" spans="1:12" x14ac:dyDescent="0.25">
      <c r="B66" s="88"/>
      <c r="C66" s="88"/>
      <c r="D66" s="88"/>
      <c r="E66" s="88"/>
      <c r="F66" s="88"/>
      <c r="G66" s="88"/>
      <c r="H66" s="88"/>
      <c r="I66" s="88"/>
      <c r="J66" s="88"/>
      <c r="K66" s="88"/>
      <c r="L66" s="88"/>
    </row>
    <row r="67" spans="1:12" x14ac:dyDescent="0.25">
      <c r="B67" s="88"/>
      <c r="C67" s="88"/>
      <c r="D67" s="88"/>
      <c r="E67" s="88"/>
      <c r="F67" s="88"/>
      <c r="G67" s="88"/>
      <c r="H67" s="88"/>
      <c r="I67" s="88"/>
      <c r="J67" s="88"/>
      <c r="K67" s="88"/>
      <c r="L67" s="88"/>
    </row>
    <row r="80" spans="1:12" x14ac:dyDescent="0.25">
      <c r="A80" s="6"/>
    </row>
    <row r="83" spans="1:1" x14ac:dyDescent="0.25">
      <c r="A83" s="7"/>
    </row>
  </sheetData>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6"/>
  </sheetPr>
  <dimension ref="A1:N171"/>
  <sheetViews>
    <sheetView topLeftCell="A47" zoomScale="85" zoomScaleNormal="85" workbookViewId="0">
      <selection activeCell="L5" sqref="L5"/>
    </sheetView>
  </sheetViews>
  <sheetFormatPr defaultRowHeight="15" x14ac:dyDescent="0.25"/>
  <cols>
    <col min="1" max="1" width="35" bestFit="1"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8">
        <f>'Resource Mix and Demand'!B46</f>
        <v>2628000</v>
      </c>
      <c r="C2" s="88">
        <f>'Resource Mix and Demand'!C46</f>
        <v>1051200</v>
      </c>
      <c r="D2" s="88">
        <f>'Resource Mix and Demand'!D46</f>
        <v>1051200</v>
      </c>
      <c r="E2" s="88">
        <f>'Resource Mix and Demand'!E46</f>
        <v>1051200</v>
      </c>
      <c r="F2" s="88">
        <f>'Resource Mix and Demand'!F46</f>
        <v>1051200</v>
      </c>
      <c r="G2" s="88">
        <f>'Resource Mix and Demand'!G46</f>
        <v>525600</v>
      </c>
      <c r="H2" s="88">
        <f>'Resource Mix and Demand'!H46</f>
        <v>525600</v>
      </c>
      <c r="I2" s="88">
        <f>'Resource Mix and Demand'!I46</f>
        <v>525600</v>
      </c>
      <c r="J2" s="88">
        <f>'Resource Mix and Demand'!J46</f>
        <v>525600</v>
      </c>
      <c r="K2" s="88">
        <f>'Resource Mix and Demand'!K46</f>
        <v>525600</v>
      </c>
      <c r="L2" s="88">
        <f>'Resource Mix and Demand'!L46</f>
        <v>525600</v>
      </c>
    </row>
    <row r="3" spans="1:14" x14ac:dyDescent="0.25">
      <c r="A3" t="s">
        <v>8</v>
      </c>
      <c r="B3" s="88">
        <f>'Resource Mix and Demand'!B47</f>
        <v>4204800</v>
      </c>
      <c r="C3" s="88">
        <f>'Resource Mix and Demand'!C47</f>
        <v>4204800</v>
      </c>
      <c r="D3" s="88">
        <f>'Resource Mix and Demand'!D47</f>
        <v>4204800</v>
      </c>
      <c r="E3" s="88">
        <f>'Resource Mix and Demand'!E47</f>
        <v>4204800</v>
      </c>
      <c r="F3" s="88">
        <f>'Resource Mix and Demand'!F47</f>
        <v>4204800</v>
      </c>
      <c r="G3" s="88">
        <f>'Resource Mix and Demand'!G47</f>
        <v>4204800</v>
      </c>
      <c r="H3" s="88">
        <f>'Resource Mix and Demand'!H47</f>
        <v>4204800</v>
      </c>
      <c r="I3" s="88">
        <f>'Resource Mix and Demand'!I47</f>
        <v>4204800</v>
      </c>
      <c r="J3" s="88">
        <f>'Resource Mix and Demand'!J47</f>
        <v>4204800</v>
      </c>
      <c r="K3" s="88">
        <f>'Resource Mix and Demand'!K47</f>
        <v>4204800</v>
      </c>
      <c r="L3" s="88">
        <f>'Resource Mix and Demand'!L47</f>
        <v>4204800</v>
      </c>
    </row>
    <row r="4" spans="1:14" x14ac:dyDescent="0.25">
      <c r="A4" t="s">
        <v>13</v>
      </c>
      <c r="B4" s="88">
        <f>'Resource Mix and Demand'!B48</f>
        <v>3942000</v>
      </c>
      <c r="C4" s="88">
        <f>'Resource Mix and Demand'!C48</f>
        <v>3942000</v>
      </c>
      <c r="D4" s="88">
        <f>'Resource Mix and Demand'!D48</f>
        <v>3942000</v>
      </c>
      <c r="E4" s="88">
        <f>'Resource Mix and Demand'!E48</f>
        <v>0</v>
      </c>
      <c r="F4" s="88">
        <f>'Resource Mix and Demand'!F48</f>
        <v>0</v>
      </c>
      <c r="G4" s="88">
        <f>'Resource Mix and Demand'!G48</f>
        <v>0</v>
      </c>
      <c r="H4" s="88">
        <f>'Resource Mix and Demand'!H48</f>
        <v>0</v>
      </c>
      <c r="I4" s="88">
        <f>'Resource Mix and Demand'!I48</f>
        <v>0</v>
      </c>
      <c r="J4" s="88">
        <f>'Resource Mix and Demand'!J48</f>
        <v>0</v>
      </c>
      <c r="K4" s="88">
        <f>'Resource Mix and Demand'!K48</f>
        <v>0</v>
      </c>
      <c r="L4" s="88">
        <f>'Resource Mix and Demand'!L48</f>
        <v>0</v>
      </c>
    </row>
    <row r="5" spans="1:14" x14ac:dyDescent="0.25">
      <c r="A5" t="s">
        <v>9</v>
      </c>
      <c r="B5" s="88">
        <f>'Resource Mix and Demand'!B49</f>
        <v>65700</v>
      </c>
      <c r="C5" s="88">
        <f>'Resource Mix and Demand'!C49</f>
        <v>65700</v>
      </c>
      <c r="D5" s="88">
        <f>'Resource Mix and Demand'!D49</f>
        <v>65700</v>
      </c>
      <c r="E5" s="88">
        <f>'Resource Mix and Demand'!E49</f>
        <v>65700</v>
      </c>
      <c r="F5" s="88">
        <f>'Resource Mix and Demand'!F49</f>
        <v>65700</v>
      </c>
      <c r="G5" s="88">
        <f>'Resource Mix and Demand'!G49</f>
        <v>65700</v>
      </c>
      <c r="H5" s="88">
        <f>'Resource Mix and Demand'!H49</f>
        <v>65700</v>
      </c>
      <c r="I5" s="88">
        <f>'Resource Mix and Demand'!I49</f>
        <v>65700</v>
      </c>
      <c r="J5" s="88">
        <f>'Resource Mix and Demand'!J49</f>
        <v>65700</v>
      </c>
      <c r="K5" s="88">
        <f>'Resource Mix and Demand'!K49</f>
        <v>65700</v>
      </c>
      <c r="L5" s="88">
        <f>'Resource Mix and Demand'!L49</f>
        <v>65700</v>
      </c>
    </row>
    <row r="6" spans="1:14" x14ac:dyDescent="0.25">
      <c r="A6" t="s">
        <v>10</v>
      </c>
      <c r="B6" s="88">
        <f>'Resource Mix and Demand'!B50</f>
        <v>78840</v>
      </c>
      <c r="C6" s="88">
        <f>'Resource Mix and Demand'!C50</f>
        <v>78840</v>
      </c>
      <c r="D6" s="88">
        <f>'Resource Mix and Demand'!D50</f>
        <v>78840</v>
      </c>
      <c r="E6" s="88">
        <f>'Resource Mix and Demand'!E50</f>
        <v>78840</v>
      </c>
      <c r="F6" s="88">
        <f>'Resource Mix and Demand'!F50</f>
        <v>78840</v>
      </c>
      <c r="G6" s="88">
        <f>'Resource Mix and Demand'!G50</f>
        <v>78840</v>
      </c>
      <c r="H6" s="88">
        <f>'Resource Mix and Demand'!H50</f>
        <v>78840</v>
      </c>
      <c r="I6" s="88">
        <f>'Resource Mix and Demand'!I50</f>
        <v>78840</v>
      </c>
      <c r="J6" s="88">
        <f>'Resource Mix and Demand'!J50</f>
        <v>78840</v>
      </c>
      <c r="K6" s="88">
        <f>'Resource Mix and Demand'!K50</f>
        <v>78840</v>
      </c>
      <c r="L6" s="88">
        <f>'Resource Mix and Demand'!L50</f>
        <v>78840</v>
      </c>
    </row>
    <row r="7" spans="1:14" x14ac:dyDescent="0.25">
      <c r="A7" t="s">
        <v>11</v>
      </c>
      <c r="B7" s="88">
        <f>'Resource Mix and Demand'!B51</f>
        <v>157680</v>
      </c>
      <c r="C7" s="88">
        <f>'Resource Mix and Demand'!C51</f>
        <v>157680</v>
      </c>
      <c r="D7" s="88">
        <f>'Resource Mix and Demand'!D51</f>
        <v>157680</v>
      </c>
      <c r="E7" s="88">
        <f>'Resource Mix and Demand'!E51</f>
        <v>157680</v>
      </c>
      <c r="F7" s="88">
        <f>'Resource Mix and Demand'!F51</f>
        <v>157680</v>
      </c>
      <c r="G7" s="88">
        <f>'Resource Mix and Demand'!G51</f>
        <v>157680</v>
      </c>
      <c r="H7" s="88">
        <f>'Resource Mix and Demand'!H51</f>
        <v>157680</v>
      </c>
      <c r="I7" s="88">
        <f>'Resource Mix and Demand'!I51</f>
        <v>157680</v>
      </c>
      <c r="J7" s="88">
        <f>'Resource Mix and Demand'!J51</f>
        <v>157680</v>
      </c>
      <c r="K7" s="88">
        <f>'Resource Mix and Demand'!K51</f>
        <v>157680</v>
      </c>
      <c r="L7" s="88">
        <f>'Resource Mix and Demand'!L51</f>
        <v>157680</v>
      </c>
    </row>
    <row r="8" spans="1:14" x14ac:dyDescent="0.25">
      <c r="A8" t="s">
        <v>296</v>
      </c>
      <c r="B8" s="88">
        <f>'Resource Mix and Demand'!B52</f>
        <v>87600</v>
      </c>
      <c r="C8" s="88">
        <f>'Resource Mix and Demand'!C52</f>
        <v>87600</v>
      </c>
      <c r="D8" s="88">
        <f>'Resource Mix and Demand'!D52</f>
        <v>87600</v>
      </c>
      <c r="E8" s="88">
        <f>'Resource Mix and Demand'!E52</f>
        <v>87600</v>
      </c>
      <c r="F8" s="88">
        <f>'Resource Mix and Demand'!F52</f>
        <v>87600</v>
      </c>
      <c r="G8" s="88">
        <f>'Resource Mix and Demand'!G52</f>
        <v>87600</v>
      </c>
      <c r="H8" s="88">
        <f>'Resource Mix and Demand'!H52</f>
        <v>87600</v>
      </c>
      <c r="I8" s="88">
        <f>'Resource Mix and Demand'!I52</f>
        <v>87600</v>
      </c>
      <c r="J8" s="88">
        <f>'Resource Mix and Demand'!J52</f>
        <v>87600</v>
      </c>
      <c r="K8" s="88">
        <f>'Resource Mix and Demand'!K52</f>
        <v>87600</v>
      </c>
      <c r="L8" s="88">
        <f>'Resource Mix and Demand'!L52</f>
        <v>87600</v>
      </c>
    </row>
    <row r="10" spans="1:14" x14ac:dyDescent="0.25">
      <c r="A10" s="9" t="s">
        <v>20</v>
      </c>
      <c r="B10" s="9">
        <v>0</v>
      </c>
      <c r="C10" s="9">
        <v>1</v>
      </c>
      <c r="D10" s="9">
        <v>2</v>
      </c>
      <c r="E10" s="9">
        <v>3</v>
      </c>
      <c r="F10" s="9">
        <v>4</v>
      </c>
      <c r="G10" s="9">
        <v>5</v>
      </c>
      <c r="H10" s="9">
        <v>6</v>
      </c>
      <c r="I10" s="9">
        <v>7</v>
      </c>
      <c r="J10" s="9">
        <v>8</v>
      </c>
      <c r="K10" s="9">
        <v>9</v>
      </c>
      <c r="L10" s="9">
        <v>10</v>
      </c>
    </row>
    <row r="11" spans="1:14" x14ac:dyDescent="0.25">
      <c r="A11" t="s">
        <v>21</v>
      </c>
      <c r="B11" s="15">
        <f>IF(INDEX('Event Tracker'!$B$12:$L$12,1,MATCH(Dispatch!B10,'Event Tracker'!$B$9:$L$9,0))=0,0,IF(INDEX('Event Tracker'!$B$12:$L$12,1,MATCH(Dispatch!B10,'Event Tracker'!$B$9:$L$9,0))=1,IF(INDEX('Event Tracker'!$B$12:$L$12,1,MATCH(Dispatch!B10,'Event Tracker'!$B$9:$L$9,0)-1)=0,0,'Game Assumptions'!$B$23+Dispatch!A11)))</f>
        <v>0</v>
      </c>
      <c r="C11" s="15">
        <f>IF(INDEX('Event Tracker'!$B$12:$L$12,1,MATCH(Dispatch!C10,'Event Tracker'!$B$9:$L$9,0))=0,0,IF(INDEX('Event Tracker'!$B$12:$L$12,1,MATCH(Dispatch!C10,'Event Tracker'!$B$9:$L$9,0))=1,IF(INDEX('Event Tracker'!$B$12:$L$12,1,MATCH(Dispatch!C10,'Event Tracker'!$B$9:$L$9,0)-1)=0,0,5+Dispatch!B11)))</f>
        <v>0</v>
      </c>
      <c r="D11" s="15">
        <f>IF(INDEX('Event Tracker'!$B$12:$L$12,1,MATCH(Dispatch!D10,'Event Tracker'!$B$9:$L$9,0))=0,0,IF(INDEX('Event Tracker'!$B$12:$L$12,1,MATCH(Dispatch!D10,'Event Tracker'!$B$9:$L$9,0))=1,IF(INDEX('Event Tracker'!$B$12:$L$12,1,MATCH(Dispatch!D10,'Event Tracker'!$B$9:$L$9,0)-1)=0,0,5+Dispatch!C11)))</f>
        <v>0</v>
      </c>
      <c r="E11" s="15">
        <f>IF(INDEX('Event Tracker'!$B$12:$L$12,1,MATCH(Dispatch!E10,'Event Tracker'!$B$9:$L$9,0))=0,0,IF(INDEX('Event Tracker'!$B$12:$L$12,1,MATCH(Dispatch!E10,'Event Tracker'!$B$9:$L$9,0))=1,IF(INDEX('Event Tracker'!$B$12:$L$12,1,MATCH(Dispatch!E10,'Event Tracker'!$B$9:$L$9,0)-1)=0,0,5+Dispatch!D11)))</f>
        <v>0</v>
      </c>
      <c r="F11" s="15">
        <f>IF(INDEX('Event Tracker'!$B$12:$L$12,1,MATCH(Dispatch!F10,'Event Tracker'!$B$9:$L$9,0))=0,0,IF(INDEX('Event Tracker'!$B$12:$L$12,1,MATCH(Dispatch!F10,'Event Tracker'!$B$9:$L$9,0))=1,IF(INDEX('Event Tracker'!$B$12:$L$12,1,MATCH(Dispatch!F10,'Event Tracker'!$B$9:$L$9,0)-1)=0,0,5+Dispatch!E11)))</f>
        <v>0</v>
      </c>
      <c r="G11" s="15">
        <f>IF(INDEX('Event Tracker'!$B$12:$L$12,1,MATCH(Dispatch!G10,'Event Tracker'!$B$9:$L$9,0))=0,0,IF(INDEX('Event Tracker'!$B$12:$L$12,1,MATCH(Dispatch!G10,'Event Tracker'!$B$9:$L$9,0))=1,IF(INDEX('Event Tracker'!$B$12:$L$12,1,MATCH(Dispatch!G10,'Event Tracker'!$B$9:$L$9,0)-1)=0,0,5+Dispatch!F11)))</f>
        <v>0</v>
      </c>
      <c r="H11" s="15">
        <f>IF(INDEX('Event Tracker'!$B$12:$L$12,1,MATCH(Dispatch!H10,'Event Tracker'!$B$9:$L$9,0))=0,0,IF(INDEX('Event Tracker'!$B$12:$L$12,1,MATCH(Dispatch!H10,'Event Tracker'!$B$9:$L$9,0))=1,IF(INDEX('Event Tracker'!$B$12:$L$12,1,MATCH(Dispatch!H10,'Event Tracker'!$B$9:$L$9,0)-1)=0,0,5+Dispatch!G11)))</f>
        <v>0</v>
      </c>
      <c r="I11" s="15">
        <f>IF(INDEX('Event Tracker'!$B$12:$L$12,1,MATCH(Dispatch!I10,'Event Tracker'!$B$9:$L$9,0))=0,0,IF(INDEX('Event Tracker'!$B$12:$L$12,1,MATCH(Dispatch!I10,'Event Tracker'!$B$9:$L$9,0))=1,IF(INDEX('Event Tracker'!$B$12:$L$12,1,MATCH(Dispatch!I10,'Event Tracker'!$B$9:$L$9,0)-1)=0,0,5+Dispatch!H11)))</f>
        <v>0</v>
      </c>
      <c r="J11" s="15">
        <f>IF(INDEX('Event Tracker'!$B$12:$L$12,1,MATCH(Dispatch!J10,'Event Tracker'!$B$9:$L$9,0))=0,0,IF(INDEX('Event Tracker'!$B$12:$L$12,1,MATCH(Dispatch!J10,'Event Tracker'!$B$9:$L$9,0))=1,IF(INDEX('Event Tracker'!$B$12:$L$12,1,MATCH(Dispatch!J10,'Event Tracker'!$B$9:$L$9,0)-1)=0,0,5+Dispatch!I11)))</f>
        <v>0</v>
      </c>
      <c r="K11" s="15">
        <f>IF(INDEX('Event Tracker'!$B$12:$L$12,1,MATCH(Dispatch!K10,'Event Tracker'!$B$9:$L$9,0))=0,0,IF(INDEX('Event Tracker'!$B$12:$L$12,1,MATCH(Dispatch!K10,'Event Tracker'!$B$9:$L$9,0))=1,IF(INDEX('Event Tracker'!$B$12:$L$12,1,MATCH(Dispatch!K10,'Event Tracker'!$B$9:$L$9,0)-1)=0,0,5+Dispatch!J11)))</f>
        <v>0</v>
      </c>
      <c r="L11" s="15">
        <f>IF(INDEX('Event Tracker'!$B$12:$L$12,1,MATCH(Dispatch!L10,'Event Tracker'!$B$9:$L$9,0))=0,0,IF(INDEX('Event Tracker'!$B$12:$L$12,1,MATCH(Dispatch!L10,'Event Tracker'!$B$9:$L$9,0))=1,IF(INDEX('Event Tracker'!$B$12:$L$12,1,MATCH(Dispatch!L10,'Event Tracker'!$B$9:$L$9,0)-1)=0,0,5+Dispatch!K11)))</f>
        <v>0</v>
      </c>
    </row>
    <row r="13" spans="1:14" x14ac:dyDescent="0.25">
      <c r="A13" s="9" t="s">
        <v>22</v>
      </c>
      <c r="B13" s="9">
        <v>0</v>
      </c>
      <c r="C13" s="9">
        <v>1</v>
      </c>
      <c r="D13" s="9">
        <v>2</v>
      </c>
      <c r="E13" s="9">
        <v>3</v>
      </c>
      <c r="F13" s="9">
        <v>4</v>
      </c>
      <c r="G13" s="9">
        <v>5</v>
      </c>
      <c r="H13" s="9">
        <v>6</v>
      </c>
      <c r="I13" s="9">
        <v>7</v>
      </c>
      <c r="J13" s="9">
        <v>8</v>
      </c>
      <c r="K13" s="9">
        <v>9</v>
      </c>
      <c r="L13" s="9">
        <v>10</v>
      </c>
    </row>
    <row r="14" spans="1:14" x14ac:dyDescent="0.25">
      <c r="A14" t="s">
        <v>7</v>
      </c>
      <c r="B14" s="15">
        <f>B$11*'Game Assumptions'!$K28</f>
        <v>0</v>
      </c>
      <c r="C14" s="15">
        <f>C$11*'Game Assumptions'!$K28</f>
        <v>0</v>
      </c>
      <c r="D14" s="15">
        <f>D$11*'Game Assumptions'!$K28</f>
        <v>0</v>
      </c>
      <c r="E14" s="15">
        <f>E$11*'Game Assumptions'!$K28</f>
        <v>0</v>
      </c>
      <c r="F14" s="15">
        <f>F$11*'Game Assumptions'!$K28</f>
        <v>0</v>
      </c>
      <c r="G14" s="15">
        <f>G$11*'Game Assumptions'!$K28</f>
        <v>0</v>
      </c>
      <c r="H14" s="15">
        <f>H$11*'Game Assumptions'!$K28</f>
        <v>0</v>
      </c>
      <c r="I14" s="15">
        <f>I$11*'Game Assumptions'!$K28</f>
        <v>0</v>
      </c>
      <c r="J14" s="15">
        <f>J$11*'Game Assumptions'!$K28</f>
        <v>0</v>
      </c>
      <c r="K14" s="15">
        <f>K$11*'Game Assumptions'!$K28</f>
        <v>0</v>
      </c>
      <c r="L14" s="15">
        <f>L$11*'Game Assumptions'!$K28</f>
        <v>0</v>
      </c>
    </row>
    <row r="15" spans="1:14" x14ac:dyDescent="0.25">
      <c r="A15" t="s">
        <v>8</v>
      </c>
      <c r="B15" s="15">
        <f>B$11*'Game Assumptions'!$K29</f>
        <v>0</v>
      </c>
      <c r="C15" s="15">
        <f>C$11*'Game Assumptions'!$K29</f>
        <v>0</v>
      </c>
      <c r="D15" s="15">
        <f>D$11*'Game Assumptions'!$K29</f>
        <v>0</v>
      </c>
      <c r="E15" s="15">
        <f>E$11*'Game Assumptions'!$K29</f>
        <v>0</v>
      </c>
      <c r="F15" s="15">
        <f>F$11*'Game Assumptions'!$K29</f>
        <v>0</v>
      </c>
      <c r="G15" s="15">
        <f>G$11*'Game Assumptions'!$K29</f>
        <v>0</v>
      </c>
      <c r="H15" s="15">
        <f>H$11*'Game Assumptions'!$K29</f>
        <v>0</v>
      </c>
      <c r="I15" s="15">
        <f>I$11*'Game Assumptions'!$K29</f>
        <v>0</v>
      </c>
      <c r="J15" s="15">
        <f>J$11*'Game Assumptions'!$K29</f>
        <v>0</v>
      </c>
      <c r="K15" s="15">
        <f>K$11*'Game Assumptions'!$K29</f>
        <v>0</v>
      </c>
      <c r="L15" s="15">
        <f>L$11*'Game Assumptions'!$K29</f>
        <v>0</v>
      </c>
    </row>
    <row r="16" spans="1:14" x14ac:dyDescent="0.25">
      <c r="A16" t="s">
        <v>13</v>
      </c>
      <c r="B16" s="15">
        <f>B$11*'Game Assumptions'!$K30</f>
        <v>0</v>
      </c>
      <c r="C16" s="15">
        <f>C$11*'Game Assumptions'!$K30</f>
        <v>0</v>
      </c>
      <c r="D16" s="15">
        <f>D$11*'Game Assumptions'!$K30</f>
        <v>0</v>
      </c>
      <c r="E16" s="15">
        <f>E$11*'Game Assumptions'!$K30</f>
        <v>0</v>
      </c>
      <c r="F16" s="15">
        <f>F$11*'Game Assumptions'!$K30</f>
        <v>0</v>
      </c>
      <c r="G16" s="15">
        <f>G$11*'Game Assumptions'!$K30</f>
        <v>0</v>
      </c>
      <c r="H16" s="15">
        <f>H$11*'Game Assumptions'!$K30</f>
        <v>0</v>
      </c>
      <c r="I16" s="15">
        <f>I$11*'Game Assumptions'!$K30</f>
        <v>0</v>
      </c>
      <c r="J16" s="15">
        <f>J$11*'Game Assumptions'!$K30</f>
        <v>0</v>
      </c>
      <c r="K16" s="15">
        <f>K$11*'Game Assumptions'!$K30</f>
        <v>0</v>
      </c>
      <c r="L16" s="15">
        <f>L$11*'Game Assumptions'!$K30</f>
        <v>0</v>
      </c>
    </row>
    <row r="17" spans="1:12" x14ac:dyDescent="0.25">
      <c r="A17" t="s">
        <v>9</v>
      </c>
      <c r="B17" s="15">
        <f>B$11*'Game Assumptions'!$K31</f>
        <v>0</v>
      </c>
      <c r="C17" s="15">
        <f>C$11*'Game Assumptions'!$K31</f>
        <v>0</v>
      </c>
      <c r="D17" s="15">
        <f>D$11*'Game Assumptions'!$K31</f>
        <v>0</v>
      </c>
      <c r="E17" s="15">
        <f>E$11*'Game Assumptions'!$K31</f>
        <v>0</v>
      </c>
      <c r="F17" s="15">
        <f>F$11*'Game Assumptions'!$K31</f>
        <v>0</v>
      </c>
      <c r="G17" s="15">
        <f>G$11*'Game Assumptions'!$K31</f>
        <v>0</v>
      </c>
      <c r="H17" s="15">
        <f>H$11*'Game Assumptions'!$K31</f>
        <v>0</v>
      </c>
      <c r="I17" s="15">
        <f>I$11*'Game Assumptions'!$K31</f>
        <v>0</v>
      </c>
      <c r="J17" s="15">
        <f>J$11*'Game Assumptions'!$K31</f>
        <v>0</v>
      </c>
      <c r="K17" s="15">
        <f>K$11*'Game Assumptions'!$K31</f>
        <v>0</v>
      </c>
      <c r="L17" s="15">
        <f>L$11*'Game Assumptions'!$K31</f>
        <v>0</v>
      </c>
    </row>
    <row r="18" spans="1:12" x14ac:dyDescent="0.25">
      <c r="A18" t="s">
        <v>10</v>
      </c>
      <c r="B18" s="15">
        <f>B$11*'Game Assumptions'!$K32</f>
        <v>0</v>
      </c>
      <c r="C18" s="15">
        <f>C$11*'Game Assumptions'!$K32</f>
        <v>0</v>
      </c>
      <c r="D18" s="15">
        <f>D$11*'Game Assumptions'!$K32</f>
        <v>0</v>
      </c>
      <c r="E18" s="15">
        <f>E$11*'Game Assumptions'!$K32</f>
        <v>0</v>
      </c>
      <c r="F18" s="15">
        <f>F$11*'Game Assumptions'!$K32</f>
        <v>0</v>
      </c>
      <c r="G18" s="15">
        <f>G$11*'Game Assumptions'!$K32</f>
        <v>0</v>
      </c>
      <c r="H18" s="15">
        <f>H$11*'Game Assumptions'!$K32</f>
        <v>0</v>
      </c>
      <c r="I18" s="15">
        <f>I$11*'Game Assumptions'!$K32</f>
        <v>0</v>
      </c>
      <c r="J18" s="15">
        <f>J$11*'Game Assumptions'!$K32</f>
        <v>0</v>
      </c>
      <c r="K18" s="15">
        <f>K$11*'Game Assumptions'!$K32</f>
        <v>0</v>
      </c>
      <c r="L18" s="15">
        <f>L$11*'Game Assumptions'!$K32</f>
        <v>0</v>
      </c>
    </row>
    <row r="19" spans="1:12" x14ac:dyDescent="0.25">
      <c r="A19" t="s">
        <v>11</v>
      </c>
      <c r="B19" s="15">
        <f>B$11*'Game Assumptions'!$K33</f>
        <v>0</v>
      </c>
      <c r="C19" s="15">
        <f>C$11*'Game Assumptions'!$K33</f>
        <v>0</v>
      </c>
      <c r="D19" s="15">
        <f>D$11*'Game Assumptions'!$K33</f>
        <v>0</v>
      </c>
      <c r="E19" s="15">
        <f>E$11*'Game Assumptions'!$K33</f>
        <v>0</v>
      </c>
      <c r="F19" s="15">
        <f>F$11*'Game Assumptions'!$K33</f>
        <v>0</v>
      </c>
      <c r="G19" s="15">
        <f>G$11*'Game Assumptions'!$K33</f>
        <v>0</v>
      </c>
      <c r="H19" s="15">
        <f>H$11*'Game Assumptions'!$K33</f>
        <v>0</v>
      </c>
      <c r="I19" s="15">
        <f>I$11*'Game Assumptions'!$K33</f>
        <v>0</v>
      </c>
      <c r="J19" s="15">
        <f>J$11*'Game Assumptions'!$K33</f>
        <v>0</v>
      </c>
      <c r="K19" s="15">
        <f>K$11*'Game Assumptions'!$K33</f>
        <v>0</v>
      </c>
      <c r="L19" s="15">
        <f>L$11*'Game Assumptions'!$K33</f>
        <v>0</v>
      </c>
    </row>
    <row r="20" spans="1:12" x14ac:dyDescent="0.25">
      <c r="A20" t="s">
        <v>296</v>
      </c>
    </row>
    <row r="22" spans="1:12" x14ac:dyDescent="0.25">
      <c r="A22" s="9" t="s">
        <v>318</v>
      </c>
      <c r="B22" s="9">
        <v>0</v>
      </c>
      <c r="C22" s="9">
        <v>1</v>
      </c>
      <c r="D22" s="9">
        <v>2</v>
      </c>
      <c r="E22" s="9">
        <v>3</v>
      </c>
      <c r="F22" s="9">
        <v>4</v>
      </c>
      <c r="G22" s="9">
        <v>5</v>
      </c>
      <c r="H22" s="9">
        <v>6</v>
      </c>
      <c r="I22" s="9">
        <v>7</v>
      </c>
      <c r="J22" s="9">
        <v>8</v>
      </c>
      <c r="K22" s="9">
        <v>9</v>
      </c>
      <c r="L22" s="9">
        <v>10</v>
      </c>
    </row>
    <row r="23" spans="1:12" x14ac:dyDescent="0.25">
      <c r="A23" t="s">
        <v>319</v>
      </c>
      <c r="B23" s="15">
        <f>INDEX('Event Tracker'!$B$11:$L$11,1,MATCH(Dispatch!B22,'Event Tracker'!$B$9:$L$9,0))*'Game Assumptions'!$B$55*'Game Assumptions'!$B$20</f>
        <v>0</v>
      </c>
      <c r="C23" s="15">
        <f>INDEX('Event Tracker'!$B$11:$L$11,1,MATCH(Dispatch!C22,'Event Tracker'!$B$9:$L$9,0))*'Game Assumptions'!$B$55*'Game Assumptions'!$B$20</f>
        <v>0</v>
      </c>
      <c r="D23" s="15">
        <f>INDEX('Event Tracker'!$B$11:$L$11,1,MATCH(Dispatch!D22,'Event Tracker'!$B$9:$L$9,0))*'Game Assumptions'!$B$55*'Game Assumptions'!$B$20</f>
        <v>0</v>
      </c>
      <c r="E23" s="15">
        <f>INDEX('Event Tracker'!$B$11:$L$11,1,MATCH(Dispatch!E22,'Event Tracker'!$B$9:$L$9,0))*'Game Assumptions'!$B$55*'Game Assumptions'!$B$20</f>
        <v>0</v>
      </c>
      <c r="F23" s="15">
        <f>INDEX('Event Tracker'!$B$11:$L$11,1,MATCH(Dispatch!F22,'Event Tracker'!$B$9:$L$9,0))*'Game Assumptions'!$B$55*'Game Assumptions'!$B$20</f>
        <v>0</v>
      </c>
      <c r="G23" s="15">
        <f>INDEX('Event Tracker'!$B$11:$L$11,1,MATCH(Dispatch!G22,'Event Tracker'!$B$9:$L$9,0))*'Game Assumptions'!$B$55*'Game Assumptions'!$B$20</f>
        <v>0</v>
      </c>
      <c r="H23" s="15">
        <f>INDEX('Event Tracker'!$B$11:$L$11,1,MATCH(Dispatch!H22,'Event Tracker'!$B$9:$L$9,0))*'Game Assumptions'!$B$55*'Game Assumptions'!$B$20</f>
        <v>0</v>
      </c>
      <c r="I23" s="15">
        <f>INDEX('Event Tracker'!$B$11:$L$11,1,MATCH(Dispatch!I22,'Event Tracker'!$B$9:$L$9,0))*'Game Assumptions'!$B$55*'Game Assumptions'!$B$20</f>
        <v>0</v>
      </c>
      <c r="J23" s="15">
        <f>INDEX('Event Tracker'!$B$11:$L$11,1,MATCH(Dispatch!J22,'Event Tracker'!$B$9:$L$9,0))*'Game Assumptions'!$B$55*'Game Assumptions'!$B$20</f>
        <v>0</v>
      </c>
      <c r="K23" s="15">
        <f>INDEX('Event Tracker'!$B$11:$L$11,1,MATCH(Dispatch!K22,'Event Tracker'!$B$9:$L$9,0))*'Game Assumptions'!$B$55*'Game Assumptions'!$B$20</f>
        <v>0</v>
      </c>
      <c r="L23" s="15">
        <f>INDEX('Event Tracker'!$B$11:$L$11,1,MATCH(Dispatch!L22,'Event Tracker'!$B$9:$L$9,0))*'Game Assumptions'!$B$55*'Game Assumptions'!$B$20</f>
        <v>0</v>
      </c>
    </row>
    <row r="24" spans="1:12" x14ac:dyDescent="0.25">
      <c r="B24" s="15"/>
      <c r="C24" s="15"/>
      <c r="D24" s="15"/>
      <c r="E24" s="15"/>
      <c r="F24" s="15"/>
      <c r="G24" s="15"/>
      <c r="H24" s="15"/>
      <c r="I24" s="15"/>
      <c r="J24" s="15"/>
      <c r="K24" s="15"/>
      <c r="L24" s="15"/>
    </row>
    <row r="25" spans="1:12" x14ac:dyDescent="0.25">
      <c r="A25" s="9" t="s">
        <v>161</v>
      </c>
      <c r="B25" s="9">
        <v>0</v>
      </c>
      <c r="C25" s="9">
        <v>1</v>
      </c>
      <c r="D25" s="9">
        <v>2</v>
      </c>
      <c r="E25" s="9">
        <v>3</v>
      </c>
      <c r="F25" s="9">
        <v>4</v>
      </c>
      <c r="G25" s="9">
        <v>5</v>
      </c>
      <c r="H25" s="9">
        <v>6</v>
      </c>
      <c r="I25" s="9">
        <v>7</v>
      </c>
      <c r="J25" s="9">
        <v>8</v>
      </c>
      <c r="K25" s="9">
        <v>9</v>
      </c>
      <c r="L25" s="9">
        <v>10</v>
      </c>
    </row>
    <row r="26" spans="1:12" x14ac:dyDescent="0.25">
      <c r="A26" t="s">
        <v>7</v>
      </c>
      <c r="B26" s="49">
        <f>'Game Assumptions'!$G41+'Game Assumptions'!B68*'Game Assumptions'!$B54</f>
        <v>28.747499999999999</v>
      </c>
      <c r="C26" s="49">
        <f>'Game Assumptions'!$G41+'Game Assumptions'!C68*'Game Assumptions'!$B54</f>
        <v>28.021249999999998</v>
      </c>
      <c r="D26" s="49">
        <f>'Game Assumptions'!$G41+'Game Assumptions'!D68*'Game Assumptions'!$B54</f>
        <v>27.917499999999997</v>
      </c>
      <c r="E26" s="49">
        <f>'Game Assumptions'!$G41+'Game Assumptions'!E68*'Game Assumptions'!$B54</f>
        <v>27.813749999999999</v>
      </c>
      <c r="F26" s="49">
        <f>'Game Assumptions'!$G41+'Game Assumptions'!F68*'Game Assumptions'!$B54</f>
        <v>28.021249999999998</v>
      </c>
      <c r="G26" s="49">
        <f>'Game Assumptions'!$G41+'Game Assumptions'!G68*'Game Assumptions'!$B54</f>
        <v>28.332499999999996</v>
      </c>
      <c r="H26" s="49">
        <f>'Game Assumptions'!$G41+'Game Assumptions'!H68*'Game Assumptions'!$B54</f>
        <v>28.747499999999999</v>
      </c>
      <c r="I26" s="49">
        <f>'Game Assumptions'!$G41+'Game Assumptions'!I68*'Game Assumptions'!$B54</f>
        <v>29.162499999999998</v>
      </c>
      <c r="J26" s="49">
        <f>'Game Assumptions'!$G41+'Game Assumptions'!J68*'Game Assumptions'!$B54</f>
        <v>29.577499999999997</v>
      </c>
      <c r="K26" s="49">
        <f>'Game Assumptions'!$G41+'Game Assumptions'!K68*'Game Assumptions'!$B54</f>
        <v>29.888750000000002</v>
      </c>
      <c r="L26" s="49">
        <f>'Game Assumptions'!$G41+'Game Assumptions'!L68*'Game Assumptions'!$B54</f>
        <v>30.2</v>
      </c>
    </row>
    <row r="27" spans="1:12" x14ac:dyDescent="0.25">
      <c r="A27" t="s">
        <v>8</v>
      </c>
      <c r="B27" s="49">
        <f>'Game Assumptions'!$G42+'Game Assumptions'!B69*'Game Assumptions'!$B55+B23</f>
        <v>36.550000000000004</v>
      </c>
      <c r="C27" s="49">
        <f>'Game Assumptions'!$G42+'Game Assumptions'!C69*'Game Assumptions'!$B55+C23</f>
        <v>40.902000000000001</v>
      </c>
      <c r="D27" s="49">
        <f>'Game Assumptions'!$G42+'Game Assumptions'!D69*'Game Assumptions'!$B55+D23</f>
        <v>36.414000000000001</v>
      </c>
      <c r="E27" s="49">
        <f>'Game Assumptions'!$G42+'Game Assumptions'!E69*'Game Assumptions'!$B55+E23</f>
        <v>36.686</v>
      </c>
      <c r="F27" s="49">
        <f>'Game Assumptions'!$G42+'Game Assumptions'!F69*'Game Assumptions'!$B55+F23</f>
        <v>36.550000000000004</v>
      </c>
      <c r="G27" s="49">
        <f>'Game Assumptions'!$G42+'Game Assumptions'!G69*'Game Assumptions'!$B55+G23</f>
        <v>37.434000000000005</v>
      </c>
      <c r="H27" s="49">
        <f>'Game Assumptions'!$G42+'Game Assumptions'!H69*'Game Assumptions'!$B55+H23</f>
        <v>40.358000000000004</v>
      </c>
      <c r="I27" s="49">
        <f>'Game Assumptions'!$G42+'Game Assumptions'!I69*'Game Assumptions'!$B55+I23</f>
        <v>43.281999999999996</v>
      </c>
      <c r="J27" s="49">
        <f>'Game Assumptions'!$G42+'Game Assumptions'!J69*'Game Assumptions'!$B55+J23</f>
        <v>45.050000000000004</v>
      </c>
      <c r="K27" s="49">
        <f>'Game Assumptions'!$G42+'Game Assumptions'!K69*'Game Assumptions'!$B55+K23</f>
        <v>46.07</v>
      </c>
      <c r="L27" s="49">
        <f>'Game Assumptions'!$G42+'Game Assumptions'!L69*'Game Assumptions'!$B55+L23</f>
        <v>47.225999999999999</v>
      </c>
    </row>
    <row r="28" spans="1:12" x14ac:dyDescent="0.25">
      <c r="A28" t="s">
        <v>13</v>
      </c>
      <c r="B28" s="49">
        <f>'Game Assumptions'!$G43+'Game Assumptions'!B70*'Game Assumptions'!$B56</f>
        <v>11.022499999999999</v>
      </c>
      <c r="C28" s="49">
        <f>'Game Assumptions'!$G43+'Game Assumptions'!C70*'Game Assumptions'!$B56</f>
        <v>11.022499999999999</v>
      </c>
      <c r="D28" s="49">
        <f>'Game Assumptions'!$G43+'Game Assumptions'!D70*'Game Assumptions'!$B56</f>
        <v>11.022499999999999</v>
      </c>
      <c r="E28" s="49">
        <f>'Game Assumptions'!$G43+'Game Assumptions'!E70*'Game Assumptions'!$B56</f>
        <v>11.022499999999999</v>
      </c>
      <c r="F28" s="49">
        <f>'Game Assumptions'!$G43+'Game Assumptions'!F70*'Game Assumptions'!$B56</f>
        <v>11.022499999999999</v>
      </c>
      <c r="G28" s="49">
        <f>'Game Assumptions'!$G43+'Game Assumptions'!G70*'Game Assumptions'!$B56</f>
        <v>11.022499999999999</v>
      </c>
      <c r="H28" s="49">
        <f>'Game Assumptions'!$G43+'Game Assumptions'!H70*'Game Assumptions'!$B56</f>
        <v>11.022499999999999</v>
      </c>
      <c r="I28" s="49">
        <f>'Game Assumptions'!$G43+'Game Assumptions'!I70*'Game Assumptions'!$B56</f>
        <v>11.022499999999999</v>
      </c>
      <c r="J28" s="49">
        <f>'Game Assumptions'!$G43+'Game Assumptions'!J70*'Game Assumptions'!$B56</f>
        <v>11.022499999999999</v>
      </c>
      <c r="K28" s="49">
        <f>'Game Assumptions'!$G43+'Game Assumptions'!K70*'Game Assumptions'!$B56</f>
        <v>11.022499999999999</v>
      </c>
      <c r="L28" s="49">
        <f>'Game Assumptions'!$G43+'Game Assumptions'!L70*'Game Assumptions'!$B56</f>
        <v>11.022499999999999</v>
      </c>
    </row>
    <row r="29" spans="1:12" x14ac:dyDescent="0.25">
      <c r="A29" t="s">
        <v>9</v>
      </c>
      <c r="B29" s="49">
        <f>'Game Assumptions'!$G44</f>
        <v>0.01</v>
      </c>
      <c r="C29" s="49">
        <f>'Game Assumptions'!$G44</f>
        <v>0.01</v>
      </c>
      <c r="D29" s="49">
        <f>'Game Assumptions'!$G44</f>
        <v>0.01</v>
      </c>
      <c r="E29" s="49">
        <f>'Game Assumptions'!$G44</f>
        <v>0.01</v>
      </c>
      <c r="F29" s="49">
        <f>'Game Assumptions'!$G44</f>
        <v>0.01</v>
      </c>
      <c r="G29" s="49">
        <f>'Game Assumptions'!$G44</f>
        <v>0.01</v>
      </c>
      <c r="H29" s="49">
        <f>'Game Assumptions'!$G44</f>
        <v>0.01</v>
      </c>
      <c r="I29" s="49">
        <f>'Game Assumptions'!$G44</f>
        <v>0.01</v>
      </c>
      <c r="J29" s="49">
        <f>'Game Assumptions'!$G44</f>
        <v>0.01</v>
      </c>
      <c r="K29" s="49">
        <f>'Game Assumptions'!$G44</f>
        <v>0.01</v>
      </c>
      <c r="L29" s="49">
        <f>'Game Assumptions'!$G44</f>
        <v>0.01</v>
      </c>
    </row>
    <row r="30" spans="1:12" x14ac:dyDescent="0.25">
      <c r="A30" t="s">
        <v>10</v>
      </c>
      <c r="B30" s="49">
        <f>'Game Assumptions'!$G45</f>
        <v>0.02</v>
      </c>
      <c r="C30" s="49">
        <f>'Game Assumptions'!$G45</f>
        <v>0.02</v>
      </c>
      <c r="D30" s="49">
        <f>'Game Assumptions'!$G45</f>
        <v>0.02</v>
      </c>
      <c r="E30" s="49">
        <f>'Game Assumptions'!$G45</f>
        <v>0.02</v>
      </c>
      <c r="F30" s="49">
        <f>'Game Assumptions'!$G45</f>
        <v>0.02</v>
      </c>
      <c r="G30" s="49">
        <f>'Game Assumptions'!$G45</f>
        <v>0.02</v>
      </c>
      <c r="H30" s="49">
        <f>'Game Assumptions'!$G45</f>
        <v>0.02</v>
      </c>
      <c r="I30" s="49">
        <f>'Game Assumptions'!$G45</f>
        <v>0.02</v>
      </c>
      <c r="J30" s="49">
        <f>'Game Assumptions'!$G45</f>
        <v>0.02</v>
      </c>
      <c r="K30" s="49">
        <f>'Game Assumptions'!$G45</f>
        <v>0.02</v>
      </c>
      <c r="L30" s="49">
        <f>'Game Assumptions'!$G45</f>
        <v>0.02</v>
      </c>
    </row>
    <row r="31" spans="1:12" x14ac:dyDescent="0.25">
      <c r="A31" t="s">
        <v>11</v>
      </c>
      <c r="B31" s="49">
        <f>'Game Assumptions'!$G46</f>
        <v>7</v>
      </c>
      <c r="C31" s="49">
        <f>'Game Assumptions'!$G46</f>
        <v>7</v>
      </c>
      <c r="D31" s="49">
        <f>'Game Assumptions'!$G46</f>
        <v>7</v>
      </c>
      <c r="E31" s="49">
        <f>'Game Assumptions'!$G46</f>
        <v>7</v>
      </c>
      <c r="F31" s="49">
        <f>'Game Assumptions'!$G46</f>
        <v>7</v>
      </c>
      <c r="G31" s="49">
        <f>'Game Assumptions'!$G46</f>
        <v>7</v>
      </c>
      <c r="H31" s="49">
        <f>'Game Assumptions'!$G46</f>
        <v>7</v>
      </c>
      <c r="I31" s="49">
        <f>'Game Assumptions'!$G46</f>
        <v>7</v>
      </c>
      <c r="J31" s="49">
        <f>'Game Assumptions'!$G46</f>
        <v>7</v>
      </c>
      <c r="K31" s="49">
        <f>'Game Assumptions'!$G46</f>
        <v>7</v>
      </c>
      <c r="L31" s="49">
        <f>'Game Assumptions'!$G46</f>
        <v>7</v>
      </c>
    </row>
    <row r="32" spans="1:12" x14ac:dyDescent="0.25">
      <c r="A32" t="s">
        <v>296</v>
      </c>
      <c r="B32" s="49">
        <f>'Game Assumptions'!$G47</f>
        <v>0</v>
      </c>
      <c r="C32" s="49">
        <f>'Game Assumptions'!$G47</f>
        <v>0</v>
      </c>
      <c r="D32" s="49">
        <f>'Game Assumptions'!$G47</f>
        <v>0</v>
      </c>
      <c r="E32" s="49">
        <f>'Game Assumptions'!$G47</f>
        <v>0</v>
      </c>
      <c r="F32" s="49">
        <f>'Game Assumptions'!$G47</f>
        <v>0</v>
      </c>
      <c r="G32" s="49">
        <f>'Game Assumptions'!$G47</f>
        <v>0</v>
      </c>
      <c r="H32" s="49">
        <f>'Game Assumptions'!$G47</f>
        <v>0</v>
      </c>
      <c r="I32" s="49">
        <f>'Game Assumptions'!$G47</f>
        <v>0</v>
      </c>
      <c r="J32" s="49">
        <f>'Game Assumptions'!$G47</f>
        <v>0</v>
      </c>
      <c r="K32" s="49">
        <f>'Game Assumptions'!$G47</f>
        <v>0</v>
      </c>
      <c r="L32" s="49">
        <f>'Game Assumptions'!$G47</f>
        <v>0</v>
      </c>
    </row>
    <row r="34" spans="1:12" x14ac:dyDescent="0.25">
      <c r="A34" s="9" t="s">
        <v>26</v>
      </c>
      <c r="B34" s="9">
        <v>0</v>
      </c>
      <c r="C34" s="9">
        <v>1</v>
      </c>
      <c r="D34" s="9">
        <v>2</v>
      </c>
      <c r="E34" s="9">
        <v>3</v>
      </c>
      <c r="F34" s="9">
        <v>4</v>
      </c>
      <c r="G34" s="9">
        <v>5</v>
      </c>
      <c r="H34" s="9">
        <v>6</v>
      </c>
      <c r="I34" s="9">
        <v>7</v>
      </c>
      <c r="J34" s="9">
        <v>8</v>
      </c>
      <c r="K34" s="9">
        <v>9</v>
      </c>
      <c r="L34" s="9">
        <v>10</v>
      </c>
    </row>
    <row r="35" spans="1:12" x14ac:dyDescent="0.25">
      <c r="A35" t="s">
        <v>7</v>
      </c>
      <c r="B35" s="15">
        <f t="shared" ref="B35:B41" si="0">B26+B14</f>
        <v>28.747499999999999</v>
      </c>
      <c r="C35" s="15">
        <f t="shared" ref="C35:L35" si="1">C26+C14</f>
        <v>28.021249999999998</v>
      </c>
      <c r="D35" s="15">
        <f t="shared" si="1"/>
        <v>27.917499999999997</v>
      </c>
      <c r="E35" s="15">
        <f t="shared" si="1"/>
        <v>27.813749999999999</v>
      </c>
      <c r="F35" s="15">
        <f t="shared" si="1"/>
        <v>28.021249999999998</v>
      </c>
      <c r="G35" s="15">
        <f t="shared" si="1"/>
        <v>28.332499999999996</v>
      </c>
      <c r="H35" s="15">
        <f t="shared" si="1"/>
        <v>28.747499999999999</v>
      </c>
      <c r="I35" s="15">
        <f t="shared" si="1"/>
        <v>29.162499999999998</v>
      </c>
      <c r="J35" s="15">
        <f t="shared" si="1"/>
        <v>29.577499999999997</v>
      </c>
      <c r="K35" s="15">
        <f t="shared" si="1"/>
        <v>29.888750000000002</v>
      </c>
      <c r="L35" s="15">
        <f t="shared" si="1"/>
        <v>30.2</v>
      </c>
    </row>
    <row r="36" spans="1:12" x14ac:dyDescent="0.25">
      <c r="A36" t="s">
        <v>8</v>
      </c>
      <c r="B36" s="15">
        <f t="shared" si="0"/>
        <v>36.550000000000004</v>
      </c>
      <c r="C36" s="15">
        <f t="shared" ref="C36:L36" si="2">C27+C15</f>
        <v>40.902000000000001</v>
      </c>
      <c r="D36" s="15">
        <f t="shared" si="2"/>
        <v>36.414000000000001</v>
      </c>
      <c r="E36" s="15">
        <f t="shared" si="2"/>
        <v>36.686</v>
      </c>
      <c r="F36" s="15">
        <f t="shared" si="2"/>
        <v>36.550000000000004</v>
      </c>
      <c r="G36" s="15">
        <f t="shared" si="2"/>
        <v>37.434000000000005</v>
      </c>
      <c r="H36" s="15">
        <f t="shared" si="2"/>
        <v>40.358000000000004</v>
      </c>
      <c r="I36" s="15">
        <f t="shared" si="2"/>
        <v>43.281999999999996</v>
      </c>
      <c r="J36" s="15">
        <f t="shared" si="2"/>
        <v>45.050000000000004</v>
      </c>
      <c r="K36" s="15">
        <f t="shared" si="2"/>
        <v>46.07</v>
      </c>
      <c r="L36" s="15">
        <f t="shared" si="2"/>
        <v>47.225999999999999</v>
      </c>
    </row>
    <row r="37" spans="1:12" x14ac:dyDescent="0.25">
      <c r="A37" t="s">
        <v>13</v>
      </c>
      <c r="B37" s="15">
        <f t="shared" si="0"/>
        <v>11.022499999999999</v>
      </c>
      <c r="C37" s="15">
        <f t="shared" ref="C37:L37" si="3">C28+C16</f>
        <v>11.022499999999999</v>
      </c>
      <c r="D37" s="15">
        <f t="shared" si="3"/>
        <v>11.022499999999999</v>
      </c>
      <c r="E37" s="15">
        <f t="shared" si="3"/>
        <v>11.022499999999999</v>
      </c>
      <c r="F37" s="15">
        <f t="shared" si="3"/>
        <v>11.022499999999999</v>
      </c>
      <c r="G37" s="15">
        <f t="shared" si="3"/>
        <v>11.022499999999999</v>
      </c>
      <c r="H37" s="15">
        <f t="shared" si="3"/>
        <v>11.022499999999999</v>
      </c>
      <c r="I37" s="15">
        <f t="shared" si="3"/>
        <v>11.022499999999999</v>
      </c>
      <c r="J37" s="15">
        <f t="shared" si="3"/>
        <v>11.022499999999999</v>
      </c>
      <c r="K37" s="15">
        <f t="shared" si="3"/>
        <v>11.022499999999999</v>
      </c>
      <c r="L37" s="15">
        <f t="shared" si="3"/>
        <v>11.022499999999999</v>
      </c>
    </row>
    <row r="38" spans="1:12" x14ac:dyDescent="0.25">
      <c r="A38" t="s">
        <v>9</v>
      </c>
      <c r="B38" s="15">
        <f t="shared" si="0"/>
        <v>0.01</v>
      </c>
      <c r="C38" s="15">
        <f t="shared" ref="C38:L38" si="4">C29+C17</f>
        <v>0.01</v>
      </c>
      <c r="D38" s="15">
        <f t="shared" si="4"/>
        <v>0.01</v>
      </c>
      <c r="E38" s="15">
        <f t="shared" si="4"/>
        <v>0.01</v>
      </c>
      <c r="F38" s="15">
        <f t="shared" si="4"/>
        <v>0.01</v>
      </c>
      <c r="G38" s="15">
        <f t="shared" si="4"/>
        <v>0.01</v>
      </c>
      <c r="H38" s="15">
        <f t="shared" si="4"/>
        <v>0.01</v>
      </c>
      <c r="I38" s="15">
        <f t="shared" si="4"/>
        <v>0.01</v>
      </c>
      <c r="J38" s="15">
        <f t="shared" si="4"/>
        <v>0.01</v>
      </c>
      <c r="K38" s="15">
        <f t="shared" si="4"/>
        <v>0.01</v>
      </c>
      <c r="L38" s="15">
        <f t="shared" si="4"/>
        <v>0.01</v>
      </c>
    </row>
    <row r="39" spans="1:12" x14ac:dyDescent="0.25">
      <c r="A39" t="s">
        <v>10</v>
      </c>
      <c r="B39" s="15">
        <f t="shared" si="0"/>
        <v>0.02</v>
      </c>
      <c r="C39" s="15">
        <f t="shared" ref="C39:L39" si="5">C30+C18</f>
        <v>0.02</v>
      </c>
      <c r="D39" s="15">
        <f t="shared" si="5"/>
        <v>0.02</v>
      </c>
      <c r="E39" s="15">
        <f t="shared" si="5"/>
        <v>0.02</v>
      </c>
      <c r="F39" s="15">
        <f t="shared" si="5"/>
        <v>0.02</v>
      </c>
      <c r="G39" s="15">
        <f t="shared" si="5"/>
        <v>0.02</v>
      </c>
      <c r="H39" s="15">
        <f t="shared" si="5"/>
        <v>0.02</v>
      </c>
      <c r="I39" s="15">
        <f t="shared" si="5"/>
        <v>0.02</v>
      </c>
      <c r="J39" s="15">
        <f t="shared" si="5"/>
        <v>0.02</v>
      </c>
      <c r="K39" s="15">
        <f t="shared" si="5"/>
        <v>0.02</v>
      </c>
      <c r="L39" s="15">
        <f t="shared" si="5"/>
        <v>0.02</v>
      </c>
    </row>
    <row r="40" spans="1:12" x14ac:dyDescent="0.25">
      <c r="A40" t="s">
        <v>11</v>
      </c>
      <c r="B40" s="15">
        <f t="shared" si="0"/>
        <v>7</v>
      </c>
      <c r="C40" s="15">
        <f t="shared" ref="C40:L40" si="6">C31+C19</f>
        <v>7</v>
      </c>
      <c r="D40" s="15">
        <f t="shared" si="6"/>
        <v>7</v>
      </c>
      <c r="E40" s="15">
        <f t="shared" si="6"/>
        <v>7</v>
      </c>
      <c r="F40" s="15">
        <f t="shared" si="6"/>
        <v>7</v>
      </c>
      <c r="G40" s="15">
        <f t="shared" si="6"/>
        <v>7</v>
      </c>
      <c r="H40" s="15">
        <f t="shared" si="6"/>
        <v>7</v>
      </c>
      <c r="I40" s="15">
        <f t="shared" si="6"/>
        <v>7</v>
      </c>
      <c r="J40" s="15">
        <f t="shared" si="6"/>
        <v>7</v>
      </c>
      <c r="K40" s="15">
        <f t="shared" si="6"/>
        <v>7</v>
      </c>
      <c r="L40" s="15">
        <f t="shared" si="6"/>
        <v>7</v>
      </c>
    </row>
    <row r="41" spans="1:12" x14ac:dyDescent="0.25">
      <c r="A41" t="s">
        <v>296</v>
      </c>
      <c r="B41" s="15">
        <f t="shared" si="0"/>
        <v>0</v>
      </c>
      <c r="C41" s="15">
        <f t="shared" ref="C41:L41" si="7">C32+C20</f>
        <v>0</v>
      </c>
      <c r="D41" s="15">
        <f t="shared" si="7"/>
        <v>0</v>
      </c>
      <c r="E41" s="15">
        <f t="shared" si="7"/>
        <v>0</v>
      </c>
      <c r="F41" s="15">
        <f t="shared" si="7"/>
        <v>0</v>
      </c>
      <c r="G41" s="15">
        <f t="shared" si="7"/>
        <v>0</v>
      </c>
      <c r="H41" s="15">
        <f t="shared" si="7"/>
        <v>0</v>
      </c>
      <c r="I41" s="15">
        <f t="shared" si="7"/>
        <v>0</v>
      </c>
      <c r="J41" s="15">
        <f t="shared" si="7"/>
        <v>0</v>
      </c>
      <c r="K41" s="15">
        <f t="shared" si="7"/>
        <v>0</v>
      </c>
      <c r="L41" s="15">
        <f t="shared" si="7"/>
        <v>0</v>
      </c>
    </row>
    <row r="43" spans="1:12" x14ac:dyDescent="0.25">
      <c r="A43" s="9" t="s">
        <v>150</v>
      </c>
      <c r="B43" s="9">
        <v>0</v>
      </c>
      <c r="C43" s="9">
        <v>1</v>
      </c>
      <c r="D43" s="9">
        <v>2</v>
      </c>
      <c r="E43" s="9">
        <v>3</v>
      </c>
      <c r="F43" s="9">
        <v>4</v>
      </c>
      <c r="G43" s="9">
        <v>5</v>
      </c>
      <c r="H43" s="9">
        <v>6</v>
      </c>
      <c r="I43" s="9">
        <v>7</v>
      </c>
      <c r="J43" s="9">
        <v>8</v>
      </c>
      <c r="K43" s="9">
        <v>9</v>
      </c>
      <c r="L43" s="9">
        <v>10</v>
      </c>
    </row>
    <row r="44" spans="1:12" x14ac:dyDescent="0.25">
      <c r="A44" t="s">
        <v>7</v>
      </c>
      <c r="B44">
        <f>RANK(B35,B$35:B$41,1)</f>
        <v>6</v>
      </c>
      <c r="C44">
        <f t="shared" ref="C44:L44" si="8">RANK(C35,C$35:C$41,1)</f>
        <v>6</v>
      </c>
      <c r="D44">
        <f t="shared" si="8"/>
        <v>6</v>
      </c>
      <c r="E44">
        <f t="shared" si="8"/>
        <v>6</v>
      </c>
      <c r="F44">
        <f t="shared" si="8"/>
        <v>6</v>
      </c>
      <c r="G44">
        <f t="shared" si="8"/>
        <v>6</v>
      </c>
      <c r="H44">
        <f t="shared" si="8"/>
        <v>6</v>
      </c>
      <c r="I44">
        <f t="shared" si="8"/>
        <v>6</v>
      </c>
      <c r="J44">
        <f t="shared" si="8"/>
        <v>6</v>
      </c>
      <c r="K44">
        <f t="shared" si="8"/>
        <v>6</v>
      </c>
      <c r="L44">
        <f t="shared" si="8"/>
        <v>6</v>
      </c>
    </row>
    <row r="45" spans="1:12" x14ac:dyDescent="0.25">
      <c r="A45" t="s">
        <v>8</v>
      </c>
      <c r="B45">
        <f t="shared" ref="B45:L50" si="9">RANK(B36,B$35:B$41,1)</f>
        <v>7</v>
      </c>
      <c r="C45">
        <f t="shared" si="9"/>
        <v>7</v>
      </c>
      <c r="D45">
        <f t="shared" si="9"/>
        <v>7</v>
      </c>
      <c r="E45">
        <f t="shared" si="9"/>
        <v>7</v>
      </c>
      <c r="F45">
        <f t="shared" si="9"/>
        <v>7</v>
      </c>
      <c r="G45">
        <f t="shared" si="9"/>
        <v>7</v>
      </c>
      <c r="H45">
        <f t="shared" si="9"/>
        <v>7</v>
      </c>
      <c r="I45">
        <f t="shared" si="9"/>
        <v>7</v>
      </c>
      <c r="J45">
        <f t="shared" si="9"/>
        <v>7</v>
      </c>
      <c r="K45">
        <f t="shared" si="9"/>
        <v>7</v>
      </c>
      <c r="L45">
        <f t="shared" si="9"/>
        <v>7</v>
      </c>
    </row>
    <row r="46" spans="1:12" x14ac:dyDescent="0.25">
      <c r="A46" t="s">
        <v>13</v>
      </c>
      <c r="B46">
        <f t="shared" si="9"/>
        <v>5</v>
      </c>
      <c r="C46">
        <f t="shared" si="9"/>
        <v>5</v>
      </c>
      <c r="D46">
        <f t="shared" si="9"/>
        <v>5</v>
      </c>
      <c r="E46">
        <f t="shared" si="9"/>
        <v>5</v>
      </c>
      <c r="F46">
        <f t="shared" si="9"/>
        <v>5</v>
      </c>
      <c r="G46">
        <f t="shared" si="9"/>
        <v>5</v>
      </c>
      <c r="H46">
        <f t="shared" si="9"/>
        <v>5</v>
      </c>
      <c r="I46">
        <f t="shared" si="9"/>
        <v>5</v>
      </c>
      <c r="J46">
        <f t="shared" si="9"/>
        <v>5</v>
      </c>
      <c r="K46">
        <f t="shared" si="9"/>
        <v>5</v>
      </c>
      <c r="L46">
        <f t="shared" si="9"/>
        <v>5</v>
      </c>
    </row>
    <row r="47" spans="1:12" x14ac:dyDescent="0.25">
      <c r="A47" t="s">
        <v>9</v>
      </c>
      <c r="B47">
        <f t="shared" si="9"/>
        <v>2</v>
      </c>
      <c r="C47">
        <f t="shared" si="9"/>
        <v>2</v>
      </c>
      <c r="D47">
        <f t="shared" si="9"/>
        <v>2</v>
      </c>
      <c r="E47">
        <f t="shared" si="9"/>
        <v>2</v>
      </c>
      <c r="F47">
        <f t="shared" si="9"/>
        <v>2</v>
      </c>
      <c r="G47">
        <f t="shared" si="9"/>
        <v>2</v>
      </c>
      <c r="H47">
        <f t="shared" si="9"/>
        <v>2</v>
      </c>
      <c r="I47">
        <f t="shared" si="9"/>
        <v>2</v>
      </c>
      <c r="J47">
        <f t="shared" si="9"/>
        <v>2</v>
      </c>
      <c r="K47">
        <f t="shared" si="9"/>
        <v>2</v>
      </c>
      <c r="L47">
        <f t="shared" si="9"/>
        <v>2</v>
      </c>
    </row>
    <row r="48" spans="1:12" x14ac:dyDescent="0.25">
      <c r="A48" t="s">
        <v>10</v>
      </c>
      <c r="B48">
        <f t="shared" si="9"/>
        <v>3</v>
      </c>
      <c r="C48">
        <f t="shared" si="9"/>
        <v>3</v>
      </c>
      <c r="D48">
        <f t="shared" si="9"/>
        <v>3</v>
      </c>
      <c r="E48">
        <f t="shared" si="9"/>
        <v>3</v>
      </c>
      <c r="F48">
        <f t="shared" si="9"/>
        <v>3</v>
      </c>
      <c r="G48">
        <f t="shared" si="9"/>
        <v>3</v>
      </c>
      <c r="H48">
        <f t="shared" si="9"/>
        <v>3</v>
      </c>
      <c r="I48">
        <f t="shared" si="9"/>
        <v>3</v>
      </c>
      <c r="J48">
        <f t="shared" si="9"/>
        <v>3</v>
      </c>
      <c r="K48">
        <f t="shared" si="9"/>
        <v>3</v>
      </c>
      <c r="L48">
        <f t="shared" si="9"/>
        <v>3</v>
      </c>
    </row>
    <row r="49" spans="1:12" x14ac:dyDescent="0.25">
      <c r="A49" t="s">
        <v>11</v>
      </c>
      <c r="B49">
        <f t="shared" si="9"/>
        <v>4</v>
      </c>
      <c r="C49">
        <f t="shared" si="9"/>
        <v>4</v>
      </c>
      <c r="D49">
        <f t="shared" si="9"/>
        <v>4</v>
      </c>
      <c r="E49">
        <f t="shared" si="9"/>
        <v>4</v>
      </c>
      <c r="F49">
        <f t="shared" si="9"/>
        <v>4</v>
      </c>
      <c r="G49">
        <f t="shared" si="9"/>
        <v>4</v>
      </c>
      <c r="H49">
        <f t="shared" si="9"/>
        <v>4</v>
      </c>
      <c r="I49">
        <f t="shared" si="9"/>
        <v>4</v>
      </c>
      <c r="J49">
        <f t="shared" si="9"/>
        <v>4</v>
      </c>
      <c r="K49">
        <f t="shared" si="9"/>
        <v>4</v>
      </c>
      <c r="L49">
        <f t="shared" si="9"/>
        <v>4</v>
      </c>
    </row>
    <row r="50" spans="1:12" x14ac:dyDescent="0.25">
      <c r="A50" t="s">
        <v>296</v>
      </c>
      <c r="B50">
        <f t="shared" si="9"/>
        <v>1</v>
      </c>
      <c r="C50">
        <f t="shared" si="9"/>
        <v>1</v>
      </c>
      <c r="D50">
        <f t="shared" si="9"/>
        <v>1</v>
      </c>
      <c r="E50">
        <f t="shared" si="9"/>
        <v>1</v>
      </c>
      <c r="F50">
        <f t="shared" si="9"/>
        <v>1</v>
      </c>
      <c r="G50">
        <f t="shared" si="9"/>
        <v>1</v>
      </c>
      <c r="H50">
        <f t="shared" si="9"/>
        <v>1</v>
      </c>
      <c r="I50">
        <f t="shared" si="9"/>
        <v>1</v>
      </c>
      <c r="J50">
        <f t="shared" si="9"/>
        <v>1</v>
      </c>
      <c r="K50">
        <f t="shared" si="9"/>
        <v>1</v>
      </c>
      <c r="L50">
        <f t="shared" si="9"/>
        <v>1</v>
      </c>
    </row>
    <row r="52" spans="1:12" x14ac:dyDescent="0.25">
      <c r="A52" s="9" t="s">
        <v>151</v>
      </c>
      <c r="B52" s="9">
        <v>0</v>
      </c>
      <c r="C52" s="9">
        <v>1</v>
      </c>
      <c r="D52" s="9">
        <v>2</v>
      </c>
      <c r="E52" s="9">
        <v>3</v>
      </c>
      <c r="F52" s="9">
        <v>4</v>
      </c>
      <c r="G52" s="9">
        <v>5</v>
      </c>
      <c r="H52" s="9">
        <v>6</v>
      </c>
      <c r="I52" s="9">
        <v>7</v>
      </c>
      <c r="J52" s="9">
        <v>8</v>
      </c>
      <c r="K52" s="9">
        <v>9</v>
      </c>
      <c r="L52" s="9">
        <v>10</v>
      </c>
    </row>
    <row r="53" spans="1:12" x14ac:dyDescent="0.25">
      <c r="A53">
        <v>1</v>
      </c>
      <c r="B53" t="s">
        <v>296</v>
      </c>
      <c r="C53" t="s">
        <v>296</v>
      </c>
      <c r="D53" t="s">
        <v>296</v>
      </c>
      <c r="E53" t="s">
        <v>296</v>
      </c>
      <c r="F53" t="s">
        <v>296</v>
      </c>
      <c r="G53" t="s">
        <v>296</v>
      </c>
      <c r="H53" t="s">
        <v>296</v>
      </c>
      <c r="I53" t="s">
        <v>296</v>
      </c>
      <c r="J53" t="s">
        <v>296</v>
      </c>
      <c r="K53" t="s">
        <v>296</v>
      </c>
      <c r="L53" t="s">
        <v>296</v>
      </c>
    </row>
    <row r="54" spans="1:12" x14ac:dyDescent="0.25">
      <c r="A54">
        <v>2</v>
      </c>
      <c r="B54" t="str">
        <f t="shared" ref="B54:L59" si="10">INDEX($A$44:$A$50,MATCH($A54,B$44:B$50,0))</f>
        <v>solar</v>
      </c>
      <c r="C54" t="str">
        <f t="shared" si="10"/>
        <v>solar</v>
      </c>
      <c r="D54" t="str">
        <f t="shared" si="10"/>
        <v>solar</v>
      </c>
      <c r="E54" t="str">
        <f t="shared" si="10"/>
        <v>solar</v>
      </c>
      <c r="F54" t="str">
        <f t="shared" si="10"/>
        <v>solar</v>
      </c>
      <c r="G54" t="str">
        <f t="shared" si="10"/>
        <v>solar</v>
      </c>
      <c r="H54" t="str">
        <f t="shared" si="10"/>
        <v>solar</v>
      </c>
      <c r="I54" t="str">
        <f t="shared" si="10"/>
        <v>solar</v>
      </c>
      <c r="J54" t="str">
        <f t="shared" si="10"/>
        <v>solar</v>
      </c>
      <c r="K54" t="str">
        <f t="shared" si="10"/>
        <v>solar</v>
      </c>
      <c r="L54" t="str">
        <f t="shared" si="10"/>
        <v>solar</v>
      </c>
    </row>
    <row r="55" spans="1:12" x14ac:dyDescent="0.25">
      <c r="A55">
        <v>3</v>
      </c>
      <c r="B55" t="str">
        <f t="shared" si="10"/>
        <v>wind</v>
      </c>
      <c r="C55" t="str">
        <f t="shared" si="10"/>
        <v>wind</v>
      </c>
      <c r="D55" t="str">
        <f t="shared" si="10"/>
        <v>wind</v>
      </c>
      <c r="E55" t="str">
        <f t="shared" si="10"/>
        <v>wind</v>
      </c>
      <c r="F55" t="str">
        <f t="shared" si="10"/>
        <v>wind</v>
      </c>
      <c r="G55" t="str">
        <f t="shared" si="10"/>
        <v>wind</v>
      </c>
      <c r="H55" t="str">
        <f t="shared" si="10"/>
        <v>wind</v>
      </c>
      <c r="I55" t="str">
        <f t="shared" si="10"/>
        <v>wind</v>
      </c>
      <c r="J55" t="str">
        <f t="shared" si="10"/>
        <v>wind</v>
      </c>
      <c r="K55" t="str">
        <f t="shared" si="10"/>
        <v>wind</v>
      </c>
      <c r="L55" t="str">
        <f t="shared" si="10"/>
        <v>wind</v>
      </c>
    </row>
    <row r="56" spans="1:12" x14ac:dyDescent="0.25">
      <c r="A56">
        <v>4</v>
      </c>
      <c r="B56" t="str">
        <f t="shared" si="10"/>
        <v>hydro</v>
      </c>
      <c r="C56" t="str">
        <f t="shared" si="10"/>
        <v>hydro</v>
      </c>
      <c r="D56" t="str">
        <f t="shared" si="10"/>
        <v>hydro</v>
      </c>
      <c r="E56" t="str">
        <f t="shared" si="10"/>
        <v>hydro</v>
      </c>
      <c r="F56" t="str">
        <f t="shared" si="10"/>
        <v>hydro</v>
      </c>
      <c r="G56" t="str">
        <f t="shared" si="10"/>
        <v>hydro</v>
      </c>
      <c r="H56" t="str">
        <f t="shared" si="10"/>
        <v>hydro</v>
      </c>
      <c r="I56" t="str">
        <f t="shared" si="10"/>
        <v>hydro</v>
      </c>
      <c r="J56" t="str">
        <f t="shared" si="10"/>
        <v>hydro</v>
      </c>
      <c r="K56" t="str">
        <f t="shared" si="10"/>
        <v>hydro</v>
      </c>
      <c r="L56" t="str">
        <f t="shared" si="10"/>
        <v>hydro</v>
      </c>
    </row>
    <row r="57" spans="1:12" x14ac:dyDescent="0.25">
      <c r="A57">
        <v>5</v>
      </c>
      <c r="B57" t="str">
        <f t="shared" si="10"/>
        <v>nuclear</v>
      </c>
      <c r="C57" t="str">
        <f t="shared" si="10"/>
        <v>nuclear</v>
      </c>
      <c r="D57" t="str">
        <f t="shared" si="10"/>
        <v>nuclear</v>
      </c>
      <c r="E57" t="str">
        <f t="shared" si="10"/>
        <v>nuclear</v>
      </c>
      <c r="F57" t="str">
        <f t="shared" si="10"/>
        <v>nuclear</v>
      </c>
      <c r="G57" t="str">
        <f t="shared" si="10"/>
        <v>nuclear</v>
      </c>
      <c r="H57" t="str">
        <f t="shared" si="10"/>
        <v>nuclear</v>
      </c>
      <c r="I57" t="str">
        <f t="shared" si="10"/>
        <v>nuclear</v>
      </c>
      <c r="J57" t="str">
        <f t="shared" si="10"/>
        <v>nuclear</v>
      </c>
      <c r="K57" t="str">
        <f t="shared" si="10"/>
        <v>nuclear</v>
      </c>
      <c r="L57" t="str">
        <f t="shared" si="10"/>
        <v>nuclear</v>
      </c>
    </row>
    <row r="58" spans="1:12" x14ac:dyDescent="0.25">
      <c r="A58">
        <v>6</v>
      </c>
      <c r="B58" t="str">
        <f t="shared" si="10"/>
        <v>coal</v>
      </c>
      <c r="C58" t="str">
        <f t="shared" si="10"/>
        <v>coal</v>
      </c>
      <c r="D58" t="str">
        <f t="shared" si="10"/>
        <v>coal</v>
      </c>
      <c r="E58" t="str">
        <f t="shared" si="10"/>
        <v>coal</v>
      </c>
      <c r="F58" t="str">
        <f t="shared" si="10"/>
        <v>coal</v>
      </c>
      <c r="G58" t="str">
        <f t="shared" si="10"/>
        <v>coal</v>
      </c>
      <c r="H58" t="str">
        <f t="shared" si="10"/>
        <v>coal</v>
      </c>
      <c r="I58" t="str">
        <f t="shared" si="10"/>
        <v>coal</v>
      </c>
      <c r="J58" t="str">
        <f t="shared" si="10"/>
        <v>coal</v>
      </c>
      <c r="K58" t="str">
        <f t="shared" si="10"/>
        <v>coal</v>
      </c>
      <c r="L58" t="str">
        <f t="shared" si="10"/>
        <v>coal</v>
      </c>
    </row>
    <row r="59" spans="1:12" x14ac:dyDescent="0.25">
      <c r="A59">
        <v>7</v>
      </c>
      <c r="B59" t="str">
        <f t="shared" si="10"/>
        <v>natural gas</v>
      </c>
      <c r="C59" t="str">
        <f t="shared" si="10"/>
        <v>natural gas</v>
      </c>
      <c r="D59" t="str">
        <f t="shared" si="10"/>
        <v>natural gas</v>
      </c>
      <c r="E59" t="str">
        <f t="shared" si="10"/>
        <v>natural gas</v>
      </c>
      <c r="F59" t="str">
        <f t="shared" si="10"/>
        <v>natural gas</v>
      </c>
      <c r="G59" t="str">
        <f t="shared" si="10"/>
        <v>natural gas</v>
      </c>
      <c r="H59" t="str">
        <f t="shared" si="10"/>
        <v>natural gas</v>
      </c>
      <c r="I59" t="str">
        <f t="shared" si="10"/>
        <v>natural gas</v>
      </c>
      <c r="J59" t="str">
        <f t="shared" si="10"/>
        <v>natural gas</v>
      </c>
      <c r="K59" t="str">
        <f t="shared" si="10"/>
        <v>natural gas</v>
      </c>
      <c r="L59" t="str">
        <f t="shared" si="10"/>
        <v>natural gas</v>
      </c>
    </row>
    <row r="61" spans="1:12" x14ac:dyDescent="0.25">
      <c r="A61" s="9" t="s">
        <v>152</v>
      </c>
      <c r="B61" s="9">
        <v>0</v>
      </c>
      <c r="C61" s="9">
        <v>1</v>
      </c>
      <c r="D61" s="9">
        <v>2</v>
      </c>
      <c r="E61" s="9">
        <v>3</v>
      </c>
      <c r="F61" s="9">
        <v>4</v>
      </c>
      <c r="G61" s="9">
        <v>5</v>
      </c>
      <c r="H61" s="9">
        <v>6</v>
      </c>
      <c r="I61" s="9">
        <v>7</v>
      </c>
      <c r="J61" s="9">
        <v>8</v>
      </c>
      <c r="K61" s="9">
        <v>9</v>
      </c>
      <c r="L61" s="9">
        <v>10</v>
      </c>
    </row>
    <row r="62" spans="1:12" x14ac:dyDescent="0.25">
      <c r="A62">
        <v>1</v>
      </c>
      <c r="B62" s="33">
        <f>INDEX(B$2:B$8,MATCH(B53,$A$2:$A$8,0),1)</f>
        <v>87600</v>
      </c>
      <c r="C62" s="33">
        <f>INDEX(C$2:C$8,MATCH(C53,$A$2:$A$8,0),1)</f>
        <v>87600</v>
      </c>
      <c r="D62" s="33">
        <f t="shared" ref="D62:L62" si="11">INDEX(D$2:D$8,MATCH(D53,$A$2:$A$8,0),1)</f>
        <v>87600</v>
      </c>
      <c r="E62" s="33">
        <f t="shared" si="11"/>
        <v>87600</v>
      </c>
      <c r="F62" s="33">
        <f t="shared" si="11"/>
        <v>87600</v>
      </c>
      <c r="G62" s="33">
        <f t="shared" si="11"/>
        <v>87600</v>
      </c>
      <c r="H62" s="33">
        <f t="shared" si="11"/>
        <v>87600</v>
      </c>
      <c r="I62" s="33">
        <f t="shared" si="11"/>
        <v>87600</v>
      </c>
      <c r="J62" s="33">
        <f t="shared" si="11"/>
        <v>87600</v>
      </c>
      <c r="K62" s="33">
        <f t="shared" si="11"/>
        <v>87600</v>
      </c>
      <c r="L62" s="33">
        <f t="shared" si="11"/>
        <v>87600</v>
      </c>
    </row>
    <row r="63" spans="1:12" x14ac:dyDescent="0.25">
      <c r="A63">
        <v>2</v>
      </c>
      <c r="B63" s="33">
        <f>INDEX(B$2:B$8,MATCH(B54,$A$2:$A$8,0),1)+B62</f>
        <v>153300</v>
      </c>
      <c r="C63" s="33">
        <f t="shared" ref="C63:L68" si="12">INDEX(C$2:C$8,MATCH(C54,$A$2:$A$8,0),1)+C62</f>
        <v>153300</v>
      </c>
      <c r="D63" s="33">
        <f t="shared" si="12"/>
        <v>153300</v>
      </c>
      <c r="E63" s="33">
        <f t="shared" si="12"/>
        <v>153300</v>
      </c>
      <c r="F63" s="33">
        <f t="shared" si="12"/>
        <v>153300</v>
      </c>
      <c r="G63" s="33">
        <f t="shared" si="12"/>
        <v>153300</v>
      </c>
      <c r="H63" s="33">
        <f t="shared" si="12"/>
        <v>153300</v>
      </c>
      <c r="I63" s="33">
        <f t="shared" si="12"/>
        <v>153300</v>
      </c>
      <c r="J63" s="33">
        <f t="shared" si="12"/>
        <v>153300</v>
      </c>
      <c r="K63" s="33">
        <f t="shared" si="12"/>
        <v>153300</v>
      </c>
      <c r="L63" s="33">
        <f t="shared" si="12"/>
        <v>153300</v>
      </c>
    </row>
    <row r="64" spans="1:12" x14ac:dyDescent="0.25">
      <c r="A64">
        <v>3</v>
      </c>
      <c r="B64" s="33">
        <f t="shared" ref="B64:B68" si="13">INDEX(B$2:B$8,MATCH(B55,$A$2:$A$8,0),1)+B63</f>
        <v>232140</v>
      </c>
      <c r="C64" s="33">
        <f t="shared" si="12"/>
        <v>232140</v>
      </c>
      <c r="D64" s="33">
        <f t="shared" si="12"/>
        <v>232140</v>
      </c>
      <c r="E64" s="33">
        <f t="shared" si="12"/>
        <v>232140</v>
      </c>
      <c r="F64" s="33">
        <f t="shared" si="12"/>
        <v>232140</v>
      </c>
      <c r="G64" s="33">
        <f t="shared" si="12"/>
        <v>232140</v>
      </c>
      <c r="H64" s="33">
        <f t="shared" si="12"/>
        <v>232140</v>
      </c>
      <c r="I64" s="33">
        <f t="shared" si="12"/>
        <v>232140</v>
      </c>
      <c r="J64" s="33">
        <f t="shared" si="12"/>
        <v>232140</v>
      </c>
      <c r="K64" s="33">
        <f t="shared" si="12"/>
        <v>232140</v>
      </c>
      <c r="L64" s="33">
        <f t="shared" si="12"/>
        <v>232140</v>
      </c>
    </row>
    <row r="65" spans="1:12" x14ac:dyDescent="0.25">
      <c r="A65">
        <v>4</v>
      </c>
      <c r="B65" s="33">
        <f t="shared" si="13"/>
        <v>389820</v>
      </c>
      <c r="C65" s="33">
        <f t="shared" si="12"/>
        <v>389820</v>
      </c>
      <c r="D65" s="33">
        <f t="shared" si="12"/>
        <v>389820</v>
      </c>
      <c r="E65" s="33">
        <f t="shared" si="12"/>
        <v>389820</v>
      </c>
      <c r="F65" s="33">
        <f t="shared" si="12"/>
        <v>389820</v>
      </c>
      <c r="G65" s="33">
        <f t="shared" si="12"/>
        <v>389820</v>
      </c>
      <c r="H65" s="33">
        <f t="shared" si="12"/>
        <v>389820</v>
      </c>
      <c r="I65" s="33">
        <f t="shared" si="12"/>
        <v>389820</v>
      </c>
      <c r="J65" s="33">
        <f t="shared" si="12"/>
        <v>389820</v>
      </c>
      <c r="K65" s="33">
        <f t="shared" si="12"/>
        <v>389820</v>
      </c>
      <c r="L65" s="33">
        <f t="shared" si="12"/>
        <v>389820</v>
      </c>
    </row>
    <row r="66" spans="1:12" x14ac:dyDescent="0.25">
      <c r="A66">
        <v>5</v>
      </c>
      <c r="B66" s="33">
        <f t="shared" si="13"/>
        <v>4331820</v>
      </c>
      <c r="C66" s="33">
        <f t="shared" si="12"/>
        <v>4331820</v>
      </c>
      <c r="D66" s="33">
        <f t="shared" si="12"/>
        <v>4331820</v>
      </c>
      <c r="E66" s="33">
        <f t="shared" si="12"/>
        <v>389820</v>
      </c>
      <c r="F66" s="33">
        <f t="shared" si="12"/>
        <v>389820</v>
      </c>
      <c r="G66" s="33">
        <f t="shared" si="12"/>
        <v>389820</v>
      </c>
      <c r="H66" s="33">
        <f t="shared" si="12"/>
        <v>389820</v>
      </c>
      <c r="I66" s="33">
        <f t="shared" si="12"/>
        <v>389820</v>
      </c>
      <c r="J66" s="33">
        <f t="shared" si="12"/>
        <v>389820</v>
      </c>
      <c r="K66" s="33">
        <f t="shared" si="12"/>
        <v>389820</v>
      </c>
      <c r="L66" s="33">
        <f t="shared" si="12"/>
        <v>389820</v>
      </c>
    </row>
    <row r="67" spans="1:12" x14ac:dyDescent="0.25">
      <c r="A67">
        <v>6</v>
      </c>
      <c r="B67" s="33">
        <f t="shared" si="13"/>
        <v>6959820</v>
      </c>
      <c r="C67" s="33">
        <f t="shared" si="12"/>
        <v>5383020</v>
      </c>
      <c r="D67" s="33">
        <f t="shared" si="12"/>
        <v>5383020</v>
      </c>
      <c r="E67" s="33">
        <f t="shared" si="12"/>
        <v>1441020</v>
      </c>
      <c r="F67" s="33">
        <f t="shared" si="12"/>
        <v>1441020</v>
      </c>
      <c r="G67" s="33">
        <f t="shared" si="12"/>
        <v>915420</v>
      </c>
      <c r="H67" s="33">
        <f t="shared" si="12"/>
        <v>915420</v>
      </c>
      <c r="I67" s="33">
        <f t="shared" si="12"/>
        <v>915420</v>
      </c>
      <c r="J67" s="33">
        <f t="shared" si="12"/>
        <v>915420</v>
      </c>
      <c r="K67" s="33">
        <f t="shared" si="12"/>
        <v>915420</v>
      </c>
      <c r="L67" s="33">
        <f t="shared" si="12"/>
        <v>915420</v>
      </c>
    </row>
    <row r="68" spans="1:12" x14ac:dyDescent="0.25">
      <c r="A68">
        <v>7</v>
      </c>
      <c r="B68" s="33">
        <f t="shared" si="13"/>
        <v>11164620</v>
      </c>
      <c r="C68" s="33">
        <f t="shared" si="12"/>
        <v>9587820</v>
      </c>
      <c r="D68" s="33">
        <f t="shared" si="12"/>
        <v>9587820</v>
      </c>
      <c r="E68" s="33">
        <f t="shared" si="12"/>
        <v>5645820</v>
      </c>
      <c r="F68" s="33">
        <f t="shared" si="12"/>
        <v>5645820</v>
      </c>
      <c r="G68" s="33">
        <f t="shared" si="12"/>
        <v>5120220</v>
      </c>
      <c r="H68" s="33">
        <f t="shared" si="12"/>
        <v>5120220</v>
      </c>
      <c r="I68" s="33">
        <f t="shared" si="12"/>
        <v>5120220</v>
      </c>
      <c r="J68" s="33">
        <f t="shared" si="12"/>
        <v>5120220</v>
      </c>
      <c r="K68" s="33">
        <f t="shared" si="12"/>
        <v>5120220</v>
      </c>
      <c r="L68" s="33">
        <f t="shared" si="12"/>
        <v>5120220</v>
      </c>
    </row>
    <row r="71" spans="1:12" ht="18.75" x14ac:dyDescent="0.3">
      <c r="A71" s="20" t="s">
        <v>158</v>
      </c>
      <c r="B71" s="20"/>
      <c r="C71" s="20"/>
      <c r="D71" s="20"/>
      <c r="E71" s="20"/>
      <c r="F71" s="20"/>
      <c r="G71" s="20"/>
      <c r="H71" s="20"/>
      <c r="I71" s="20"/>
      <c r="J71" s="20"/>
      <c r="K71" s="20"/>
      <c r="L71" s="20"/>
    </row>
    <row r="72" spans="1:12" x14ac:dyDescent="0.25">
      <c r="A72" s="9" t="s">
        <v>295</v>
      </c>
      <c r="B72" s="9">
        <v>0</v>
      </c>
      <c r="C72" s="9">
        <v>1</v>
      </c>
      <c r="D72" s="9">
        <v>2</v>
      </c>
      <c r="E72" s="9">
        <v>3</v>
      </c>
      <c r="F72" s="9">
        <v>4</v>
      </c>
      <c r="G72" s="9">
        <v>5</v>
      </c>
      <c r="H72" s="9">
        <v>6</v>
      </c>
      <c r="I72" s="9">
        <v>7</v>
      </c>
      <c r="J72" s="9">
        <v>8</v>
      </c>
      <c r="K72" s="9">
        <v>9</v>
      </c>
      <c r="L72" s="9">
        <v>10</v>
      </c>
    </row>
    <row r="73" spans="1:12" x14ac:dyDescent="0.25">
      <c r="A73" t="s">
        <v>154</v>
      </c>
      <c r="B73" s="88">
        <f>'Resource Mix and Demand'!B58</f>
        <v>8890500</v>
      </c>
      <c r="C73" s="88">
        <f>'Resource Mix and Demand'!C58</f>
        <v>8675170</v>
      </c>
      <c r="D73" s="88">
        <f>'Resource Mix and Demand'!D58</f>
        <v>8553270</v>
      </c>
      <c r="E73" s="88">
        <f>'Resource Mix and Demand'!E58</f>
        <v>8324800</v>
      </c>
      <c r="F73" s="88">
        <f>'Resource Mix and Demand'!F58</f>
        <v>8089760</v>
      </c>
      <c r="G73" s="88">
        <f>'Resource Mix and Demand'!G58</f>
        <v>8148150</v>
      </c>
      <c r="H73" s="88">
        <f>'Resource Mix and Demand'!H58</f>
        <v>7899970</v>
      </c>
      <c r="I73" s="88">
        <f>'Resource Mix and Demand'!I58</f>
        <v>7645220</v>
      </c>
      <c r="J73" s="88">
        <f>'Resource Mix and Demand'!J58</f>
        <v>7783900</v>
      </c>
      <c r="K73" s="88">
        <f>'Resource Mix and Demand'!K58</f>
        <v>7616010</v>
      </c>
      <c r="L73" s="88">
        <f>'Resource Mix and Demand'!L58</f>
        <v>7441550</v>
      </c>
    </row>
    <row r="75" spans="1:12" x14ac:dyDescent="0.25">
      <c r="A75" s="9" t="s">
        <v>155</v>
      </c>
      <c r="B75" s="9">
        <v>0</v>
      </c>
      <c r="C75" s="9">
        <v>1</v>
      </c>
      <c r="D75" s="9">
        <v>2</v>
      </c>
      <c r="E75" s="9">
        <v>3</v>
      </c>
      <c r="F75" s="9">
        <v>4</v>
      </c>
      <c r="G75" s="9">
        <v>5</v>
      </c>
      <c r="H75" s="9">
        <v>6</v>
      </c>
      <c r="I75" s="9">
        <v>7</v>
      </c>
      <c r="J75" s="9">
        <v>8</v>
      </c>
      <c r="K75" s="9">
        <v>9</v>
      </c>
      <c r="L75" s="9">
        <v>10</v>
      </c>
    </row>
    <row r="76" spans="1:12" x14ac:dyDescent="0.25">
      <c r="A76">
        <v>1</v>
      </c>
      <c r="B76" s="16">
        <f>MAX(IF(B62&lt;B$73,B62-IF(B61&lt;10,0,B61),B$106-B61),0)</f>
        <v>87600</v>
      </c>
      <c r="C76" s="16">
        <f t="shared" ref="C76:L76" si="14">MAX(IF(C62&lt;C$73,C62-IF(C61&lt;10,0,C61),C$106-C61),0)</f>
        <v>87600</v>
      </c>
      <c r="D76" s="16">
        <f t="shared" si="14"/>
        <v>87600</v>
      </c>
      <c r="E76" s="16">
        <f t="shared" si="14"/>
        <v>87600</v>
      </c>
      <c r="F76" s="16">
        <f t="shared" si="14"/>
        <v>87600</v>
      </c>
      <c r="G76" s="16">
        <f t="shared" si="14"/>
        <v>87600</v>
      </c>
      <c r="H76" s="16">
        <f t="shared" si="14"/>
        <v>87600</v>
      </c>
      <c r="I76" s="16">
        <f t="shared" si="14"/>
        <v>87600</v>
      </c>
      <c r="J76" s="16">
        <f t="shared" si="14"/>
        <v>87600</v>
      </c>
      <c r="K76" s="16">
        <f t="shared" si="14"/>
        <v>87600</v>
      </c>
      <c r="L76" s="16">
        <f t="shared" si="14"/>
        <v>87590</v>
      </c>
    </row>
    <row r="77" spans="1:12" x14ac:dyDescent="0.25">
      <c r="A77">
        <v>2</v>
      </c>
      <c r="B77" s="16">
        <f t="shared" ref="B77:L82" si="15">MAX(IF(B63&lt;B$73,B63-IF(B62&lt;10,0,B62),B$106-B62),0)</f>
        <v>65700</v>
      </c>
      <c r="C77" s="16">
        <f t="shared" si="15"/>
        <v>65700</v>
      </c>
      <c r="D77" s="16">
        <f t="shared" si="15"/>
        <v>65700</v>
      </c>
      <c r="E77" s="16">
        <f t="shared" si="15"/>
        <v>65700</v>
      </c>
      <c r="F77" s="16">
        <f t="shared" si="15"/>
        <v>65700</v>
      </c>
      <c r="G77" s="16">
        <f t="shared" si="15"/>
        <v>65700</v>
      </c>
      <c r="H77" s="16">
        <f t="shared" si="15"/>
        <v>65700</v>
      </c>
      <c r="I77" s="16">
        <f t="shared" si="15"/>
        <v>65700</v>
      </c>
      <c r="J77" s="16">
        <f t="shared" si="15"/>
        <v>65700</v>
      </c>
      <c r="K77" s="16">
        <f t="shared" si="15"/>
        <v>65700</v>
      </c>
      <c r="L77" s="16">
        <f t="shared" si="15"/>
        <v>65700</v>
      </c>
    </row>
    <row r="78" spans="1:12" x14ac:dyDescent="0.25">
      <c r="A78">
        <v>3</v>
      </c>
      <c r="B78" s="16">
        <f t="shared" si="15"/>
        <v>78840</v>
      </c>
      <c r="C78" s="16">
        <f t="shared" si="15"/>
        <v>78840</v>
      </c>
      <c r="D78" s="16">
        <f t="shared" si="15"/>
        <v>78840</v>
      </c>
      <c r="E78" s="16">
        <f t="shared" si="15"/>
        <v>78840</v>
      </c>
      <c r="F78" s="16">
        <f t="shared" si="15"/>
        <v>78840</v>
      </c>
      <c r="G78" s="16">
        <f t="shared" si="15"/>
        <v>78840</v>
      </c>
      <c r="H78" s="16">
        <f t="shared" si="15"/>
        <v>78840</v>
      </c>
      <c r="I78" s="16">
        <f t="shared" si="15"/>
        <v>78840</v>
      </c>
      <c r="J78" s="16">
        <f t="shared" si="15"/>
        <v>78840</v>
      </c>
      <c r="K78" s="16">
        <f t="shared" si="15"/>
        <v>78840</v>
      </c>
      <c r="L78" s="16">
        <f t="shared" si="15"/>
        <v>78840</v>
      </c>
    </row>
    <row r="79" spans="1:12" x14ac:dyDescent="0.25">
      <c r="A79">
        <v>4</v>
      </c>
      <c r="B79" s="16">
        <f t="shared" si="15"/>
        <v>157680</v>
      </c>
      <c r="C79" s="16">
        <f t="shared" si="15"/>
        <v>157680</v>
      </c>
      <c r="D79" s="16">
        <f t="shared" si="15"/>
        <v>157680</v>
      </c>
      <c r="E79" s="16">
        <f t="shared" si="15"/>
        <v>157680</v>
      </c>
      <c r="F79" s="16">
        <f t="shared" si="15"/>
        <v>157680</v>
      </c>
      <c r="G79" s="16">
        <f t="shared" si="15"/>
        <v>157680</v>
      </c>
      <c r="H79" s="16">
        <f t="shared" si="15"/>
        <v>157680</v>
      </c>
      <c r="I79" s="16">
        <f t="shared" si="15"/>
        <v>157680</v>
      </c>
      <c r="J79" s="16">
        <f t="shared" si="15"/>
        <v>157680</v>
      </c>
      <c r="K79" s="16">
        <f t="shared" si="15"/>
        <v>157680</v>
      </c>
      <c r="L79" s="16">
        <f t="shared" si="15"/>
        <v>157680</v>
      </c>
    </row>
    <row r="80" spans="1:12" x14ac:dyDescent="0.25">
      <c r="A80">
        <v>5</v>
      </c>
      <c r="B80" s="16">
        <f t="shared" si="15"/>
        <v>3942000</v>
      </c>
      <c r="C80" s="16">
        <f t="shared" si="15"/>
        <v>3942000</v>
      </c>
      <c r="D80" s="16">
        <f t="shared" si="15"/>
        <v>3942000</v>
      </c>
      <c r="E80" s="16">
        <f t="shared" si="15"/>
        <v>0</v>
      </c>
      <c r="F80" s="16">
        <f t="shared" si="15"/>
        <v>0</v>
      </c>
      <c r="G80" s="16">
        <f t="shared" si="15"/>
        <v>0</v>
      </c>
      <c r="H80" s="16">
        <f t="shared" si="15"/>
        <v>0</v>
      </c>
      <c r="I80" s="16">
        <f t="shared" si="15"/>
        <v>0</v>
      </c>
      <c r="J80" s="16">
        <f t="shared" si="15"/>
        <v>0</v>
      </c>
      <c r="K80" s="16">
        <f t="shared" si="15"/>
        <v>0</v>
      </c>
      <c r="L80" s="16">
        <f t="shared" si="15"/>
        <v>0</v>
      </c>
    </row>
    <row r="81" spans="1:12" x14ac:dyDescent="0.25">
      <c r="A81">
        <v>6</v>
      </c>
      <c r="B81" s="16">
        <f t="shared" si="15"/>
        <v>2628000</v>
      </c>
      <c r="C81" s="16">
        <f t="shared" si="15"/>
        <v>1051200</v>
      </c>
      <c r="D81" s="16">
        <f t="shared" si="15"/>
        <v>1051200</v>
      </c>
      <c r="E81" s="16">
        <f t="shared" si="15"/>
        <v>1051200</v>
      </c>
      <c r="F81" s="16">
        <f t="shared" si="15"/>
        <v>1051200</v>
      </c>
      <c r="G81" s="16">
        <f t="shared" si="15"/>
        <v>525600</v>
      </c>
      <c r="H81" s="16">
        <f t="shared" si="15"/>
        <v>525600</v>
      </c>
      <c r="I81" s="16">
        <f t="shared" si="15"/>
        <v>525600</v>
      </c>
      <c r="J81" s="16">
        <f t="shared" si="15"/>
        <v>525600</v>
      </c>
      <c r="K81" s="16">
        <f t="shared" si="15"/>
        <v>525600</v>
      </c>
      <c r="L81" s="16">
        <f t="shared" si="15"/>
        <v>525600</v>
      </c>
    </row>
    <row r="82" spans="1:12" x14ac:dyDescent="0.25">
      <c r="A82">
        <v>7</v>
      </c>
      <c r="B82" s="16">
        <f t="shared" si="15"/>
        <v>1930680</v>
      </c>
      <c r="C82" s="16">
        <f t="shared" si="15"/>
        <v>2940150</v>
      </c>
      <c r="D82" s="16">
        <f t="shared" si="15"/>
        <v>3605250</v>
      </c>
      <c r="E82" s="16">
        <f t="shared" si="15"/>
        <v>4204800</v>
      </c>
      <c r="F82" s="16">
        <f t="shared" si="15"/>
        <v>4204800</v>
      </c>
      <c r="G82" s="16">
        <f t="shared" si="15"/>
        <v>4204800</v>
      </c>
      <c r="H82" s="16">
        <f t="shared" si="15"/>
        <v>4204800</v>
      </c>
      <c r="I82" s="16">
        <f t="shared" si="15"/>
        <v>4204800</v>
      </c>
      <c r="J82" s="16">
        <f t="shared" si="15"/>
        <v>4204800</v>
      </c>
      <c r="K82" s="16">
        <f t="shared" si="15"/>
        <v>4204800</v>
      </c>
      <c r="L82" s="16">
        <f t="shared" si="15"/>
        <v>4204800</v>
      </c>
    </row>
    <row r="84" spans="1:12" x14ac:dyDescent="0.25">
      <c r="A84" s="9" t="s">
        <v>156</v>
      </c>
      <c r="B84" s="9">
        <v>0</v>
      </c>
      <c r="C84" s="9">
        <v>1</v>
      </c>
      <c r="D84" s="9">
        <v>2</v>
      </c>
      <c r="E84" s="9">
        <v>3</v>
      </c>
      <c r="F84" s="9">
        <v>4</v>
      </c>
      <c r="G84" s="9">
        <v>5</v>
      </c>
      <c r="H84" s="9">
        <v>6</v>
      </c>
      <c r="I84" s="9">
        <v>7</v>
      </c>
      <c r="J84" s="9">
        <v>8</v>
      </c>
      <c r="K84" s="9">
        <v>9</v>
      </c>
      <c r="L84" s="9">
        <v>10</v>
      </c>
    </row>
    <row r="85" spans="1:12" x14ac:dyDescent="0.25">
      <c r="A85" t="s">
        <v>7</v>
      </c>
      <c r="B85">
        <f t="shared" ref="B85:B91" si="16">INDEX(B$76:B$82,MATCH($A85,B$53:B$59,0),1)</f>
        <v>2628000</v>
      </c>
      <c r="C85">
        <f t="shared" ref="C85:L85" si="17">INDEX(C$76:C$82,MATCH($A85,C$53:C$59,0),1)</f>
        <v>1051200</v>
      </c>
      <c r="D85">
        <f t="shared" si="17"/>
        <v>1051200</v>
      </c>
      <c r="E85">
        <f t="shared" si="17"/>
        <v>1051200</v>
      </c>
      <c r="F85">
        <f t="shared" si="17"/>
        <v>1051200</v>
      </c>
      <c r="G85">
        <f t="shared" si="17"/>
        <v>525600</v>
      </c>
      <c r="H85">
        <f t="shared" si="17"/>
        <v>525600</v>
      </c>
      <c r="I85">
        <f t="shared" si="17"/>
        <v>525600</v>
      </c>
      <c r="J85">
        <f t="shared" si="17"/>
        <v>525600</v>
      </c>
      <c r="K85">
        <f t="shared" si="17"/>
        <v>525600</v>
      </c>
      <c r="L85">
        <f t="shared" si="17"/>
        <v>525600</v>
      </c>
    </row>
    <row r="86" spans="1:12" x14ac:dyDescent="0.25">
      <c r="A86" t="s">
        <v>8</v>
      </c>
      <c r="B86">
        <f t="shared" si="16"/>
        <v>1930680</v>
      </c>
      <c r="C86">
        <f t="shared" ref="C86:L91" si="18">INDEX(C$76:C$82,MATCH($A86,C$53:C$59,0),1)</f>
        <v>2940150</v>
      </c>
      <c r="D86">
        <f t="shared" si="18"/>
        <v>3605250</v>
      </c>
      <c r="E86">
        <f t="shared" si="18"/>
        <v>4204800</v>
      </c>
      <c r="F86">
        <f t="shared" si="18"/>
        <v>4204800</v>
      </c>
      <c r="G86">
        <f t="shared" si="18"/>
        <v>4204800</v>
      </c>
      <c r="H86">
        <f t="shared" si="18"/>
        <v>4204800</v>
      </c>
      <c r="I86">
        <f t="shared" si="18"/>
        <v>4204800</v>
      </c>
      <c r="J86">
        <f t="shared" si="18"/>
        <v>4204800</v>
      </c>
      <c r="K86">
        <f t="shared" si="18"/>
        <v>4204800</v>
      </c>
      <c r="L86">
        <f t="shared" si="18"/>
        <v>4204800</v>
      </c>
    </row>
    <row r="87" spans="1:12" x14ac:dyDescent="0.25">
      <c r="A87" t="s">
        <v>13</v>
      </c>
      <c r="B87">
        <f t="shared" si="16"/>
        <v>3942000</v>
      </c>
      <c r="C87">
        <f t="shared" si="18"/>
        <v>3942000</v>
      </c>
      <c r="D87">
        <f t="shared" si="18"/>
        <v>3942000</v>
      </c>
      <c r="E87">
        <f t="shared" si="18"/>
        <v>0</v>
      </c>
      <c r="F87">
        <f t="shared" si="18"/>
        <v>0</v>
      </c>
      <c r="G87">
        <f t="shared" si="18"/>
        <v>0</v>
      </c>
      <c r="H87">
        <f t="shared" si="18"/>
        <v>0</v>
      </c>
      <c r="I87">
        <f t="shared" si="18"/>
        <v>0</v>
      </c>
      <c r="J87">
        <f t="shared" si="18"/>
        <v>0</v>
      </c>
      <c r="K87">
        <f t="shared" si="18"/>
        <v>0</v>
      </c>
      <c r="L87">
        <f t="shared" si="18"/>
        <v>0</v>
      </c>
    </row>
    <row r="88" spans="1:12" x14ac:dyDescent="0.25">
      <c r="A88" t="s">
        <v>9</v>
      </c>
      <c r="B88">
        <f t="shared" si="16"/>
        <v>65700</v>
      </c>
      <c r="C88">
        <f t="shared" si="18"/>
        <v>65700</v>
      </c>
      <c r="D88">
        <f t="shared" si="18"/>
        <v>65700</v>
      </c>
      <c r="E88">
        <f t="shared" si="18"/>
        <v>65700</v>
      </c>
      <c r="F88">
        <f t="shared" si="18"/>
        <v>65700</v>
      </c>
      <c r="G88">
        <f t="shared" si="18"/>
        <v>65700</v>
      </c>
      <c r="H88">
        <f t="shared" si="18"/>
        <v>65700</v>
      </c>
      <c r="I88">
        <f t="shared" si="18"/>
        <v>65700</v>
      </c>
      <c r="J88">
        <f t="shared" si="18"/>
        <v>65700</v>
      </c>
      <c r="K88">
        <f t="shared" si="18"/>
        <v>65700</v>
      </c>
      <c r="L88">
        <f t="shared" si="18"/>
        <v>65700</v>
      </c>
    </row>
    <row r="89" spans="1:12" x14ac:dyDescent="0.25">
      <c r="A89" t="s">
        <v>10</v>
      </c>
      <c r="B89">
        <f t="shared" si="16"/>
        <v>78840</v>
      </c>
      <c r="C89">
        <f t="shared" si="18"/>
        <v>78840</v>
      </c>
      <c r="D89">
        <f t="shared" si="18"/>
        <v>78840</v>
      </c>
      <c r="E89">
        <f t="shared" si="18"/>
        <v>78840</v>
      </c>
      <c r="F89">
        <f t="shared" si="18"/>
        <v>78840</v>
      </c>
      <c r="G89">
        <f t="shared" si="18"/>
        <v>78840</v>
      </c>
      <c r="H89">
        <f t="shared" si="18"/>
        <v>78840</v>
      </c>
      <c r="I89">
        <f t="shared" si="18"/>
        <v>78840</v>
      </c>
      <c r="J89">
        <f t="shared" si="18"/>
        <v>78840</v>
      </c>
      <c r="K89">
        <f t="shared" si="18"/>
        <v>78840</v>
      </c>
      <c r="L89">
        <f t="shared" si="18"/>
        <v>78840</v>
      </c>
    </row>
    <row r="90" spans="1:12" x14ac:dyDescent="0.25">
      <c r="A90" t="s">
        <v>11</v>
      </c>
      <c r="B90">
        <f t="shared" si="16"/>
        <v>157680</v>
      </c>
      <c r="C90">
        <f t="shared" si="18"/>
        <v>157680</v>
      </c>
      <c r="D90">
        <f t="shared" si="18"/>
        <v>157680</v>
      </c>
      <c r="E90">
        <f t="shared" si="18"/>
        <v>157680</v>
      </c>
      <c r="F90">
        <f t="shared" si="18"/>
        <v>157680</v>
      </c>
      <c r="G90">
        <f t="shared" si="18"/>
        <v>157680</v>
      </c>
      <c r="H90">
        <f t="shared" si="18"/>
        <v>157680</v>
      </c>
      <c r="I90">
        <f t="shared" si="18"/>
        <v>157680</v>
      </c>
      <c r="J90">
        <f t="shared" si="18"/>
        <v>157680</v>
      </c>
      <c r="K90">
        <f t="shared" si="18"/>
        <v>157680</v>
      </c>
      <c r="L90">
        <f t="shared" si="18"/>
        <v>157680</v>
      </c>
    </row>
    <row r="91" spans="1:12" x14ac:dyDescent="0.25">
      <c r="A91" t="s">
        <v>296</v>
      </c>
      <c r="B91">
        <f t="shared" si="16"/>
        <v>87600</v>
      </c>
      <c r="C91">
        <f t="shared" si="18"/>
        <v>87600</v>
      </c>
      <c r="D91">
        <f t="shared" si="18"/>
        <v>87600</v>
      </c>
      <c r="E91">
        <f t="shared" si="18"/>
        <v>87600</v>
      </c>
      <c r="F91">
        <f t="shared" si="18"/>
        <v>87600</v>
      </c>
      <c r="G91">
        <f t="shared" si="18"/>
        <v>87600</v>
      </c>
      <c r="H91">
        <f t="shared" si="18"/>
        <v>87600</v>
      </c>
      <c r="I91">
        <f t="shared" si="18"/>
        <v>87600</v>
      </c>
      <c r="J91">
        <f t="shared" si="18"/>
        <v>87600</v>
      </c>
      <c r="K91">
        <f t="shared" si="18"/>
        <v>87600</v>
      </c>
      <c r="L91">
        <f t="shared" si="18"/>
        <v>87590</v>
      </c>
    </row>
    <row r="95" spans="1:12" x14ac:dyDescent="0.25">
      <c r="A95" s="9" t="s">
        <v>157</v>
      </c>
      <c r="B95" s="9">
        <v>0</v>
      </c>
      <c r="C95" s="9">
        <v>1</v>
      </c>
      <c r="D95" s="9">
        <v>2</v>
      </c>
      <c r="E95" s="9">
        <v>3</v>
      </c>
      <c r="F95" s="9">
        <v>4</v>
      </c>
      <c r="G95" s="9">
        <v>5</v>
      </c>
      <c r="H95" s="9">
        <v>6</v>
      </c>
      <c r="I95" s="9">
        <v>7</v>
      </c>
      <c r="J95" s="9">
        <v>8</v>
      </c>
      <c r="K95" s="9">
        <v>9</v>
      </c>
      <c r="L95" s="9">
        <v>10</v>
      </c>
    </row>
    <row r="96" spans="1:12" x14ac:dyDescent="0.25">
      <c r="A96" t="s">
        <v>7</v>
      </c>
      <c r="B96" s="33">
        <f>B85*'Game Assumptions'!$B54</f>
        <v>27265500</v>
      </c>
      <c r="C96" s="33">
        <f>C85*'Game Assumptions'!$B54</f>
        <v>10906200</v>
      </c>
      <c r="D96" s="33">
        <f>D85*'Game Assumptions'!$B54</f>
        <v>10906200</v>
      </c>
      <c r="E96" s="33">
        <f>E85*'Game Assumptions'!$B54</f>
        <v>10906200</v>
      </c>
      <c r="F96" s="33">
        <f>F85*'Game Assumptions'!$B54</f>
        <v>10906200</v>
      </c>
      <c r="G96" s="33">
        <f>G85*'Game Assumptions'!$B54</f>
        <v>5453100</v>
      </c>
      <c r="H96" s="33">
        <f>H85*'Game Assumptions'!$B54</f>
        <v>5453100</v>
      </c>
      <c r="I96" s="33">
        <f>I85*'Game Assumptions'!$B54</f>
        <v>5453100</v>
      </c>
      <c r="J96" s="33">
        <f>J85*'Game Assumptions'!$B54</f>
        <v>5453100</v>
      </c>
      <c r="K96" s="33">
        <f>K85*'Game Assumptions'!$B54</f>
        <v>5453100</v>
      </c>
      <c r="L96" s="33">
        <f>L85*'Game Assumptions'!$B54</f>
        <v>5453100</v>
      </c>
    </row>
    <row r="97" spans="1:12" x14ac:dyDescent="0.25">
      <c r="A97" t="s">
        <v>8</v>
      </c>
      <c r="B97" s="33">
        <f>B86*'Game Assumptions'!$B55</f>
        <v>13128624</v>
      </c>
      <c r="C97" s="33">
        <f>C86*'Game Assumptions'!$B55</f>
        <v>19993020</v>
      </c>
      <c r="D97" s="33">
        <f>D86*'Game Assumptions'!$B55</f>
        <v>24515700</v>
      </c>
      <c r="E97" s="33">
        <f>E86*'Game Assumptions'!$B55</f>
        <v>28592640</v>
      </c>
      <c r="F97" s="33">
        <f>F86*'Game Assumptions'!$B55</f>
        <v>28592640</v>
      </c>
      <c r="G97" s="33">
        <f>G86*'Game Assumptions'!$B55</f>
        <v>28592640</v>
      </c>
      <c r="H97" s="33">
        <f>H86*'Game Assumptions'!$B55</f>
        <v>28592640</v>
      </c>
      <c r="I97" s="33">
        <f>I86*'Game Assumptions'!$B55</f>
        <v>28592640</v>
      </c>
      <c r="J97" s="33">
        <f>J86*'Game Assumptions'!$B55</f>
        <v>28592640</v>
      </c>
      <c r="K97" s="33">
        <f>K86*'Game Assumptions'!$B55</f>
        <v>28592640</v>
      </c>
      <c r="L97" s="33">
        <f>L86*'Game Assumptions'!$B55</f>
        <v>28592640</v>
      </c>
    </row>
    <row r="98" spans="1:12" x14ac:dyDescent="0.25">
      <c r="A98" t="s">
        <v>13</v>
      </c>
      <c r="B98" s="33">
        <f>B87*'Game Assumptions'!$B56</f>
        <v>41193900</v>
      </c>
      <c r="C98" s="33">
        <f>C87*'Game Assumptions'!$B56</f>
        <v>41193900</v>
      </c>
      <c r="D98" s="33">
        <f>D87*'Game Assumptions'!$B56</f>
        <v>41193900</v>
      </c>
      <c r="E98" s="33">
        <f>E87*'Game Assumptions'!$B56</f>
        <v>0</v>
      </c>
      <c r="F98" s="33">
        <f>F87*'Game Assumptions'!$B56</f>
        <v>0</v>
      </c>
      <c r="G98" s="33">
        <f>G87*'Game Assumptions'!$B56</f>
        <v>0</v>
      </c>
      <c r="H98" s="33">
        <f>H87*'Game Assumptions'!$B56</f>
        <v>0</v>
      </c>
      <c r="I98" s="33">
        <f>I87*'Game Assumptions'!$B56</f>
        <v>0</v>
      </c>
      <c r="J98" s="33">
        <f>J87*'Game Assumptions'!$B56</f>
        <v>0</v>
      </c>
      <c r="K98" s="33">
        <f>K87*'Game Assumptions'!$B56</f>
        <v>0</v>
      </c>
      <c r="L98" s="33">
        <f>L87*'Game Assumptions'!$B56</f>
        <v>0</v>
      </c>
    </row>
    <row r="99" spans="1:12" x14ac:dyDescent="0.25">
      <c r="A99" t="s">
        <v>9</v>
      </c>
      <c r="B99" s="33">
        <f>B88*'Game Assumptions'!$B57</f>
        <v>0</v>
      </c>
      <c r="C99" s="33">
        <f>C88*'Game Assumptions'!$B57</f>
        <v>0</v>
      </c>
      <c r="D99" s="33">
        <f>D88*'Game Assumptions'!$B57</f>
        <v>0</v>
      </c>
      <c r="E99" s="33">
        <f>E88*'Game Assumptions'!$B57</f>
        <v>0</v>
      </c>
      <c r="F99" s="33">
        <f>F88*'Game Assumptions'!$B57</f>
        <v>0</v>
      </c>
      <c r="G99" s="33">
        <f>G88*'Game Assumptions'!$B57</f>
        <v>0</v>
      </c>
      <c r="H99" s="33">
        <f>H88*'Game Assumptions'!$B57</f>
        <v>0</v>
      </c>
      <c r="I99" s="33">
        <f>I88*'Game Assumptions'!$B57</f>
        <v>0</v>
      </c>
      <c r="J99" s="33">
        <f>J88*'Game Assumptions'!$B57</f>
        <v>0</v>
      </c>
      <c r="K99" s="33">
        <f>K88*'Game Assumptions'!$B57</f>
        <v>0</v>
      </c>
      <c r="L99" s="33">
        <f>L88*'Game Assumptions'!$B57</f>
        <v>0</v>
      </c>
    </row>
    <row r="100" spans="1:12" x14ac:dyDescent="0.25">
      <c r="A100" t="s">
        <v>10</v>
      </c>
      <c r="B100" s="33">
        <f>B89*'Game Assumptions'!$B58</f>
        <v>0</v>
      </c>
      <c r="C100" s="33">
        <f>C89*'Game Assumptions'!$B58</f>
        <v>0</v>
      </c>
      <c r="D100" s="33">
        <f>D89*'Game Assumptions'!$B58</f>
        <v>0</v>
      </c>
      <c r="E100" s="33">
        <f>E89*'Game Assumptions'!$B58</f>
        <v>0</v>
      </c>
      <c r="F100" s="33">
        <f>F89*'Game Assumptions'!$B58</f>
        <v>0</v>
      </c>
      <c r="G100" s="33">
        <f>G89*'Game Assumptions'!$B58</f>
        <v>0</v>
      </c>
      <c r="H100" s="33">
        <f>H89*'Game Assumptions'!$B58</f>
        <v>0</v>
      </c>
      <c r="I100" s="33">
        <f>I89*'Game Assumptions'!$B58</f>
        <v>0</v>
      </c>
      <c r="J100" s="33">
        <f>J89*'Game Assumptions'!$B58</f>
        <v>0</v>
      </c>
      <c r="K100" s="33">
        <f>K89*'Game Assumptions'!$B58</f>
        <v>0</v>
      </c>
      <c r="L100" s="33">
        <f>L89*'Game Assumptions'!$B58</f>
        <v>0</v>
      </c>
    </row>
    <row r="101" spans="1:12" x14ac:dyDescent="0.25">
      <c r="A101" t="s">
        <v>11</v>
      </c>
      <c r="B101" s="33">
        <f>B90*'Game Assumptions'!$B59</f>
        <v>0</v>
      </c>
      <c r="C101" s="33">
        <f>C90*'Game Assumptions'!$B59</f>
        <v>0</v>
      </c>
      <c r="D101" s="33">
        <f>D90*'Game Assumptions'!$B59</f>
        <v>0</v>
      </c>
      <c r="E101" s="33">
        <f>E90*'Game Assumptions'!$B59</f>
        <v>0</v>
      </c>
      <c r="F101" s="33">
        <f>F90*'Game Assumptions'!$B59</f>
        <v>0</v>
      </c>
      <c r="G101" s="33">
        <f>G90*'Game Assumptions'!$B59</f>
        <v>0</v>
      </c>
      <c r="H101" s="33">
        <f>H90*'Game Assumptions'!$B59</f>
        <v>0</v>
      </c>
      <c r="I101" s="33">
        <f>I90*'Game Assumptions'!$B59</f>
        <v>0</v>
      </c>
      <c r="J101" s="33">
        <f>J90*'Game Assumptions'!$B59</f>
        <v>0</v>
      </c>
      <c r="K101" s="33">
        <f>K90*'Game Assumptions'!$B59</f>
        <v>0</v>
      </c>
      <c r="L101" s="33">
        <f>L90*'Game Assumptions'!$B59</f>
        <v>0</v>
      </c>
    </row>
    <row r="102" spans="1:12" x14ac:dyDescent="0.25">
      <c r="A102" t="s">
        <v>296</v>
      </c>
      <c r="B102" s="33">
        <f>B91*'Game Assumptions'!$B60</f>
        <v>0</v>
      </c>
      <c r="C102" s="33">
        <f>C91*'Game Assumptions'!$B60</f>
        <v>0</v>
      </c>
      <c r="D102" s="33">
        <f>D91*'Game Assumptions'!$B60</f>
        <v>0</v>
      </c>
      <c r="E102" s="33">
        <f>E91*'Game Assumptions'!$B60</f>
        <v>0</v>
      </c>
      <c r="F102" s="33">
        <f>F91*'Game Assumptions'!$B60</f>
        <v>0</v>
      </c>
      <c r="G102" s="33">
        <f>G91*'Game Assumptions'!$B60</f>
        <v>0</v>
      </c>
      <c r="H102" s="33">
        <f>H91*'Game Assumptions'!$B60</f>
        <v>0</v>
      </c>
      <c r="I102" s="33">
        <f>I91*'Game Assumptions'!$B60</f>
        <v>0</v>
      </c>
      <c r="J102" s="33">
        <f>J91*'Game Assumptions'!$B60</f>
        <v>0</v>
      </c>
      <c r="K102" s="33">
        <f>K91*'Game Assumptions'!$B60</f>
        <v>0</v>
      </c>
      <c r="L102" s="33">
        <f>L91*'Game Assumptions'!$B60</f>
        <v>0</v>
      </c>
    </row>
    <row r="104" spans="1:12" ht="18.75" x14ac:dyDescent="0.3">
      <c r="A104" s="20" t="s">
        <v>159</v>
      </c>
      <c r="B104" s="20"/>
      <c r="C104" s="20"/>
      <c r="D104" s="20"/>
      <c r="E104" s="20"/>
      <c r="F104" s="20"/>
      <c r="G104" s="20"/>
      <c r="H104" s="20"/>
      <c r="I104" s="20"/>
      <c r="J104" s="20"/>
      <c r="K104" s="20"/>
      <c r="L104" s="20"/>
    </row>
    <row r="105" spans="1:12" x14ac:dyDescent="0.25">
      <c r="A105" s="9" t="s">
        <v>117</v>
      </c>
      <c r="B105" s="9">
        <v>0</v>
      </c>
      <c r="C105" s="9">
        <v>1</v>
      </c>
      <c r="D105" s="9">
        <v>2</v>
      </c>
      <c r="E105" s="9">
        <v>3</v>
      </c>
      <c r="F105" s="9">
        <v>4</v>
      </c>
      <c r="G105" s="9">
        <v>5</v>
      </c>
      <c r="H105" s="9">
        <v>6</v>
      </c>
      <c r="I105" s="9">
        <v>7</v>
      </c>
      <c r="J105" s="9">
        <v>8</v>
      </c>
      <c r="K105" s="9">
        <v>9</v>
      </c>
      <c r="L105" s="9">
        <v>10</v>
      </c>
    </row>
    <row r="106" spans="1:12" x14ac:dyDescent="0.25">
      <c r="A106" t="s">
        <v>154</v>
      </c>
      <c r="B106" s="88">
        <f>'Resource Mix and Demand'!B61</f>
        <v>8890500</v>
      </c>
      <c r="C106" s="88">
        <f>'Resource Mix and Demand'!C61</f>
        <v>8323170</v>
      </c>
      <c r="D106" s="88">
        <f>'Resource Mix and Demand'!D61</f>
        <v>8988270</v>
      </c>
      <c r="E106" s="88">
        <f>'Resource Mix and Demand'!E61</f>
        <v>8664800</v>
      </c>
      <c r="F106" s="88">
        <f>'Resource Mix and Demand'!F61</f>
        <v>8504760</v>
      </c>
      <c r="G106" s="88">
        <f>'Resource Mix and Demand'!G61</f>
        <v>8316150</v>
      </c>
      <c r="H106" s="88">
        <f>'Resource Mix and Demand'!H61</f>
        <v>7653970</v>
      </c>
      <c r="I106" s="88">
        <f>'Resource Mix and Demand'!I61</f>
        <v>8045220</v>
      </c>
      <c r="J106" s="88">
        <f>'Resource Mix and Demand'!J61</f>
        <v>7701900</v>
      </c>
      <c r="K106" s="88">
        <f>'Resource Mix and Demand'!K61</f>
        <v>7292010</v>
      </c>
      <c r="L106" s="88">
        <f>'Resource Mix and Demand'!L61</f>
        <v>7441550</v>
      </c>
    </row>
    <row r="108" spans="1:12" x14ac:dyDescent="0.25">
      <c r="A108" s="9" t="s">
        <v>153</v>
      </c>
      <c r="B108" s="9">
        <v>0</v>
      </c>
      <c r="C108" s="9">
        <v>1</v>
      </c>
      <c r="D108" s="9">
        <v>2</v>
      </c>
      <c r="E108" s="9">
        <v>3</v>
      </c>
      <c r="F108" s="9">
        <v>4</v>
      </c>
      <c r="G108" s="9">
        <v>5</v>
      </c>
      <c r="H108" s="9">
        <v>6</v>
      </c>
      <c r="I108" s="9">
        <v>7</v>
      </c>
      <c r="J108" s="9">
        <v>8</v>
      </c>
      <c r="K108" s="9">
        <v>9</v>
      </c>
      <c r="L108" s="9">
        <v>10</v>
      </c>
    </row>
    <row r="109" spans="1:12" x14ac:dyDescent="0.25">
      <c r="A109">
        <v>1</v>
      </c>
      <c r="B109" s="16">
        <f>MAX(IF(B62&lt;B$106,B62-IF(B61&lt;=10,0,B61),B$106-B61),0)</f>
        <v>87600</v>
      </c>
      <c r="C109" s="16">
        <f t="shared" ref="C109:L109" si="19">MAX(IF(C62&lt;C$106,C62-IF(C61&lt;=10,0,C61),C$106-C61),0)</f>
        <v>87600</v>
      </c>
      <c r="D109" s="16">
        <f t="shared" si="19"/>
        <v>87600</v>
      </c>
      <c r="E109" s="16">
        <f t="shared" si="19"/>
        <v>87600</v>
      </c>
      <c r="F109" s="16">
        <f t="shared" si="19"/>
        <v>87600</v>
      </c>
      <c r="G109" s="16">
        <f t="shared" si="19"/>
        <v>87600</v>
      </c>
      <c r="H109" s="16">
        <f t="shared" si="19"/>
        <v>87600</v>
      </c>
      <c r="I109" s="16">
        <f t="shared" si="19"/>
        <v>87600</v>
      </c>
      <c r="J109" s="16">
        <f t="shared" si="19"/>
        <v>87600</v>
      </c>
      <c r="K109" s="16">
        <f t="shared" si="19"/>
        <v>87600</v>
      </c>
      <c r="L109" s="16">
        <f t="shared" si="19"/>
        <v>87600</v>
      </c>
    </row>
    <row r="110" spans="1:12" x14ac:dyDescent="0.25">
      <c r="A110">
        <v>2</v>
      </c>
      <c r="B110" s="16">
        <f t="shared" ref="B110:L115" si="20">MAX(IF(B63&lt;B$106,B63-IF(B62&lt;=10,0,B62),B$106-B62),0)</f>
        <v>65700</v>
      </c>
      <c r="C110" s="16">
        <f t="shared" si="20"/>
        <v>65700</v>
      </c>
      <c r="D110" s="16">
        <f t="shared" si="20"/>
        <v>65700</v>
      </c>
      <c r="E110" s="16">
        <f t="shared" si="20"/>
        <v>65700</v>
      </c>
      <c r="F110" s="16">
        <f t="shared" si="20"/>
        <v>65700</v>
      </c>
      <c r="G110" s="16">
        <f t="shared" si="20"/>
        <v>65700</v>
      </c>
      <c r="H110" s="16">
        <f t="shared" si="20"/>
        <v>65700</v>
      </c>
      <c r="I110" s="16">
        <f t="shared" si="20"/>
        <v>65700</v>
      </c>
      <c r="J110" s="16">
        <f t="shared" si="20"/>
        <v>65700</v>
      </c>
      <c r="K110" s="16">
        <f t="shared" si="20"/>
        <v>65700</v>
      </c>
      <c r="L110" s="16">
        <f t="shared" si="20"/>
        <v>65700</v>
      </c>
    </row>
    <row r="111" spans="1:12" x14ac:dyDescent="0.25">
      <c r="A111">
        <v>3</v>
      </c>
      <c r="B111" s="16">
        <f t="shared" si="20"/>
        <v>78840</v>
      </c>
      <c r="C111" s="16">
        <f t="shared" si="20"/>
        <v>78840</v>
      </c>
      <c r="D111" s="16">
        <f t="shared" si="20"/>
        <v>78840</v>
      </c>
      <c r="E111" s="16">
        <f t="shared" si="20"/>
        <v>78840</v>
      </c>
      <c r="F111" s="16">
        <f t="shared" si="20"/>
        <v>78840</v>
      </c>
      <c r="G111" s="16">
        <f t="shared" si="20"/>
        <v>78840</v>
      </c>
      <c r="H111" s="16">
        <f t="shared" si="20"/>
        <v>78840</v>
      </c>
      <c r="I111" s="16">
        <f t="shared" si="20"/>
        <v>78840</v>
      </c>
      <c r="J111" s="16">
        <f t="shared" si="20"/>
        <v>78840</v>
      </c>
      <c r="K111" s="16">
        <f t="shared" si="20"/>
        <v>78840</v>
      </c>
      <c r="L111" s="16">
        <f t="shared" si="20"/>
        <v>78840</v>
      </c>
    </row>
    <row r="112" spans="1:12" x14ac:dyDescent="0.25">
      <c r="A112">
        <v>4</v>
      </c>
      <c r="B112" s="16">
        <f t="shared" si="20"/>
        <v>157680</v>
      </c>
      <c r="C112" s="16">
        <f t="shared" si="20"/>
        <v>157680</v>
      </c>
      <c r="D112" s="16">
        <f t="shared" si="20"/>
        <v>157680</v>
      </c>
      <c r="E112" s="16">
        <f t="shared" si="20"/>
        <v>157680</v>
      </c>
      <c r="F112" s="16">
        <f t="shared" si="20"/>
        <v>157680</v>
      </c>
      <c r="G112" s="16">
        <f t="shared" si="20"/>
        <v>157680</v>
      </c>
      <c r="H112" s="16">
        <f t="shared" si="20"/>
        <v>157680</v>
      </c>
      <c r="I112" s="16">
        <f t="shared" si="20"/>
        <v>157680</v>
      </c>
      <c r="J112" s="16">
        <f t="shared" si="20"/>
        <v>157680</v>
      </c>
      <c r="K112" s="16">
        <f t="shared" si="20"/>
        <v>157680</v>
      </c>
      <c r="L112" s="16">
        <f t="shared" si="20"/>
        <v>157680</v>
      </c>
    </row>
    <row r="113" spans="1:12" x14ac:dyDescent="0.25">
      <c r="A113">
        <v>5</v>
      </c>
      <c r="B113" s="16">
        <f t="shared" si="20"/>
        <v>3942000</v>
      </c>
      <c r="C113" s="16">
        <f t="shared" si="20"/>
        <v>3942000</v>
      </c>
      <c r="D113" s="16">
        <f t="shared" si="20"/>
        <v>3942000</v>
      </c>
      <c r="E113" s="16">
        <f t="shared" si="20"/>
        <v>0</v>
      </c>
      <c r="F113" s="16">
        <f t="shared" si="20"/>
        <v>0</v>
      </c>
      <c r="G113" s="16">
        <f t="shared" si="20"/>
        <v>0</v>
      </c>
      <c r="H113" s="16">
        <f t="shared" si="20"/>
        <v>0</v>
      </c>
      <c r="I113" s="16">
        <f t="shared" si="20"/>
        <v>0</v>
      </c>
      <c r="J113" s="16">
        <f t="shared" si="20"/>
        <v>0</v>
      </c>
      <c r="K113" s="16">
        <f t="shared" si="20"/>
        <v>0</v>
      </c>
      <c r="L113" s="16">
        <f t="shared" si="20"/>
        <v>0</v>
      </c>
    </row>
    <row r="114" spans="1:12" x14ac:dyDescent="0.25">
      <c r="A114">
        <v>6</v>
      </c>
      <c r="B114" s="16">
        <f t="shared" si="20"/>
        <v>2628000</v>
      </c>
      <c r="C114" s="16">
        <f t="shared" si="20"/>
        <v>1051200</v>
      </c>
      <c r="D114" s="16">
        <f t="shared" si="20"/>
        <v>1051200</v>
      </c>
      <c r="E114" s="16">
        <f t="shared" si="20"/>
        <v>1051200</v>
      </c>
      <c r="F114" s="16">
        <f t="shared" si="20"/>
        <v>1051200</v>
      </c>
      <c r="G114" s="16">
        <f t="shared" si="20"/>
        <v>525600</v>
      </c>
      <c r="H114" s="16">
        <f t="shared" si="20"/>
        <v>525600</v>
      </c>
      <c r="I114" s="16">
        <f t="shared" si="20"/>
        <v>525600</v>
      </c>
      <c r="J114" s="16">
        <f t="shared" si="20"/>
        <v>525600</v>
      </c>
      <c r="K114" s="16">
        <f t="shared" si="20"/>
        <v>525600</v>
      </c>
      <c r="L114" s="16">
        <f t="shared" si="20"/>
        <v>525600</v>
      </c>
    </row>
    <row r="115" spans="1:12" x14ac:dyDescent="0.25">
      <c r="A115">
        <v>7</v>
      </c>
      <c r="B115" s="16">
        <f t="shared" si="20"/>
        <v>1930680</v>
      </c>
      <c r="C115" s="16">
        <f t="shared" si="20"/>
        <v>2940150</v>
      </c>
      <c r="D115" s="16">
        <f t="shared" si="20"/>
        <v>3605250</v>
      </c>
      <c r="E115" s="16">
        <f t="shared" si="20"/>
        <v>4204800</v>
      </c>
      <c r="F115" s="16">
        <f t="shared" si="20"/>
        <v>4204800</v>
      </c>
      <c r="G115" s="16">
        <f t="shared" si="20"/>
        <v>4204800</v>
      </c>
      <c r="H115" s="16">
        <f t="shared" si="20"/>
        <v>4204800</v>
      </c>
      <c r="I115" s="16">
        <f t="shared" si="20"/>
        <v>4204800</v>
      </c>
      <c r="J115" s="16">
        <f t="shared" si="20"/>
        <v>4204800</v>
      </c>
      <c r="K115" s="16">
        <f t="shared" si="20"/>
        <v>4204800</v>
      </c>
      <c r="L115" s="16">
        <f t="shared" si="20"/>
        <v>4204800</v>
      </c>
    </row>
    <row r="117" spans="1:12" x14ac:dyDescent="0.25">
      <c r="A117" s="9" t="s">
        <v>160</v>
      </c>
      <c r="B117" s="9">
        <v>0</v>
      </c>
      <c r="C117" s="9">
        <v>1</v>
      </c>
      <c r="D117" s="9">
        <v>2</v>
      </c>
      <c r="E117" s="9">
        <v>3</v>
      </c>
      <c r="F117" s="9">
        <v>4</v>
      </c>
      <c r="G117" s="9">
        <v>5</v>
      </c>
      <c r="H117" s="9">
        <v>6</v>
      </c>
      <c r="I117" s="9">
        <v>7</v>
      </c>
      <c r="J117" s="9">
        <v>8</v>
      </c>
      <c r="K117" s="9">
        <v>9</v>
      </c>
      <c r="L117" s="9">
        <v>10</v>
      </c>
    </row>
    <row r="118" spans="1:12" x14ac:dyDescent="0.25">
      <c r="A118" t="s">
        <v>7</v>
      </c>
      <c r="B118" s="33">
        <f>INDEX(B$109:B$115,MATCH($A118,B$53:B$59,0),1)</f>
        <v>2628000</v>
      </c>
      <c r="C118" s="33">
        <f t="shared" ref="C118:L118" si="21">INDEX(C$109:C$115,MATCH($A118,C$53:C$59,0),1)</f>
        <v>1051200</v>
      </c>
      <c r="D118" s="33">
        <f t="shared" si="21"/>
        <v>1051200</v>
      </c>
      <c r="E118" s="33">
        <f t="shared" si="21"/>
        <v>1051200</v>
      </c>
      <c r="F118" s="33">
        <f t="shared" si="21"/>
        <v>1051200</v>
      </c>
      <c r="G118" s="33">
        <f t="shared" si="21"/>
        <v>525600</v>
      </c>
      <c r="H118" s="33">
        <f t="shared" si="21"/>
        <v>525600</v>
      </c>
      <c r="I118" s="33">
        <f t="shared" si="21"/>
        <v>525600</v>
      </c>
      <c r="J118" s="33">
        <f t="shared" si="21"/>
        <v>525600</v>
      </c>
      <c r="K118" s="33">
        <f t="shared" si="21"/>
        <v>525600</v>
      </c>
      <c r="L118" s="33">
        <f t="shared" si="21"/>
        <v>525600</v>
      </c>
    </row>
    <row r="119" spans="1:12" x14ac:dyDescent="0.25">
      <c r="A119" t="s">
        <v>8</v>
      </c>
      <c r="B119" s="33">
        <f t="shared" ref="B119:L124" si="22">INDEX(B$109:B$115,MATCH($A119,B$53:B$59,0),1)</f>
        <v>1930680</v>
      </c>
      <c r="C119" s="33">
        <f t="shared" si="22"/>
        <v>2940150</v>
      </c>
      <c r="D119" s="33">
        <f t="shared" si="22"/>
        <v>3605250</v>
      </c>
      <c r="E119" s="33">
        <f t="shared" si="22"/>
        <v>4204800</v>
      </c>
      <c r="F119" s="33">
        <f t="shared" si="22"/>
        <v>4204800</v>
      </c>
      <c r="G119" s="33">
        <f t="shared" si="22"/>
        <v>4204800</v>
      </c>
      <c r="H119" s="33">
        <f t="shared" si="22"/>
        <v>4204800</v>
      </c>
      <c r="I119" s="33">
        <f t="shared" si="22"/>
        <v>4204800</v>
      </c>
      <c r="J119" s="33">
        <f t="shared" si="22"/>
        <v>4204800</v>
      </c>
      <c r="K119" s="33">
        <f t="shared" si="22"/>
        <v>4204800</v>
      </c>
      <c r="L119" s="33">
        <f t="shared" si="22"/>
        <v>4204800</v>
      </c>
    </row>
    <row r="120" spans="1:12" x14ac:dyDescent="0.25">
      <c r="A120" t="s">
        <v>13</v>
      </c>
      <c r="B120" s="33">
        <f t="shared" si="22"/>
        <v>3942000</v>
      </c>
      <c r="C120" s="33">
        <f t="shared" si="22"/>
        <v>3942000</v>
      </c>
      <c r="D120" s="33">
        <f t="shared" si="22"/>
        <v>3942000</v>
      </c>
      <c r="E120" s="33">
        <f t="shared" si="22"/>
        <v>0</v>
      </c>
      <c r="F120" s="33">
        <f t="shared" si="22"/>
        <v>0</v>
      </c>
      <c r="G120" s="33">
        <f t="shared" si="22"/>
        <v>0</v>
      </c>
      <c r="H120" s="33">
        <f t="shared" si="22"/>
        <v>0</v>
      </c>
      <c r="I120" s="33">
        <f t="shared" si="22"/>
        <v>0</v>
      </c>
      <c r="J120" s="33">
        <f t="shared" si="22"/>
        <v>0</v>
      </c>
      <c r="K120" s="33">
        <f t="shared" si="22"/>
        <v>0</v>
      </c>
      <c r="L120" s="33">
        <f t="shared" si="22"/>
        <v>0</v>
      </c>
    </row>
    <row r="121" spans="1:12" x14ac:dyDescent="0.25">
      <c r="A121" t="s">
        <v>9</v>
      </c>
      <c r="B121" s="33">
        <f t="shared" si="22"/>
        <v>65700</v>
      </c>
      <c r="C121" s="33">
        <f t="shared" si="22"/>
        <v>65700</v>
      </c>
      <c r="D121" s="33">
        <f t="shared" si="22"/>
        <v>65700</v>
      </c>
      <c r="E121" s="33">
        <f t="shared" si="22"/>
        <v>65700</v>
      </c>
      <c r="F121" s="33">
        <f t="shared" si="22"/>
        <v>65700</v>
      </c>
      <c r="G121" s="33">
        <f t="shared" si="22"/>
        <v>65700</v>
      </c>
      <c r="H121" s="33">
        <f t="shared" si="22"/>
        <v>65700</v>
      </c>
      <c r="I121" s="33">
        <f t="shared" si="22"/>
        <v>65700</v>
      </c>
      <c r="J121" s="33">
        <f t="shared" si="22"/>
        <v>65700</v>
      </c>
      <c r="K121" s="33">
        <f t="shared" si="22"/>
        <v>65700</v>
      </c>
      <c r="L121" s="33">
        <f t="shared" si="22"/>
        <v>65700</v>
      </c>
    </row>
    <row r="122" spans="1:12" x14ac:dyDescent="0.25">
      <c r="A122" t="s">
        <v>10</v>
      </c>
      <c r="B122" s="33">
        <f t="shared" si="22"/>
        <v>78840</v>
      </c>
      <c r="C122" s="33">
        <f t="shared" si="22"/>
        <v>78840</v>
      </c>
      <c r="D122" s="33">
        <f t="shared" si="22"/>
        <v>78840</v>
      </c>
      <c r="E122" s="33">
        <f t="shared" si="22"/>
        <v>78840</v>
      </c>
      <c r="F122" s="33">
        <f t="shared" si="22"/>
        <v>78840</v>
      </c>
      <c r="G122" s="33">
        <f t="shared" si="22"/>
        <v>78840</v>
      </c>
      <c r="H122" s="33">
        <f t="shared" si="22"/>
        <v>78840</v>
      </c>
      <c r="I122" s="33">
        <f t="shared" si="22"/>
        <v>78840</v>
      </c>
      <c r="J122" s="33">
        <f t="shared" si="22"/>
        <v>78840</v>
      </c>
      <c r="K122" s="33">
        <f t="shared" si="22"/>
        <v>78840</v>
      </c>
      <c r="L122" s="33">
        <f t="shared" si="22"/>
        <v>78840</v>
      </c>
    </row>
    <row r="123" spans="1:12" x14ac:dyDescent="0.25">
      <c r="A123" t="s">
        <v>11</v>
      </c>
      <c r="B123" s="33">
        <f t="shared" si="22"/>
        <v>157680</v>
      </c>
      <c r="C123" s="33">
        <f t="shared" si="22"/>
        <v>157680</v>
      </c>
      <c r="D123" s="33">
        <f t="shared" si="22"/>
        <v>157680</v>
      </c>
      <c r="E123" s="33">
        <f t="shared" si="22"/>
        <v>157680</v>
      </c>
      <c r="F123" s="33">
        <f t="shared" si="22"/>
        <v>157680</v>
      </c>
      <c r="G123" s="33">
        <f t="shared" si="22"/>
        <v>157680</v>
      </c>
      <c r="H123" s="33">
        <f t="shared" si="22"/>
        <v>157680</v>
      </c>
      <c r="I123" s="33">
        <f t="shared" si="22"/>
        <v>157680</v>
      </c>
      <c r="J123" s="33">
        <f t="shared" si="22"/>
        <v>157680</v>
      </c>
      <c r="K123" s="33">
        <f t="shared" si="22"/>
        <v>157680</v>
      </c>
      <c r="L123" s="33">
        <f t="shared" si="22"/>
        <v>157680</v>
      </c>
    </row>
    <row r="124" spans="1:12" x14ac:dyDescent="0.25">
      <c r="A124" t="s">
        <v>296</v>
      </c>
      <c r="B124" s="33">
        <f t="shared" si="22"/>
        <v>87600</v>
      </c>
      <c r="C124" s="33">
        <f t="shared" si="22"/>
        <v>87600</v>
      </c>
      <c r="D124" s="33">
        <f t="shared" si="22"/>
        <v>87600</v>
      </c>
      <c r="E124" s="33">
        <f t="shared" si="22"/>
        <v>87600</v>
      </c>
      <c r="F124" s="33">
        <f t="shared" si="22"/>
        <v>87600</v>
      </c>
      <c r="G124" s="33">
        <f t="shared" si="22"/>
        <v>87600</v>
      </c>
      <c r="H124" s="33">
        <f t="shared" si="22"/>
        <v>87600</v>
      </c>
      <c r="I124" s="33">
        <f t="shared" si="22"/>
        <v>87600</v>
      </c>
      <c r="J124" s="33">
        <f t="shared" si="22"/>
        <v>87600</v>
      </c>
      <c r="K124" s="33">
        <f t="shared" si="22"/>
        <v>87600</v>
      </c>
      <c r="L124" s="33">
        <f t="shared" si="22"/>
        <v>87600</v>
      </c>
    </row>
    <row r="125" spans="1:12" x14ac:dyDescent="0.25">
      <c r="A125" s="62"/>
      <c r="B125" s="7"/>
      <c r="C125" s="7"/>
      <c r="D125" s="7"/>
      <c r="E125" s="7"/>
      <c r="F125" s="7"/>
      <c r="G125" s="7"/>
      <c r="H125" s="7"/>
      <c r="I125" s="7"/>
      <c r="J125" s="7"/>
      <c r="K125" s="7"/>
      <c r="L125" s="7"/>
    </row>
    <row r="126" spans="1:12" x14ac:dyDescent="0.25">
      <c r="A126" s="9" t="s">
        <v>157</v>
      </c>
      <c r="B126" s="9">
        <v>0</v>
      </c>
      <c r="C126" s="9">
        <v>1</v>
      </c>
      <c r="D126" s="9">
        <v>2</v>
      </c>
      <c r="E126" s="9">
        <v>3</v>
      </c>
      <c r="F126" s="9">
        <v>4</v>
      </c>
      <c r="G126" s="9">
        <v>5</v>
      </c>
      <c r="H126" s="9">
        <v>6</v>
      </c>
      <c r="I126" s="9">
        <v>7</v>
      </c>
      <c r="J126" s="9">
        <v>8</v>
      </c>
      <c r="K126" s="9">
        <v>9</v>
      </c>
      <c r="L126" s="9">
        <v>10</v>
      </c>
    </row>
    <row r="127" spans="1:12" x14ac:dyDescent="0.25">
      <c r="A127" t="s">
        <v>7</v>
      </c>
      <c r="B127" s="33">
        <f>B118*'Game Assumptions'!$B54</f>
        <v>27265500</v>
      </c>
      <c r="C127" s="33">
        <f>C118*'Game Assumptions'!$B54</f>
        <v>10906200</v>
      </c>
      <c r="D127" s="33">
        <f>D118*'Game Assumptions'!$B54</f>
        <v>10906200</v>
      </c>
      <c r="E127" s="33">
        <f>E118*'Game Assumptions'!$B54</f>
        <v>10906200</v>
      </c>
      <c r="F127" s="33">
        <f>F118*'Game Assumptions'!$B54</f>
        <v>10906200</v>
      </c>
      <c r="G127" s="33">
        <f>G118*'Game Assumptions'!$B54</f>
        <v>5453100</v>
      </c>
      <c r="H127" s="33">
        <f>H118*'Game Assumptions'!$B54</f>
        <v>5453100</v>
      </c>
      <c r="I127" s="33">
        <f>I118*'Game Assumptions'!$B54</f>
        <v>5453100</v>
      </c>
      <c r="J127" s="33">
        <f>J118*'Game Assumptions'!$B54</f>
        <v>5453100</v>
      </c>
      <c r="K127" s="33">
        <f>K118*'Game Assumptions'!$B54</f>
        <v>5453100</v>
      </c>
      <c r="L127" s="33">
        <f>L118*'Game Assumptions'!$B54</f>
        <v>5453100</v>
      </c>
    </row>
    <row r="128" spans="1:12" x14ac:dyDescent="0.25">
      <c r="A128" t="s">
        <v>8</v>
      </c>
      <c r="B128" s="33">
        <f>B119*'Game Assumptions'!$B55</f>
        <v>13128624</v>
      </c>
      <c r="C128" s="33">
        <f>C119*'Game Assumptions'!$B55</f>
        <v>19993020</v>
      </c>
      <c r="D128" s="33">
        <f>D119*'Game Assumptions'!$B55</f>
        <v>24515700</v>
      </c>
      <c r="E128" s="33">
        <f>E119*'Game Assumptions'!$B55</f>
        <v>28592640</v>
      </c>
      <c r="F128" s="33">
        <f>F119*'Game Assumptions'!$B55</f>
        <v>28592640</v>
      </c>
      <c r="G128" s="33">
        <f>G119*'Game Assumptions'!$B55</f>
        <v>28592640</v>
      </c>
      <c r="H128" s="33">
        <f>H119*'Game Assumptions'!$B55</f>
        <v>28592640</v>
      </c>
      <c r="I128" s="33">
        <f>I119*'Game Assumptions'!$B55</f>
        <v>28592640</v>
      </c>
      <c r="J128" s="33">
        <f>J119*'Game Assumptions'!$B55</f>
        <v>28592640</v>
      </c>
      <c r="K128" s="33">
        <f>K119*'Game Assumptions'!$B55</f>
        <v>28592640</v>
      </c>
      <c r="L128" s="33">
        <f>L119*'Game Assumptions'!$B55</f>
        <v>28592640</v>
      </c>
    </row>
    <row r="129" spans="1:12" x14ac:dyDescent="0.25">
      <c r="A129" t="s">
        <v>13</v>
      </c>
      <c r="B129" s="33">
        <f>B120*'Game Assumptions'!$B56</f>
        <v>41193900</v>
      </c>
      <c r="C129" s="33">
        <f>C120*'Game Assumptions'!$B56</f>
        <v>41193900</v>
      </c>
      <c r="D129" s="33">
        <f>D120*'Game Assumptions'!$B56</f>
        <v>41193900</v>
      </c>
      <c r="E129" s="33">
        <f>E120*'Game Assumptions'!$B56</f>
        <v>0</v>
      </c>
      <c r="F129" s="33">
        <f>F120*'Game Assumptions'!$B56</f>
        <v>0</v>
      </c>
      <c r="G129" s="33">
        <f>G120*'Game Assumptions'!$B56</f>
        <v>0</v>
      </c>
      <c r="H129" s="33">
        <f>H120*'Game Assumptions'!$B56</f>
        <v>0</v>
      </c>
      <c r="I129" s="33">
        <f>I120*'Game Assumptions'!$B56</f>
        <v>0</v>
      </c>
      <c r="J129" s="33">
        <f>J120*'Game Assumptions'!$B56</f>
        <v>0</v>
      </c>
      <c r="K129" s="33">
        <f>K120*'Game Assumptions'!$B56</f>
        <v>0</v>
      </c>
      <c r="L129" s="33">
        <f>L120*'Game Assumptions'!$B56</f>
        <v>0</v>
      </c>
    </row>
    <row r="130" spans="1:12" x14ac:dyDescent="0.25">
      <c r="A130" t="s">
        <v>9</v>
      </c>
      <c r="B130" s="33">
        <f>B121*'Game Assumptions'!$B57</f>
        <v>0</v>
      </c>
      <c r="C130" s="33">
        <f>C121*'Game Assumptions'!$B57</f>
        <v>0</v>
      </c>
      <c r="D130" s="33">
        <f>D121*'Game Assumptions'!$B57</f>
        <v>0</v>
      </c>
      <c r="E130" s="33">
        <f>E121*'Game Assumptions'!$B57</f>
        <v>0</v>
      </c>
      <c r="F130" s="33">
        <f>F121*'Game Assumptions'!$B57</f>
        <v>0</v>
      </c>
      <c r="G130" s="33">
        <f>G121*'Game Assumptions'!$B57</f>
        <v>0</v>
      </c>
      <c r="H130" s="33">
        <f>H121*'Game Assumptions'!$B57</f>
        <v>0</v>
      </c>
      <c r="I130" s="33">
        <f>I121*'Game Assumptions'!$B57</f>
        <v>0</v>
      </c>
      <c r="J130" s="33">
        <f>J121*'Game Assumptions'!$B57</f>
        <v>0</v>
      </c>
      <c r="K130" s="33">
        <f>K121*'Game Assumptions'!$B57</f>
        <v>0</v>
      </c>
      <c r="L130" s="33">
        <f>L121*'Game Assumptions'!$B57</f>
        <v>0</v>
      </c>
    </row>
    <row r="131" spans="1:12" x14ac:dyDescent="0.25">
      <c r="A131" t="s">
        <v>10</v>
      </c>
      <c r="B131" s="33">
        <f>B122*'Game Assumptions'!$B58</f>
        <v>0</v>
      </c>
      <c r="C131" s="33">
        <f>C122*'Game Assumptions'!$B58</f>
        <v>0</v>
      </c>
      <c r="D131" s="33">
        <f>D122*'Game Assumptions'!$B58</f>
        <v>0</v>
      </c>
      <c r="E131" s="33">
        <f>E122*'Game Assumptions'!$B58</f>
        <v>0</v>
      </c>
      <c r="F131" s="33">
        <f>F122*'Game Assumptions'!$B58</f>
        <v>0</v>
      </c>
      <c r="G131" s="33">
        <f>G122*'Game Assumptions'!$B58</f>
        <v>0</v>
      </c>
      <c r="H131" s="33">
        <f>H122*'Game Assumptions'!$B58</f>
        <v>0</v>
      </c>
      <c r="I131" s="33">
        <f>I122*'Game Assumptions'!$B58</f>
        <v>0</v>
      </c>
      <c r="J131" s="33">
        <f>J122*'Game Assumptions'!$B58</f>
        <v>0</v>
      </c>
      <c r="K131" s="33">
        <f>K122*'Game Assumptions'!$B58</f>
        <v>0</v>
      </c>
      <c r="L131" s="33">
        <f>L122*'Game Assumptions'!$B58</f>
        <v>0</v>
      </c>
    </row>
    <row r="132" spans="1:12" x14ac:dyDescent="0.25">
      <c r="A132" t="s">
        <v>11</v>
      </c>
      <c r="B132" s="33">
        <f>B123*'Game Assumptions'!$B59</f>
        <v>0</v>
      </c>
      <c r="C132" s="33">
        <f>C123*'Game Assumptions'!$B59</f>
        <v>0</v>
      </c>
      <c r="D132" s="33">
        <f>D123*'Game Assumptions'!$B59</f>
        <v>0</v>
      </c>
      <c r="E132" s="33">
        <f>E123*'Game Assumptions'!$B59</f>
        <v>0</v>
      </c>
      <c r="F132" s="33">
        <f>F123*'Game Assumptions'!$B59</f>
        <v>0</v>
      </c>
      <c r="G132" s="33">
        <f>G123*'Game Assumptions'!$B59</f>
        <v>0</v>
      </c>
      <c r="H132" s="33">
        <f>H123*'Game Assumptions'!$B59</f>
        <v>0</v>
      </c>
      <c r="I132" s="33">
        <f>I123*'Game Assumptions'!$B59</f>
        <v>0</v>
      </c>
      <c r="J132" s="33">
        <f>J123*'Game Assumptions'!$B59</f>
        <v>0</v>
      </c>
      <c r="K132" s="33">
        <f>K123*'Game Assumptions'!$B59</f>
        <v>0</v>
      </c>
      <c r="L132" s="33">
        <f>L123*'Game Assumptions'!$B59</f>
        <v>0</v>
      </c>
    </row>
    <row r="133" spans="1:12" x14ac:dyDescent="0.25">
      <c r="A133" t="s">
        <v>296</v>
      </c>
      <c r="B133" s="33">
        <f>B124*'Game Assumptions'!$B60</f>
        <v>0</v>
      </c>
      <c r="C133" s="33">
        <f>C124*'Game Assumptions'!$B60</f>
        <v>0</v>
      </c>
      <c r="D133" s="33">
        <f>D124*'Game Assumptions'!$B60</f>
        <v>0</v>
      </c>
      <c r="E133" s="33">
        <f>E124*'Game Assumptions'!$B60</f>
        <v>0</v>
      </c>
      <c r="F133" s="33">
        <f>F124*'Game Assumptions'!$B60</f>
        <v>0</v>
      </c>
      <c r="G133" s="33">
        <f>G124*'Game Assumptions'!$B60</f>
        <v>0</v>
      </c>
      <c r="H133" s="33">
        <f>H124*'Game Assumptions'!$B60</f>
        <v>0</v>
      </c>
      <c r="I133" s="33">
        <f>I124*'Game Assumptions'!$B60</f>
        <v>0</v>
      </c>
      <c r="J133" s="33">
        <f>J124*'Game Assumptions'!$B60</f>
        <v>0</v>
      </c>
      <c r="K133" s="33">
        <f>K124*'Game Assumptions'!$B60</f>
        <v>0</v>
      </c>
      <c r="L133" s="33">
        <f>L124*'Game Assumptions'!$B60</f>
        <v>0</v>
      </c>
    </row>
    <row r="135" spans="1:12" x14ac:dyDescent="0.25">
      <c r="A135" s="13" t="s">
        <v>165</v>
      </c>
      <c r="B135" s="14"/>
      <c r="C135" s="14"/>
      <c r="D135" s="14"/>
      <c r="E135" s="14"/>
    </row>
    <row r="136" spans="1:12" x14ac:dyDescent="0.25">
      <c r="A136" t="s">
        <v>88</v>
      </c>
      <c r="B136" t="s">
        <v>31</v>
      </c>
      <c r="C136" t="s">
        <v>29</v>
      </c>
      <c r="D136" t="s">
        <v>28</v>
      </c>
      <c r="E136" t="s">
        <v>30</v>
      </c>
    </row>
    <row r="137" spans="1:12" x14ac:dyDescent="0.25">
      <c r="A137" t="str">
        <f>INDEX($B$53:$L$59,1,MATCH($N$1,$B$52:$L$52,0))</f>
        <v>utility EE</v>
      </c>
      <c r="B137">
        <v>0</v>
      </c>
      <c r="C137" s="15">
        <f t="shared" ref="C137:C150" si="23">INDEX($B$35:$L$41,MATCH($A137,$A$35:$A$41,0),MATCH($N$1,$B$34:$L$34,0))</f>
        <v>0</v>
      </c>
      <c r="D137">
        <f t="shared" ref="D137:D150" si="24">INDEX($B$106:$L$106,1,MATCH($N$1,$B$105:$L$105,0))</f>
        <v>8890500</v>
      </c>
      <c r="E137">
        <f>C137</f>
        <v>0</v>
      </c>
    </row>
    <row r="138" spans="1:12" x14ac:dyDescent="0.25">
      <c r="A138" t="str">
        <f>INDEX($B$53:$L$59,1,MATCH($N$1,$B$52:$L$52,0))</f>
        <v>utility EE</v>
      </c>
      <c r="B138" s="64">
        <f>INDEX($B$2:$L$8,MATCH($A138,$A$2:$A$8,0),MATCH($N$1,$B$1:$L$1,0))</f>
        <v>87600</v>
      </c>
      <c r="C138" s="15">
        <f t="shared" si="23"/>
        <v>0</v>
      </c>
      <c r="D138">
        <f t="shared" si="24"/>
        <v>8890500</v>
      </c>
      <c r="E138">
        <f t="shared" ref="E138:E150" si="25">C138</f>
        <v>0</v>
      </c>
    </row>
    <row r="139" spans="1:12" x14ac:dyDescent="0.25">
      <c r="A139" t="str">
        <f>INDEX($B$53:$L$59,2,MATCH($N$1,$B$52:$L$52,0))</f>
        <v>solar</v>
      </c>
      <c r="B139" s="64">
        <f>B138</f>
        <v>87600</v>
      </c>
      <c r="C139" s="15">
        <f t="shared" si="23"/>
        <v>0.01</v>
      </c>
      <c r="D139">
        <f t="shared" si="24"/>
        <v>8890500</v>
      </c>
      <c r="E139">
        <f t="shared" si="25"/>
        <v>0.01</v>
      </c>
    </row>
    <row r="140" spans="1:12" x14ac:dyDescent="0.25">
      <c r="A140" t="str">
        <f>INDEX($B$53:$L$59,2,MATCH($N$1,$B$52:$L$52,0))</f>
        <v>solar</v>
      </c>
      <c r="B140" s="64">
        <f>INDEX($B$2:$L$8,MATCH($A140,$A$2:$A$8,0),MATCH($N$1,$B$1:$L$1,0))+B139</f>
        <v>153300</v>
      </c>
      <c r="C140" s="15">
        <f t="shared" si="23"/>
        <v>0.01</v>
      </c>
      <c r="D140">
        <f t="shared" si="24"/>
        <v>8890500</v>
      </c>
      <c r="E140">
        <f t="shared" si="25"/>
        <v>0.01</v>
      </c>
    </row>
    <row r="141" spans="1:12" x14ac:dyDescent="0.25">
      <c r="A141" t="str">
        <f>INDEX($B$53:$L$59,3,MATCH($N$1,$B$52:$L$52,0))</f>
        <v>wind</v>
      </c>
      <c r="B141" s="64">
        <f>B140</f>
        <v>153300</v>
      </c>
      <c r="C141" s="15">
        <f t="shared" si="23"/>
        <v>0.02</v>
      </c>
      <c r="D141">
        <f t="shared" si="24"/>
        <v>8890500</v>
      </c>
      <c r="E141">
        <f t="shared" si="25"/>
        <v>0.02</v>
      </c>
    </row>
    <row r="142" spans="1:12" x14ac:dyDescent="0.25">
      <c r="A142" t="str">
        <f>INDEX($B$53:$L$59,3,MATCH($N$1,$B$52:$L$52,0))</f>
        <v>wind</v>
      </c>
      <c r="B142" s="64">
        <f>INDEX($B$2:$L$8,MATCH($A142,$A$2:$A$8,0),MATCH($N$1,$B$1:$L$1,0))+B141</f>
        <v>232140</v>
      </c>
      <c r="C142" s="15">
        <f t="shared" si="23"/>
        <v>0.02</v>
      </c>
      <c r="D142">
        <f t="shared" si="24"/>
        <v>8890500</v>
      </c>
      <c r="E142">
        <f t="shared" si="25"/>
        <v>0.02</v>
      </c>
    </row>
    <row r="143" spans="1:12" x14ac:dyDescent="0.25">
      <c r="A143" t="str">
        <f>INDEX($B$53:$L$59,4,MATCH($N$1,$B$52:$L$52,0))</f>
        <v>hydro</v>
      </c>
      <c r="B143" s="64">
        <f>B142</f>
        <v>232140</v>
      </c>
      <c r="C143" s="15">
        <f t="shared" si="23"/>
        <v>7</v>
      </c>
      <c r="D143">
        <f t="shared" si="24"/>
        <v>8890500</v>
      </c>
      <c r="E143">
        <f t="shared" si="25"/>
        <v>7</v>
      </c>
    </row>
    <row r="144" spans="1:12" x14ac:dyDescent="0.25">
      <c r="A144" t="str">
        <f>INDEX($B$53:$L$59,4,MATCH($N$1,$B$52:$L$52,0))</f>
        <v>hydro</v>
      </c>
      <c r="B144" s="64">
        <f>INDEX($B$2:$L$8,MATCH($A144,$A$2:$A$8,0),MATCH($N$1,$B$1:$L$1,0))+B143</f>
        <v>389820</v>
      </c>
      <c r="C144" s="15">
        <f t="shared" si="23"/>
        <v>7</v>
      </c>
      <c r="D144">
        <f t="shared" si="24"/>
        <v>8890500</v>
      </c>
      <c r="E144">
        <f t="shared" si="25"/>
        <v>7</v>
      </c>
    </row>
    <row r="145" spans="1:5" x14ac:dyDescent="0.25">
      <c r="A145" t="str">
        <f>INDEX($B$53:$L$59,5,MATCH($N$1,$B$52:$L$52,0))</f>
        <v>nuclear</v>
      </c>
      <c r="B145" s="64">
        <f>B144</f>
        <v>389820</v>
      </c>
      <c r="C145" s="15">
        <f t="shared" si="23"/>
        <v>11.022499999999999</v>
      </c>
      <c r="D145">
        <f t="shared" si="24"/>
        <v>8890500</v>
      </c>
      <c r="E145">
        <f t="shared" si="25"/>
        <v>11.022499999999999</v>
      </c>
    </row>
    <row r="146" spans="1:5" x14ac:dyDescent="0.25">
      <c r="A146" t="str">
        <f>INDEX($B$53:$L$59,5,MATCH($N$1,$B$52:$L$52,0))</f>
        <v>nuclear</v>
      </c>
      <c r="B146" s="64">
        <f>INDEX($B$2:$L$8,MATCH($A146,$A$2:$A$8,0),MATCH($N$1,$B$1:$L$1,0))+B145</f>
        <v>4331820</v>
      </c>
      <c r="C146" s="15">
        <f t="shared" si="23"/>
        <v>11.022499999999999</v>
      </c>
      <c r="D146">
        <f t="shared" si="24"/>
        <v>8890500</v>
      </c>
      <c r="E146">
        <f t="shared" si="25"/>
        <v>11.022499999999999</v>
      </c>
    </row>
    <row r="147" spans="1:5" x14ac:dyDescent="0.25">
      <c r="A147" t="str">
        <f>INDEX($B$53:$L$59,6,MATCH($N$1,$B$52:$L$52,0))</f>
        <v>coal</v>
      </c>
      <c r="B147" s="64">
        <f>B146</f>
        <v>4331820</v>
      </c>
      <c r="C147" s="15">
        <f t="shared" si="23"/>
        <v>28.747499999999999</v>
      </c>
      <c r="D147">
        <f t="shared" si="24"/>
        <v>8890500</v>
      </c>
      <c r="E147">
        <f t="shared" si="25"/>
        <v>28.747499999999999</v>
      </c>
    </row>
    <row r="148" spans="1:5" x14ac:dyDescent="0.25">
      <c r="A148" t="str">
        <f>INDEX($B$53:$L$59,6,MATCH($N$1,$B$52:$L$52,0))</f>
        <v>coal</v>
      </c>
      <c r="B148" s="64">
        <f>INDEX($B$2:$L$8,MATCH($A148,$A$2:$A$8,0),MATCH($N$1,$B$1:$L$1,0))+B147</f>
        <v>6959820</v>
      </c>
      <c r="C148" s="15">
        <f t="shared" si="23"/>
        <v>28.747499999999999</v>
      </c>
      <c r="D148">
        <f t="shared" si="24"/>
        <v>8890500</v>
      </c>
      <c r="E148">
        <f t="shared" si="25"/>
        <v>28.747499999999999</v>
      </c>
    </row>
    <row r="149" spans="1:5" x14ac:dyDescent="0.25">
      <c r="A149" t="str">
        <f>INDEX($B$53:$L$59,7,MATCH($N$1,$B$52:$L$52,0))</f>
        <v>natural gas</v>
      </c>
      <c r="B149" s="64">
        <f>B148</f>
        <v>6959820</v>
      </c>
      <c r="C149" s="15">
        <f t="shared" si="23"/>
        <v>36.550000000000004</v>
      </c>
      <c r="D149">
        <f t="shared" si="24"/>
        <v>8890500</v>
      </c>
      <c r="E149">
        <f t="shared" si="25"/>
        <v>36.550000000000004</v>
      </c>
    </row>
    <row r="150" spans="1:5" x14ac:dyDescent="0.25">
      <c r="A150" t="str">
        <f>INDEX($B$53:$L$59,7,MATCH($N$1,$B$52:$L$52,0))</f>
        <v>natural gas</v>
      </c>
      <c r="B150" s="64">
        <f>INDEX($B$2:$L$8,MATCH($A150,$A$2:$A$8,0),MATCH($N$1,$B$1:$L$1,0))+B149</f>
        <v>11164620</v>
      </c>
      <c r="C150" s="15">
        <f t="shared" si="23"/>
        <v>36.550000000000004</v>
      </c>
      <c r="D150">
        <f t="shared" si="24"/>
        <v>8890500</v>
      </c>
      <c r="E150">
        <f t="shared" si="25"/>
        <v>36.550000000000004</v>
      </c>
    </row>
    <row r="152" spans="1:5" x14ac:dyDescent="0.25">
      <c r="A152" s="13" t="s">
        <v>166</v>
      </c>
      <c r="B152" s="14"/>
      <c r="C152" s="14"/>
      <c r="D152" s="14"/>
      <c r="E152" s="14"/>
    </row>
    <row r="153" spans="1:5" x14ac:dyDescent="0.25">
      <c r="A153" t="s">
        <v>7</v>
      </c>
      <c r="B153" s="64">
        <f t="shared" ref="B153:B159" si="26">INDEX($B$118:$L$124,MATCH($A153,$A$118:$A$124,0),MATCH($N$1,$B$117:$L$117))</f>
        <v>2628000</v>
      </c>
    </row>
    <row r="154" spans="1:5" x14ac:dyDescent="0.25">
      <c r="A154" t="s">
        <v>8</v>
      </c>
      <c r="B154" s="64">
        <f t="shared" si="26"/>
        <v>1930680</v>
      </c>
    </row>
    <row r="155" spans="1:5" x14ac:dyDescent="0.25">
      <c r="A155" t="s">
        <v>13</v>
      </c>
      <c r="B155" s="64">
        <f t="shared" si="26"/>
        <v>3942000</v>
      </c>
    </row>
    <row r="156" spans="1:5" x14ac:dyDescent="0.25">
      <c r="A156" t="s">
        <v>9</v>
      </c>
      <c r="B156" s="64">
        <f t="shared" si="26"/>
        <v>65700</v>
      </c>
    </row>
    <row r="157" spans="1:5" x14ac:dyDescent="0.25">
      <c r="A157" t="s">
        <v>10</v>
      </c>
      <c r="B157" s="64">
        <f t="shared" si="26"/>
        <v>78840</v>
      </c>
    </row>
    <row r="158" spans="1:5" x14ac:dyDescent="0.25">
      <c r="A158" t="s">
        <v>11</v>
      </c>
      <c r="B158" s="64">
        <f t="shared" si="26"/>
        <v>157680</v>
      </c>
    </row>
    <row r="159" spans="1:5" x14ac:dyDescent="0.25">
      <c r="A159" t="s">
        <v>296</v>
      </c>
      <c r="B159" s="64">
        <f t="shared" si="26"/>
        <v>87600</v>
      </c>
    </row>
    <row r="162" spans="1:12" x14ac:dyDescent="0.25">
      <c r="A162" s="9" t="s">
        <v>233</v>
      </c>
      <c r="B162" s="9">
        <v>0</v>
      </c>
      <c r="C162" s="9">
        <v>1</v>
      </c>
      <c r="D162" s="9">
        <v>2</v>
      </c>
      <c r="E162" s="9">
        <v>3</v>
      </c>
      <c r="F162" s="9">
        <v>4</v>
      </c>
      <c r="G162" s="9">
        <v>5</v>
      </c>
      <c r="H162" s="9">
        <v>6</v>
      </c>
      <c r="I162" s="9">
        <v>7</v>
      </c>
      <c r="J162" s="9">
        <v>8</v>
      </c>
      <c r="K162" s="9">
        <v>9</v>
      </c>
      <c r="L162" s="9">
        <v>10</v>
      </c>
    </row>
    <row r="163" spans="1:12" x14ac:dyDescent="0.25">
      <c r="A163" t="s">
        <v>234</v>
      </c>
      <c r="B163">
        <f>'Event Tracker'!B2</f>
        <v>0</v>
      </c>
      <c r="C163">
        <f>'Event Tracker'!C2</f>
        <v>0</v>
      </c>
      <c r="D163">
        <f>'Event Tracker'!D2</f>
        <v>0</v>
      </c>
      <c r="E163">
        <f>'Event Tracker'!E2</f>
        <v>0</v>
      </c>
      <c r="F163">
        <f>'Event Tracker'!F2</f>
        <v>0</v>
      </c>
      <c r="G163">
        <f>'Event Tracker'!G2</f>
        <v>0</v>
      </c>
      <c r="H163">
        <f>'Event Tracker'!H2</f>
        <v>0</v>
      </c>
      <c r="I163">
        <f>'Event Tracker'!I2</f>
        <v>0</v>
      </c>
      <c r="J163">
        <f>'Event Tracker'!J2</f>
        <v>0</v>
      </c>
      <c r="K163">
        <f>'Event Tracker'!K2</f>
        <v>0</v>
      </c>
      <c r="L163">
        <f>'Event Tracker'!L2</f>
        <v>0</v>
      </c>
    </row>
    <row r="164" spans="1:12" x14ac:dyDescent="0.25">
      <c r="A164" t="s">
        <v>235</v>
      </c>
      <c r="B164" s="5">
        <f>SUM(B121:B122)/SUM(B118:B123)</f>
        <v>1.6419588999079849E-2</v>
      </c>
      <c r="C164" s="102">
        <f t="shared" ref="C164:L164" si="27">SUM(C121:C122)/SUM(C118:C123)</f>
        <v>1.7550697765910558E-2</v>
      </c>
      <c r="D164" s="5">
        <f t="shared" si="27"/>
        <v>1.6239226934601551E-2</v>
      </c>
      <c r="E164" s="5">
        <f t="shared" si="27"/>
        <v>2.6004728132387706E-2</v>
      </c>
      <c r="F164" s="5">
        <f t="shared" si="27"/>
        <v>2.6004728132387706E-2</v>
      </c>
      <c r="G164" s="5">
        <f t="shared" si="27"/>
        <v>2.8720626631853787E-2</v>
      </c>
      <c r="H164" s="5">
        <f t="shared" si="27"/>
        <v>2.8720626631853787E-2</v>
      </c>
      <c r="I164" s="5">
        <f t="shared" si="27"/>
        <v>2.8720626631853787E-2</v>
      </c>
      <c r="J164" s="5">
        <f t="shared" si="27"/>
        <v>2.8720626631853787E-2</v>
      </c>
      <c r="K164" s="5">
        <f t="shared" si="27"/>
        <v>2.8720626631853787E-2</v>
      </c>
      <c r="L164" s="5">
        <f t="shared" si="27"/>
        <v>2.8720626631853787E-2</v>
      </c>
    </row>
    <row r="165" spans="1:12" x14ac:dyDescent="0.25">
      <c r="A165" t="s">
        <v>236</v>
      </c>
      <c r="B165" s="5">
        <f>IF(B163=1,(0.2-B164)/COUNT(B162:$L$162)+IF(A163=1,A165,B164),0)</f>
        <v>0</v>
      </c>
      <c r="C165" s="102">
        <f>IF(C163=1,IF(B163=0,0,IF(A163=0,('Game Assumptions'!$B$22-Dispatch!C164)/COUNTIF(Dispatch!C163:$L$163,1)+Dispatch!C164,IF(A165=0,Dispatch!B165-Dispatch!B164+Dispatch!B165,B165-A165+B165))),0)</f>
        <v>0</v>
      </c>
      <c r="D165" s="102">
        <f>IF(D163=1,IF(C163=0,0,IF(B163=0,('Game Assumptions'!$B$22-Dispatch!D164)/COUNTIF(Dispatch!D163:$L$163,1)+Dispatch!D164,IF(B165=0,Dispatch!C165-Dispatch!C164+Dispatch!C165,C165-B165+C165))),0)</f>
        <v>0</v>
      </c>
      <c r="E165" s="102">
        <f>IF(E163=1,IF(D163=0,0,IF(C163=0,('Game Assumptions'!$B$22-Dispatch!E164)/COUNTIF(Dispatch!E163:$L$163,1)+Dispatch!E164,IF(C165=0,Dispatch!D165-Dispatch!D164+Dispatch!D165,D165-C165+D165))),0)</f>
        <v>0</v>
      </c>
      <c r="F165" s="102">
        <f>IF(F163=1,IF(E163=0,0,IF(D163=0,('Game Assumptions'!$B$22-Dispatch!F164)/COUNTIF(Dispatch!F163:$L$163,1)+Dispatch!F164,IF(D165=0,Dispatch!E165-Dispatch!E164+Dispatch!E165,E165-D165+E165))),0)</f>
        <v>0</v>
      </c>
      <c r="G165" s="102">
        <f>IF(G163=1,IF(F163=0,0,IF(E163=0,('Game Assumptions'!$B$22-Dispatch!G164)/COUNTIF(Dispatch!G163:$L$163,1)+Dispatch!G164,IF(E165=0,Dispatch!F165-Dispatch!F164+Dispatch!F165,F165-E165+F165))),0)</f>
        <v>0</v>
      </c>
      <c r="H165" s="102">
        <f>IF(H163=1,IF(G163=0,0,IF(F163=0,('Game Assumptions'!$B$22-Dispatch!H164)/COUNTIF(Dispatch!H163:$L$163,1)+Dispatch!H164,IF(F165=0,Dispatch!G165-Dispatch!G164+Dispatch!G165,G165-F165+G165))),0)</f>
        <v>0</v>
      </c>
      <c r="I165" s="102">
        <f>IF(I163=1,IF(H163=0,0,IF(G163=0,('Game Assumptions'!$B$22-Dispatch!I164)/COUNTIF(Dispatch!I163:$L$163,1)+Dispatch!I164,IF(G165=0,Dispatch!H165-Dispatch!H164+Dispatch!H165,H165-G165+H165))),0)</f>
        <v>0</v>
      </c>
      <c r="J165" s="102">
        <f>IF(J163=1,IF(I163=0,0,IF(H163=0,('Game Assumptions'!$B$22-Dispatch!J164)/COUNTIF(Dispatch!J163:$L$163,1)+Dispatch!J164,IF(H165=0,Dispatch!I165-Dispatch!I164+Dispatch!I165,I165-H165+I165))),0)</f>
        <v>0</v>
      </c>
      <c r="K165" s="102">
        <f>IF(K163=1,IF(J163=0,0,IF(I163=0,('Game Assumptions'!$B$22-Dispatch!K164)/COUNTIF(Dispatch!K163:$L$163,1)+Dispatch!K164,IF(I165=0,Dispatch!J165-Dispatch!J164+Dispatch!J165,J165-I165+J165))),0)</f>
        <v>0</v>
      </c>
      <c r="L165" s="102">
        <f>IF(L163=1,IF(K163=0,0,IF(J163=0,('Game Assumptions'!$B$22-Dispatch!L164)/COUNTIF(Dispatch!L163:$L$163,1)+Dispatch!L164,IF(J165=0,Dispatch!K165-Dispatch!K164+Dispatch!K165,K165-J165+K165))),0)</f>
        <v>0</v>
      </c>
    </row>
    <row r="166" spans="1:12" x14ac:dyDescent="0.25">
      <c r="A166" t="s">
        <v>237</v>
      </c>
      <c r="B166" s="16">
        <f>IF(B165&gt;B164,(B165-B164)*SUM(B118:B123),0)</f>
        <v>0</v>
      </c>
      <c r="C166" s="16">
        <f t="shared" ref="C166:L166" si="28">IF(C165&gt;C164,(C165-C164)*SUM(C118:C123),0)</f>
        <v>0</v>
      </c>
      <c r="D166" s="16">
        <f t="shared" si="28"/>
        <v>0</v>
      </c>
      <c r="E166" s="16">
        <f t="shared" si="28"/>
        <v>0</v>
      </c>
      <c r="F166" s="16">
        <f t="shared" si="28"/>
        <v>0</v>
      </c>
      <c r="G166" s="16">
        <f t="shared" si="28"/>
        <v>0</v>
      </c>
      <c r="H166" s="16">
        <f t="shared" si="28"/>
        <v>0</v>
      </c>
      <c r="I166" s="16">
        <f t="shared" si="28"/>
        <v>0</v>
      </c>
      <c r="J166" s="16">
        <f t="shared" si="28"/>
        <v>0</v>
      </c>
      <c r="K166" s="16">
        <f t="shared" si="28"/>
        <v>0</v>
      </c>
      <c r="L166" s="16">
        <f t="shared" si="28"/>
        <v>0</v>
      </c>
    </row>
    <row r="167" spans="1:12" x14ac:dyDescent="0.25">
      <c r="A167" t="s">
        <v>238</v>
      </c>
      <c r="B167" s="7">
        <f>B166*'Game Assumptions'!$B$9</f>
        <v>0</v>
      </c>
      <c r="C167" s="7">
        <f>C166*'Game Assumptions'!$B$9</f>
        <v>0</v>
      </c>
      <c r="D167" s="7">
        <f>D166*'Game Assumptions'!$B$9</f>
        <v>0</v>
      </c>
      <c r="E167" s="7">
        <f>E166*'Game Assumptions'!$B$9</f>
        <v>0</v>
      </c>
      <c r="F167" s="7">
        <f>F166*'Game Assumptions'!$B$9</f>
        <v>0</v>
      </c>
      <c r="G167" s="7">
        <f>G166*'Game Assumptions'!$B$9</f>
        <v>0</v>
      </c>
      <c r="H167" s="7">
        <f>H166*'Game Assumptions'!$B$9</f>
        <v>0</v>
      </c>
      <c r="I167" s="7">
        <f>I166*'Game Assumptions'!$B$9</f>
        <v>0</v>
      </c>
      <c r="J167" s="7">
        <f>J166*'Game Assumptions'!$B$9</f>
        <v>0</v>
      </c>
      <c r="K167" s="7">
        <f>K166*'Game Assumptions'!$B$9</f>
        <v>0</v>
      </c>
      <c r="L167" s="7">
        <f>L166*'Game Assumptions'!$B$9</f>
        <v>0</v>
      </c>
    </row>
    <row r="169" spans="1:12" x14ac:dyDescent="0.25">
      <c r="A169" s="9" t="s">
        <v>297</v>
      </c>
      <c r="B169" s="9">
        <v>0</v>
      </c>
      <c r="C169" s="9">
        <v>1</v>
      </c>
      <c r="D169" s="9">
        <v>2</v>
      </c>
      <c r="E169" s="9">
        <v>3</v>
      </c>
      <c r="F169" s="9">
        <v>4</v>
      </c>
      <c r="G169" s="9">
        <v>5</v>
      </c>
      <c r="H169" s="9">
        <v>6</v>
      </c>
      <c r="I169" s="9">
        <v>7</v>
      </c>
      <c r="J169" s="9">
        <v>8</v>
      </c>
      <c r="K169" s="9">
        <v>9</v>
      </c>
      <c r="L169" s="9">
        <v>10</v>
      </c>
    </row>
    <row r="170" spans="1:12" x14ac:dyDescent="0.25">
      <c r="A170" t="s">
        <v>38</v>
      </c>
      <c r="B170" s="7">
        <f>SUMPRODUCT(B118:B124,B35:B41)</f>
        <v>190671472.80000001</v>
      </c>
      <c r="C170" s="7">
        <f t="shared" ref="C170:L170" si="29">SUMPRODUCT(C118:C124,C35:C41)</f>
        <v>194270642.10000002</v>
      </c>
      <c r="D170" s="7">
        <f t="shared" si="29"/>
        <v>205185138.30000001</v>
      </c>
      <c r="E170" s="7">
        <f t="shared" si="29"/>
        <v>184601100.60000002</v>
      </c>
      <c r="F170" s="7">
        <f t="shared" si="29"/>
        <v>184247371.80000004</v>
      </c>
      <c r="G170" s="7">
        <f t="shared" si="29"/>
        <v>173400039.00000003</v>
      </c>
      <c r="H170" s="7">
        <f t="shared" si="29"/>
        <v>185912998.20000002</v>
      </c>
      <c r="I170" s="7">
        <f t="shared" si="29"/>
        <v>198425957.40000001</v>
      </c>
      <c r="J170" s="7">
        <f t="shared" si="29"/>
        <v>206078167.80000004</v>
      </c>
      <c r="K170" s="7">
        <f t="shared" si="29"/>
        <v>210530656.80000001</v>
      </c>
      <c r="L170" s="7">
        <f t="shared" si="29"/>
        <v>215554998.59999999</v>
      </c>
    </row>
    <row r="171" spans="1:12" x14ac:dyDescent="0.25">
      <c r="A171" t="s">
        <v>39</v>
      </c>
      <c r="B171" s="7">
        <f>IF(B82&gt;0,INDEX($B$35:$L$41,MATCH(B59,$A$35:$A$41,0),MATCH(B169,$B$34:$L$34)),INDEX($B$35:$L$41,MATCH(B58,$A$35:$A$41,0),MATCH(B169,$B$34:$L$34)))*SUM(B109:B115)</f>
        <v>324947775.00000006</v>
      </c>
      <c r="C171" s="7">
        <f t="shared" ref="C171:L171" si="30">IF(C82&gt;0,INDEX($B$35:$L$41,MATCH(C59,$A$35:$A$41,0),MATCH(C169,$B$34:$L$34)),INDEX($B$35:$L$41,MATCH(C58,$A$35:$A$41,0),MATCH(C169,$B$34:$L$34)))*SUM(C109:C115)</f>
        <v>340434299.34000003</v>
      </c>
      <c r="D171" s="7">
        <f t="shared" si="30"/>
        <v>327298863.78000003</v>
      </c>
      <c r="E171" s="7">
        <f t="shared" si="30"/>
        <v>207122552.52000001</v>
      </c>
      <c r="F171" s="7">
        <f t="shared" si="30"/>
        <v>206354721.00000003</v>
      </c>
      <c r="G171" s="7">
        <f t="shared" si="30"/>
        <v>191670315.48000002</v>
      </c>
      <c r="H171" s="7">
        <f t="shared" si="30"/>
        <v>206641838.76000002</v>
      </c>
      <c r="I171" s="7">
        <f t="shared" si="30"/>
        <v>221613362.03999999</v>
      </c>
      <c r="J171" s="7">
        <f t="shared" si="30"/>
        <v>230665911.00000003</v>
      </c>
      <c r="K171" s="7">
        <f t="shared" si="30"/>
        <v>235888535.40000001</v>
      </c>
      <c r="L171" s="7">
        <f t="shared" si="30"/>
        <v>241807509.72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S29"/>
  <sheetViews>
    <sheetView zoomScale="85" zoomScaleNormal="85" workbookViewId="0">
      <selection activeCell="B36" sqref="B3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211</v>
      </c>
      <c r="B2" s="66" t="s">
        <v>212</v>
      </c>
    </row>
    <row r="3" spans="1:19" x14ac:dyDescent="0.25">
      <c r="A3" t="s">
        <v>213</v>
      </c>
      <c r="B3" t="s">
        <v>216</v>
      </c>
    </row>
    <row r="4" spans="1:19" ht="30" x14ac:dyDescent="0.25">
      <c r="A4" s="70" t="s">
        <v>215</v>
      </c>
      <c r="B4" s="66" t="s">
        <v>217</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211</v>
      </c>
      <c r="B7" s="66" t="s">
        <v>214</v>
      </c>
    </row>
    <row r="8" spans="1:19" x14ac:dyDescent="0.25">
      <c r="A8" t="s">
        <v>213</v>
      </c>
      <c r="B8" t="s">
        <v>218</v>
      </c>
    </row>
    <row r="9" spans="1:19" x14ac:dyDescent="0.25">
      <c r="A9" t="s">
        <v>219</v>
      </c>
      <c r="B9" t="s">
        <v>220</v>
      </c>
    </row>
    <row r="11" spans="1:19" x14ac:dyDescent="0.25">
      <c r="A11" s="77" t="s">
        <v>221</v>
      </c>
      <c r="B11" s="77"/>
    </row>
    <row r="12" spans="1:19" ht="30" x14ac:dyDescent="0.25">
      <c r="A12" s="78" t="s">
        <v>211</v>
      </c>
      <c r="B12" s="79" t="s">
        <v>222</v>
      </c>
    </row>
    <row r="13" spans="1:19" x14ac:dyDescent="0.25">
      <c r="A13" s="12" t="s">
        <v>213</v>
      </c>
      <c r="B13" s="12" t="s">
        <v>223</v>
      </c>
    </row>
    <row r="14" spans="1:19" ht="30" x14ac:dyDescent="0.25">
      <c r="A14" s="78" t="s">
        <v>219</v>
      </c>
      <c r="B14" s="79" t="s">
        <v>224</v>
      </c>
    </row>
    <row r="16" spans="1:19" x14ac:dyDescent="0.25">
      <c r="A16" s="9" t="s">
        <v>1</v>
      </c>
      <c r="B16" s="9"/>
    </row>
    <row r="17" spans="1:2" ht="30" x14ac:dyDescent="0.25">
      <c r="A17" s="67" t="s">
        <v>211</v>
      </c>
      <c r="B17" s="66" t="s">
        <v>225</v>
      </c>
    </row>
    <row r="18" spans="1:2" x14ac:dyDescent="0.25">
      <c r="A18" t="s">
        <v>213</v>
      </c>
      <c r="B18" t="s">
        <v>280</v>
      </c>
    </row>
    <row r="19" spans="1:2" x14ac:dyDescent="0.25">
      <c r="A19" t="s">
        <v>215</v>
      </c>
      <c r="B19" t="s">
        <v>226</v>
      </c>
    </row>
    <row r="21" spans="1:2" x14ac:dyDescent="0.25">
      <c r="A21" s="9" t="s">
        <v>227</v>
      </c>
      <c r="B21" s="9"/>
    </row>
    <row r="22" spans="1:2" ht="30" x14ac:dyDescent="0.25">
      <c r="A22" s="67" t="s">
        <v>211</v>
      </c>
      <c r="B22" s="66" t="s">
        <v>228</v>
      </c>
    </row>
    <row r="23" spans="1:2" x14ac:dyDescent="0.25">
      <c r="A23" t="s">
        <v>213</v>
      </c>
      <c r="B23" t="s">
        <v>229</v>
      </c>
    </row>
    <row r="24" spans="1:2" x14ac:dyDescent="0.25">
      <c r="A24" t="s">
        <v>215</v>
      </c>
      <c r="B24" t="s">
        <v>230</v>
      </c>
    </row>
    <row r="26" spans="1:2" x14ac:dyDescent="0.25">
      <c r="A26" s="9" t="s">
        <v>330</v>
      </c>
      <c r="B26" s="9"/>
    </row>
    <row r="27" spans="1:2" x14ac:dyDescent="0.25">
      <c r="A27" s="67" t="s">
        <v>211</v>
      </c>
      <c r="B27" t="s">
        <v>335</v>
      </c>
    </row>
    <row r="28" spans="1:2" x14ac:dyDescent="0.25">
      <c r="A28" t="s">
        <v>213</v>
      </c>
      <c r="B28" t="s">
        <v>336</v>
      </c>
    </row>
    <row r="29" spans="1:2" x14ac:dyDescent="0.25">
      <c r="A29" t="s">
        <v>215</v>
      </c>
      <c r="B29" t="s">
        <v>337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119"/>
  <sheetViews>
    <sheetView topLeftCell="A12" workbookViewId="0">
      <selection activeCell="M30" sqref="M30"/>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14" max="14" width="13.7109375" bestFit="1" customWidth="1"/>
  </cols>
  <sheetData>
    <row r="1" spans="1:15" ht="15.75" thickBot="1" x14ac:dyDescent="0.3">
      <c r="A1" s="9" t="s">
        <v>386</v>
      </c>
      <c r="B1" s="3"/>
      <c r="C1" s="3"/>
      <c r="D1" s="3"/>
      <c r="E1" s="3"/>
      <c r="F1" s="3"/>
      <c r="G1" s="3"/>
      <c r="H1" s="3"/>
      <c r="I1" s="3"/>
      <c r="J1" s="3"/>
      <c r="K1" s="3"/>
      <c r="N1" s="115" t="s">
        <v>306</v>
      </c>
      <c r="O1" s="104">
        <f>Current_Round</f>
        <v>0</v>
      </c>
    </row>
    <row r="2" spans="1:15" x14ac:dyDescent="0.25">
      <c r="A2" t="s">
        <v>389</v>
      </c>
      <c r="B2" t="s">
        <v>391</v>
      </c>
      <c r="C2" t="s">
        <v>388</v>
      </c>
      <c r="D2" t="s">
        <v>390</v>
      </c>
    </row>
    <row r="3" spans="1:15" x14ac:dyDescent="0.25">
      <c r="A3" t="s">
        <v>387</v>
      </c>
      <c r="B3">
        <v>0</v>
      </c>
      <c r="C3" s="49">
        <f>IF(COUNT($B$3:$B3)&lt;=$O$1+1,INDEX('Customer Bills'!$B$12:$L$12,1,MATCH(Graphs!B3,'Customer Bills'!$B$2:$L$2,0)),NA())</f>
        <v>81.049479225863763</v>
      </c>
      <c r="D3" s="15">
        <f>IF(C3="","",IF(OR(COUNT($C$3:$C3)-1=$O$1,COUNT($C$3:$C4)-1=$O$1),C3,NA()))</f>
        <v>81.049479225863763</v>
      </c>
    </row>
    <row r="4" spans="1:15" x14ac:dyDescent="0.25">
      <c r="A4" t="s">
        <v>65</v>
      </c>
      <c r="B4">
        <v>1</v>
      </c>
      <c r="C4" s="49" t="e">
        <f>IF(COUNT($B$3:$B4)&lt;=$O$1+1,INDEX('Customer Bills'!$B$12:$L$12,1,MATCH(Graphs!B4,'Customer Bills'!$B$2:$L$2,0)),NA())</f>
        <v>#N/A</v>
      </c>
      <c r="D4" s="15" t="e">
        <f>IF(C4="","",IF(OR(COUNT($C$3:$C4)-1=$O$1,COUNT($C$3:$C5)-1=$O$1),C4,NA()))</f>
        <v>#N/A</v>
      </c>
    </row>
    <row r="5" spans="1:15" x14ac:dyDescent="0.25">
      <c r="A5" t="s">
        <v>100</v>
      </c>
      <c r="B5">
        <v>2</v>
      </c>
      <c r="C5" s="49" t="e">
        <f>IF(COUNT($B$3:$B5)&lt;=$O$1+1,INDEX('Customer Bills'!$B$12:$L$12,1,MATCH(Graphs!B5,'Customer Bills'!$B$2:$L$2,0)),NA())</f>
        <v>#N/A</v>
      </c>
      <c r="D5" s="15" t="e">
        <f>IF(C5="","",IF(OR(COUNT($C$3:$C5)-1=$O$1,COUNT($C$3:$C6)-1=$O$1),C5,NA()))</f>
        <v>#N/A</v>
      </c>
    </row>
    <row r="6" spans="1:15" x14ac:dyDescent="0.25">
      <c r="A6" t="s">
        <v>101</v>
      </c>
      <c r="B6">
        <v>3</v>
      </c>
      <c r="C6" s="49" t="e">
        <f>IF(COUNT($B$3:$B6)&lt;=$O$1+1,INDEX('Customer Bills'!$B$12:$L$12,1,MATCH(Graphs!B6,'Customer Bills'!$B$2:$L$2,0)),NA())</f>
        <v>#N/A</v>
      </c>
      <c r="D6" s="15" t="e">
        <f>IF(C6="","",IF(OR(COUNT($C$3:$C6)-1=$O$1,COUNT($C$3:$C7)-1=$O$1),C6,NA()))</f>
        <v>#N/A</v>
      </c>
    </row>
    <row r="7" spans="1:15" x14ac:dyDescent="0.25">
      <c r="A7" t="s">
        <v>102</v>
      </c>
      <c r="B7">
        <v>4</v>
      </c>
      <c r="C7" s="49" t="e">
        <f>IF(COUNT($B$3:$B7)&lt;=$O$1+1,INDEX('Customer Bills'!$B$12:$L$12,1,MATCH(Graphs!B7,'Customer Bills'!$B$2:$L$2,0)),NA())</f>
        <v>#N/A</v>
      </c>
      <c r="D7" s="15" t="e">
        <f>IF(C7="","",IF(OR(COUNT($C$3:$C7)-1=$O$1,COUNT($C$3:$C8)-1=$O$1),C7,NA()))</f>
        <v>#N/A</v>
      </c>
    </row>
    <row r="8" spans="1:15" x14ac:dyDescent="0.25">
      <c r="A8" t="s">
        <v>103</v>
      </c>
      <c r="B8">
        <v>5</v>
      </c>
      <c r="C8" s="49" t="e">
        <f>IF(COUNT($B$3:$B8)&lt;=$O$1+1,INDEX('Customer Bills'!$B$12:$L$12,1,MATCH(Graphs!B8,'Customer Bills'!$B$2:$L$2,0)),NA())</f>
        <v>#N/A</v>
      </c>
      <c r="D8" s="15" t="e">
        <f>IF(C8="","",IF(OR(COUNT($C$3:$C8)-1=$O$1,COUNT($C$3:$C9)-1=$O$1),C8,NA()))</f>
        <v>#N/A</v>
      </c>
    </row>
    <row r="9" spans="1:15" x14ac:dyDescent="0.25">
      <c r="A9" t="s">
        <v>301</v>
      </c>
      <c r="B9">
        <v>6</v>
      </c>
      <c r="C9" s="49" t="e">
        <f>IF(COUNT($B$3:$B9)&lt;=$O$1+1,INDEX('Customer Bills'!$B$12:$L$12,1,MATCH(Graphs!B9,'Customer Bills'!$B$2:$L$2,0)),NA())</f>
        <v>#N/A</v>
      </c>
      <c r="D9" s="15" t="e">
        <f>IF(C9="","",IF(OR(COUNT($C$3:$C9)-1=$O$1,COUNT($C$3:$C10)-1=$O$1),C9,NA()))</f>
        <v>#N/A</v>
      </c>
    </row>
    <row r="10" spans="1:15" x14ac:dyDescent="0.25">
      <c r="A10" t="s">
        <v>302</v>
      </c>
      <c r="B10">
        <v>7</v>
      </c>
      <c r="C10" s="49" t="e">
        <f>IF(COUNT($B$3:$B10)&lt;=$O$1+1,INDEX('Customer Bills'!$B$12:$L$12,1,MATCH(Graphs!B10,'Customer Bills'!$B$2:$L$2,0)),NA())</f>
        <v>#N/A</v>
      </c>
      <c r="D10" s="15" t="e">
        <f>IF(C10="","",IF(OR(COUNT($C$3:$C10)-1=$O$1,COUNT($C$3:$C11)-1=$O$1),C10,NA()))</f>
        <v>#N/A</v>
      </c>
    </row>
    <row r="11" spans="1:15" x14ac:dyDescent="0.25">
      <c r="A11" t="s">
        <v>303</v>
      </c>
      <c r="B11">
        <v>8</v>
      </c>
      <c r="C11" s="49" t="e">
        <f>IF(COUNT($B$3:$B11)&lt;=$O$1+1,INDEX('Customer Bills'!$B$12:$L$12,1,MATCH(Graphs!B11,'Customer Bills'!$B$2:$L$2,0)),NA())</f>
        <v>#N/A</v>
      </c>
      <c r="D11" s="15" t="e">
        <f>IF(C11="","",IF(OR(COUNT($C$3:$C11)-1=$O$1,COUNT($C$3:$C12)-1=$O$1),C11,NA()))</f>
        <v>#N/A</v>
      </c>
    </row>
    <row r="12" spans="1:15" x14ac:dyDescent="0.25">
      <c r="A12" t="s">
        <v>304</v>
      </c>
      <c r="B12">
        <v>9</v>
      </c>
      <c r="C12" s="49" t="e">
        <f>IF(COUNT($B$3:$B12)&lt;=$O$1+1,INDEX('Customer Bills'!$B$12:$L$12,1,MATCH(Graphs!B12,'Customer Bills'!$B$2:$L$2,0)),NA())</f>
        <v>#N/A</v>
      </c>
      <c r="D12" s="15" t="e">
        <f>IF(C12="","",IF(OR(COUNT($C$3:$C12)-1=$O$1,COUNT($C$3:$C13)-1=$O$1),C12,NA()))</f>
        <v>#N/A</v>
      </c>
    </row>
    <row r="13" spans="1:15" x14ac:dyDescent="0.25">
      <c r="A13" t="s">
        <v>305</v>
      </c>
      <c r="B13">
        <v>10</v>
      </c>
      <c r="C13" s="49" t="e">
        <f>IF(COUNT($B$3:$B13)&lt;=$O$1+1,INDEX('Customer Bills'!$B$12:$L$12,1,MATCH(Graphs!B13,'Customer Bills'!$B$2:$L$2,0)),NA())</f>
        <v>#N/A</v>
      </c>
      <c r="D13" s="15" t="e">
        <f>IF(C13="","",IF(OR(COUNT($C$3:$C13)-1=$O$1,COUNT($C$3:$C14)-1=$O$1),C13,NA()))</f>
        <v>#N/A</v>
      </c>
    </row>
    <row r="16" spans="1:15" x14ac:dyDescent="0.25">
      <c r="A16" s="9" t="s">
        <v>393</v>
      </c>
      <c r="B16" s="3"/>
      <c r="C16" s="3"/>
      <c r="D16" s="3"/>
      <c r="E16" s="3"/>
      <c r="F16" s="3"/>
      <c r="G16" s="3"/>
      <c r="H16" s="3"/>
      <c r="I16" s="3"/>
      <c r="J16" s="3"/>
      <c r="K16" s="3"/>
    </row>
    <row r="17" spans="1:11" x14ac:dyDescent="0.25">
      <c r="A17" t="s">
        <v>389</v>
      </c>
      <c r="B17" t="s">
        <v>391</v>
      </c>
      <c r="C17" t="s">
        <v>388</v>
      </c>
      <c r="D17" t="s">
        <v>390</v>
      </c>
    </row>
    <row r="18" spans="1:11" x14ac:dyDescent="0.25">
      <c r="A18" t="s">
        <v>387</v>
      </c>
      <c r="B18">
        <v>0</v>
      </c>
      <c r="C18" s="10">
        <f>IF(COUNT($B$18:$B18)&lt;=$O$1+1,INDEX('Environmental Performance'!$B$3:$L$3,1,MATCH(Graphs!B18,'Environmental Performance'!$B$1:$L$1,0)),NA())</f>
        <v>898.29849839716553</v>
      </c>
      <c r="D18" s="118">
        <f>IF(C18="","",IF(OR(COUNT($C$18:$C18)-1=$O$1,COUNT($C$18:$C19)-1=$O$1),C18,NA()))</f>
        <v>898.29849839716553</v>
      </c>
    </row>
    <row r="19" spans="1:11" x14ac:dyDescent="0.25">
      <c r="A19" t="s">
        <v>65</v>
      </c>
      <c r="B19">
        <v>1</v>
      </c>
      <c r="C19" s="10" t="e">
        <f>IF(COUNT($B$18:$B19)&lt;=$O$1+1,INDEX('Environmental Performance'!$B$3:$L$3,1,MATCH(Graphs!B19,'Environmental Performance'!$B$1:$L$1,0)),NA())</f>
        <v>#N/A</v>
      </c>
      <c r="D19" s="118" t="e">
        <f>IF(C19="","",IF(OR(COUNT($C$18:$C19)-1=$O$1,COUNT($C$18:$C20)-1=$O$1),C19,NA()))</f>
        <v>#N/A</v>
      </c>
    </row>
    <row r="20" spans="1:11" x14ac:dyDescent="0.25">
      <c r="A20" t="s">
        <v>100</v>
      </c>
      <c r="B20">
        <v>2</v>
      </c>
      <c r="C20" s="10" t="e">
        <f>IF(COUNT($B$18:$B20)&lt;=$O$1+1,INDEX('Environmental Performance'!$B$3:$L$3,1,MATCH(Graphs!B20,'Environmental Performance'!$B$1:$L$1,0)),NA())</f>
        <v>#N/A</v>
      </c>
      <c r="D20" s="118" t="e">
        <f>IF(C20="","",IF(OR(COUNT($C$18:$C20)-1=$O$1,COUNT($C$18:$C21)-1=$O$1),C20,NA()))</f>
        <v>#N/A</v>
      </c>
    </row>
    <row r="21" spans="1:11" x14ac:dyDescent="0.25">
      <c r="A21" t="s">
        <v>101</v>
      </c>
      <c r="B21">
        <v>3</v>
      </c>
      <c r="C21" s="10" t="e">
        <f>IF(COUNT($B$18:$B21)&lt;=$O$1+1,INDEX('Environmental Performance'!$B$3:$L$3,1,MATCH(Graphs!B21,'Environmental Performance'!$B$1:$L$1,0)),NA())</f>
        <v>#N/A</v>
      </c>
      <c r="D21" s="118" t="e">
        <f>IF(C21="","",IF(OR(COUNT($C$18:$C21)-1=$O$1,COUNT($C$18:$C22)-1=$O$1),C21,NA()))</f>
        <v>#N/A</v>
      </c>
    </row>
    <row r="22" spans="1:11" x14ac:dyDescent="0.25">
      <c r="A22" t="s">
        <v>102</v>
      </c>
      <c r="B22">
        <v>4</v>
      </c>
      <c r="C22" s="10" t="e">
        <f>IF(COUNT($B$18:$B22)&lt;=$O$1+1,INDEX('Environmental Performance'!$B$3:$L$3,1,MATCH(Graphs!B22,'Environmental Performance'!$B$1:$L$1,0)),NA())</f>
        <v>#N/A</v>
      </c>
      <c r="D22" s="118" t="e">
        <f>IF(C22="","",IF(OR(COUNT($C$18:$C22)-1=$O$1,COUNT($C$18:$C23)-1=$O$1),C22,NA()))</f>
        <v>#N/A</v>
      </c>
    </row>
    <row r="23" spans="1:11" x14ac:dyDescent="0.25">
      <c r="A23" t="s">
        <v>103</v>
      </c>
      <c r="B23">
        <v>5</v>
      </c>
      <c r="C23" s="10" t="e">
        <f>IF(COUNT($B$18:$B23)&lt;=$O$1+1,INDEX('Environmental Performance'!$B$3:$L$3,1,MATCH(Graphs!B23,'Environmental Performance'!$B$1:$L$1,0)),NA())</f>
        <v>#N/A</v>
      </c>
      <c r="D23" s="118" t="e">
        <f>IF(C23="","",IF(OR(COUNT($C$18:$C23)-1=$O$1,COUNT($C$18:$C24)-1=$O$1),C23,NA()))</f>
        <v>#N/A</v>
      </c>
    </row>
    <row r="24" spans="1:11" x14ac:dyDescent="0.25">
      <c r="A24" t="s">
        <v>301</v>
      </c>
      <c r="B24">
        <v>6</v>
      </c>
      <c r="C24" s="10" t="e">
        <f>IF(COUNT($B$18:$B24)&lt;=$O$1+1,INDEX('Environmental Performance'!$B$3:$L$3,1,MATCH(Graphs!B24,'Environmental Performance'!$B$1:$L$1,0)),NA())</f>
        <v>#N/A</v>
      </c>
      <c r="D24" s="118" t="e">
        <f>IF(C24="","",IF(OR(COUNT($C$18:$C24)-1=$O$1,COUNT($C$18:$C25)-1=$O$1),C24,NA()))</f>
        <v>#N/A</v>
      </c>
    </row>
    <row r="25" spans="1:11" x14ac:dyDescent="0.25">
      <c r="A25" t="s">
        <v>302</v>
      </c>
      <c r="B25">
        <v>7</v>
      </c>
      <c r="C25" s="10" t="e">
        <f>IF(COUNT($B$18:$B25)&lt;=$O$1+1,INDEX('Environmental Performance'!$B$3:$L$3,1,MATCH(Graphs!B25,'Environmental Performance'!$B$1:$L$1,0)),NA())</f>
        <v>#N/A</v>
      </c>
      <c r="D25" s="118" t="e">
        <f>IF(C25="","",IF(OR(COUNT($C$18:$C25)-1=$O$1,COUNT($C$18:$C26)-1=$O$1),C25,NA()))</f>
        <v>#N/A</v>
      </c>
    </row>
    <row r="26" spans="1:11" x14ac:dyDescent="0.25">
      <c r="A26" t="s">
        <v>303</v>
      </c>
      <c r="B26">
        <v>8</v>
      </c>
      <c r="C26" s="10" t="e">
        <f>IF(COUNT($B$18:$B26)&lt;=$O$1+1,INDEX('Environmental Performance'!$B$3:$L$3,1,MATCH(Graphs!B26,'Environmental Performance'!$B$1:$L$1,0)),NA())</f>
        <v>#N/A</v>
      </c>
      <c r="D26" s="118" t="e">
        <f>IF(C26="","",IF(OR(COUNT($C$18:$C26)-1=$O$1,COUNT($C$18:$C27)-1=$O$1),C26,NA()))</f>
        <v>#N/A</v>
      </c>
    </row>
    <row r="27" spans="1:11" x14ac:dyDescent="0.25">
      <c r="A27" t="s">
        <v>304</v>
      </c>
      <c r="B27">
        <v>9</v>
      </c>
      <c r="C27" s="10" t="e">
        <f>IF(COUNT($B$18:$B27)&lt;=$O$1+1,INDEX('Environmental Performance'!$B$3:$L$3,1,MATCH(Graphs!B27,'Environmental Performance'!$B$1:$L$1,0)),NA())</f>
        <v>#N/A</v>
      </c>
      <c r="D27" s="118" t="e">
        <f>IF(C27="","",IF(OR(COUNT($C$18:$C27)-1=$O$1,COUNT($C$18:$C28)-1=$O$1),C27,NA()))</f>
        <v>#N/A</v>
      </c>
    </row>
    <row r="28" spans="1:11" x14ac:dyDescent="0.25">
      <c r="A28" t="s">
        <v>305</v>
      </c>
      <c r="B28">
        <v>10</v>
      </c>
      <c r="C28" s="10" t="e">
        <f>IF(COUNT($B$18:$B28)&lt;=$O$1+1,INDEX('Environmental Performance'!$B$3:$L$3,1,MATCH(Graphs!B28,'Environmental Performance'!$B$1:$L$1,0)),NA())</f>
        <v>#N/A</v>
      </c>
      <c r="D28" s="118" t="e">
        <f>IF(C28="","",IF(OR(COUNT($C$18:$C28)-1=$O$1,COUNT($C$18:$C29)-1=$O$1),C28,NA()))</f>
        <v>#N/A</v>
      </c>
    </row>
    <row r="32" spans="1:11" x14ac:dyDescent="0.25">
      <c r="A32" s="9" t="s">
        <v>430</v>
      </c>
      <c r="B32" s="3"/>
      <c r="C32" s="3"/>
      <c r="D32" s="3"/>
      <c r="E32" s="3"/>
      <c r="F32" s="3"/>
      <c r="G32" s="3"/>
      <c r="H32" s="3"/>
      <c r="I32" s="3"/>
      <c r="J32" s="3"/>
      <c r="K32" s="3"/>
    </row>
    <row r="33" spans="1:4" x14ac:dyDescent="0.25">
      <c r="A33" t="s">
        <v>389</v>
      </c>
      <c r="B33" t="s">
        <v>391</v>
      </c>
      <c r="C33" t="s">
        <v>388</v>
      </c>
      <c r="D33" t="s">
        <v>390</v>
      </c>
    </row>
    <row r="34" spans="1:4" x14ac:dyDescent="0.25">
      <c r="A34" t="s">
        <v>387</v>
      </c>
      <c r="B34">
        <v>0</v>
      </c>
      <c r="C34" s="153" t="e">
        <f>IF(COUNT($B$34:$B34)&lt;=$O$1+1,INDEX('Utility Revenue'!$B$144:$L$144,1,MATCH(Graphs!B34,'Utility Revenue'!$B$6:$L$6,0)),NA())</f>
        <v>#REF!</v>
      </c>
      <c r="D34" s="154" t="e">
        <f>IF(C34="","",IF(OR(COUNT($C$34:$C34)-1=$O$1,COUNT($C$34:$C35)-1=$O$1),C34,NA()))</f>
        <v>#REF!</v>
      </c>
    </row>
    <row r="35" spans="1:4" x14ac:dyDescent="0.25">
      <c r="A35" t="s">
        <v>65</v>
      </c>
      <c r="B35">
        <v>1</v>
      </c>
      <c r="C35" s="153" t="e">
        <f>IF(COUNT($B$34:$B35)&lt;=$O$1+1,INDEX('Utility Revenue'!$B$144:$L$144,1,MATCH(Graphs!B35,'Utility Revenue'!$B$6:$L$6,0)),NA())</f>
        <v>#N/A</v>
      </c>
      <c r="D35" s="154" t="e">
        <f>IF(C35="","",IF(OR(COUNT($C$34:$C35)-1=$O$1,COUNT($C$34:$C36)-1=$O$1),C35,NA()))</f>
        <v>#N/A</v>
      </c>
    </row>
    <row r="36" spans="1:4" x14ac:dyDescent="0.25">
      <c r="A36" t="s">
        <v>100</v>
      </c>
      <c r="B36">
        <v>2</v>
      </c>
      <c r="C36" s="153" t="e">
        <f>IF(COUNT($B$34:$B36)&lt;=$O$1+1,INDEX('Utility Revenue'!$B$144:$L$144,1,MATCH(Graphs!B36,'Utility Revenue'!$B$6:$L$6,0)),NA())</f>
        <v>#N/A</v>
      </c>
      <c r="D36" s="154" t="e">
        <f>IF(C36="","",IF(OR(COUNT($C$34:$C36)-1=$O$1,COUNT($C$34:$C37)-1=$O$1),C36,NA()))</f>
        <v>#N/A</v>
      </c>
    </row>
    <row r="37" spans="1:4" x14ac:dyDescent="0.25">
      <c r="A37" t="s">
        <v>101</v>
      </c>
      <c r="B37">
        <v>3</v>
      </c>
      <c r="C37" s="153" t="e">
        <f>IF(COUNT($B$34:$B37)&lt;=$O$1+1,INDEX('Utility Revenue'!$B$144:$L$144,1,MATCH(Graphs!B37,'Utility Revenue'!$B$6:$L$6,0)),NA())</f>
        <v>#N/A</v>
      </c>
      <c r="D37" s="154" t="e">
        <f>IF(C37="","",IF(OR(COUNT($C$34:$C37)-1=$O$1,COUNT($C$34:$C38)-1=$O$1),C37,NA()))</f>
        <v>#N/A</v>
      </c>
    </row>
    <row r="38" spans="1:4" x14ac:dyDescent="0.25">
      <c r="A38" t="s">
        <v>102</v>
      </c>
      <c r="B38">
        <v>4</v>
      </c>
      <c r="C38" s="153" t="e">
        <f>IF(COUNT($B$34:$B38)&lt;=$O$1+1,INDEX('Utility Revenue'!$B$144:$L$144,1,MATCH(Graphs!B38,'Utility Revenue'!$B$6:$L$6,0)),NA())</f>
        <v>#N/A</v>
      </c>
      <c r="D38" s="154" t="e">
        <f>IF(C38="","",IF(OR(COUNT($C$34:$C38)-1=$O$1,COUNT($C$34:$C39)-1=$O$1),C38,NA()))</f>
        <v>#N/A</v>
      </c>
    </row>
    <row r="39" spans="1:4" x14ac:dyDescent="0.25">
      <c r="A39" t="s">
        <v>103</v>
      </c>
      <c r="B39">
        <v>5</v>
      </c>
      <c r="C39" s="153" t="e">
        <f>IF(COUNT($B$34:$B39)&lt;=$O$1+1,INDEX('Utility Revenue'!$B$144:$L$144,1,MATCH(Graphs!B39,'Utility Revenue'!$B$6:$L$6,0)),NA())</f>
        <v>#N/A</v>
      </c>
      <c r="D39" s="154" t="e">
        <f>IF(C39="","",IF(OR(COUNT($C$34:$C39)-1=$O$1,COUNT($C$34:$C40)-1=$O$1),C39,NA()))</f>
        <v>#N/A</v>
      </c>
    </row>
    <row r="40" spans="1:4" x14ac:dyDescent="0.25">
      <c r="A40" t="s">
        <v>301</v>
      </c>
      <c r="B40">
        <v>6</v>
      </c>
      <c r="C40" s="153" t="e">
        <f>IF(COUNT($B$34:$B40)&lt;=$O$1+1,INDEX('Utility Revenue'!$B$144:$L$144,1,MATCH(Graphs!B40,'Utility Revenue'!$B$6:$L$6,0)),NA())</f>
        <v>#N/A</v>
      </c>
      <c r="D40" s="154" t="e">
        <f>IF(C40="","",IF(OR(COUNT($C$34:$C40)-1=$O$1,COUNT($C$34:$C41)-1=$O$1),C40,NA()))</f>
        <v>#N/A</v>
      </c>
    </row>
    <row r="41" spans="1:4" x14ac:dyDescent="0.25">
      <c r="A41" t="s">
        <v>302</v>
      </c>
      <c r="B41">
        <v>7</v>
      </c>
      <c r="C41" s="153" t="e">
        <f>IF(COUNT($B$34:$B41)&lt;=$O$1+1,INDEX('Utility Revenue'!$B$144:$L$144,1,MATCH(Graphs!B41,'Utility Revenue'!$B$6:$L$6,0)),NA())</f>
        <v>#N/A</v>
      </c>
      <c r="D41" s="154" t="e">
        <f>IF(C41="","",IF(OR(COUNT($C$34:$C41)-1=$O$1,COUNT($C$34:$C42)-1=$O$1),C41,NA()))</f>
        <v>#N/A</v>
      </c>
    </row>
    <row r="42" spans="1:4" x14ac:dyDescent="0.25">
      <c r="A42" t="s">
        <v>303</v>
      </c>
      <c r="B42">
        <v>8</v>
      </c>
      <c r="C42" s="153" t="e">
        <f>IF(COUNT($B$34:$B42)&lt;=$O$1+1,INDEX('Utility Revenue'!$B$144:$L$144,1,MATCH(Graphs!B42,'Utility Revenue'!$B$6:$L$6,0)),NA())</f>
        <v>#N/A</v>
      </c>
      <c r="D42" s="154" t="e">
        <f>IF(C42="","",IF(OR(COUNT($C$34:$C42)-1=$O$1,COUNT($C$34:$C43)-1=$O$1),C42,NA()))</f>
        <v>#N/A</v>
      </c>
    </row>
    <row r="43" spans="1:4" x14ac:dyDescent="0.25">
      <c r="A43" t="s">
        <v>304</v>
      </c>
      <c r="B43">
        <v>9</v>
      </c>
      <c r="C43" s="153" t="e">
        <f>IF(COUNT($B$34:$B43)&lt;=$O$1+1,INDEX('Utility Revenue'!$B$144:$L$144,1,MATCH(Graphs!B43,'Utility Revenue'!$B$6:$L$6,0)),NA())</f>
        <v>#N/A</v>
      </c>
      <c r="D43" s="154" t="e">
        <f>IF(C43="","",IF(OR(COUNT($C$34:$C43)-1=$O$1,COUNT($C$34:$C44)-1=$O$1),C43,NA()))</f>
        <v>#N/A</v>
      </c>
    </row>
    <row r="44" spans="1:4" x14ac:dyDescent="0.25">
      <c r="A44" t="s">
        <v>305</v>
      </c>
      <c r="B44">
        <v>10</v>
      </c>
      <c r="C44" s="153" t="e">
        <f>IF(COUNT($B$34:$B44)&lt;=$O$1+1,INDEX('Utility Revenue'!$B$144:$L$144,1,MATCH(Graphs!B44,'Utility Revenue'!$B$6:$L$6,0)),NA())</f>
        <v>#N/A</v>
      </c>
      <c r="D44" s="154" t="e">
        <f>IF(C44="","",IF(OR(COUNT($C$34:$C44)-1=$O$1,COUNT($C$34:$C45)-1=$O$1),C44,NA()))</f>
        <v>#N/A</v>
      </c>
    </row>
    <row r="49" spans="1:11" x14ac:dyDescent="0.25">
      <c r="A49" s="9" t="s">
        <v>169</v>
      </c>
      <c r="B49" s="3"/>
      <c r="C49" s="3"/>
      <c r="D49" s="3"/>
      <c r="E49" s="3"/>
      <c r="F49" s="3"/>
      <c r="G49" s="3"/>
      <c r="H49" s="3"/>
      <c r="I49" s="3"/>
      <c r="J49" s="3"/>
      <c r="K49" s="3"/>
    </row>
    <row r="50" spans="1:11" x14ac:dyDescent="0.25">
      <c r="A50" t="s">
        <v>389</v>
      </c>
      <c r="B50" t="s">
        <v>391</v>
      </c>
      <c r="C50" t="s">
        <v>388</v>
      </c>
      <c r="D50" t="s">
        <v>390</v>
      </c>
    </row>
    <row r="51" spans="1:11" x14ac:dyDescent="0.25">
      <c r="A51" t="s">
        <v>387</v>
      </c>
      <c r="B51">
        <v>0</v>
      </c>
      <c r="C51" s="16">
        <f>IF(COUNT($B$34:$B34)&lt;=$O$1+1,INDEX(Reliability!$B$95:$L$95,1,MATCH(Graphs!B34,Reliability!$B$94:$L$94,0)),NA())</f>
        <v>287</v>
      </c>
      <c r="D51" s="147">
        <f>IF(C51="","",IF(OR(COUNT($C$51:$C51)-1=$O$1,COUNT($C$51:$C52)-1=$O$1),C51,NA()))</f>
        <v>287</v>
      </c>
    </row>
    <row r="52" spans="1:11" x14ac:dyDescent="0.25">
      <c r="A52" t="s">
        <v>65</v>
      </c>
      <c r="B52">
        <v>1</v>
      </c>
      <c r="C52" s="16" t="e">
        <f>IF(COUNT($B$34:$B35)&lt;=$O$1+1,INDEX(Reliability!$B$95:$L$95,1,MATCH(Graphs!B35,Reliability!$B$94:$L$94,0)),NA())</f>
        <v>#N/A</v>
      </c>
      <c r="D52" s="147" t="e">
        <f>IF(C52="","",IF(OR(COUNT($C$51:$C52)-1=$O$1,COUNT($C$51:$C53)-1=$O$1),C52,NA()))</f>
        <v>#N/A</v>
      </c>
    </row>
    <row r="53" spans="1:11" x14ac:dyDescent="0.25">
      <c r="A53" t="s">
        <v>100</v>
      </c>
      <c r="B53">
        <v>2</v>
      </c>
      <c r="C53" s="16" t="e">
        <f>IF(COUNT($B$34:$B36)&lt;=$O$1+1,INDEX(Reliability!$B$95:$L$95,1,MATCH(Graphs!B36,Reliability!$B$94:$L$94,0)),NA())</f>
        <v>#N/A</v>
      </c>
      <c r="D53" s="147" t="e">
        <f>IF(C53="","",IF(OR(COUNT($C$51:$C53)-1=$O$1,COUNT($C$51:$C54)-1=$O$1),C53,NA()))</f>
        <v>#N/A</v>
      </c>
    </row>
    <row r="54" spans="1:11" x14ac:dyDescent="0.25">
      <c r="A54" t="s">
        <v>101</v>
      </c>
      <c r="B54">
        <v>3</v>
      </c>
      <c r="C54" s="16" t="e">
        <f>IF(COUNT($B$34:$B37)&lt;=$O$1+1,INDEX(Reliability!$B$95:$L$95,1,MATCH(Graphs!B37,Reliability!$B$94:$L$94,0)),NA())</f>
        <v>#N/A</v>
      </c>
      <c r="D54" s="147" t="e">
        <f>IF(C54="","",IF(OR(COUNT($C$51:$C54)-1=$O$1,COUNT($C$51:$C55)-1=$O$1),C54,NA()))</f>
        <v>#N/A</v>
      </c>
    </row>
    <row r="55" spans="1:11" x14ac:dyDescent="0.25">
      <c r="A55" t="s">
        <v>102</v>
      </c>
      <c r="B55">
        <v>4</v>
      </c>
      <c r="C55" s="16" t="e">
        <f>IF(COUNT($B$34:$B38)&lt;=$O$1+1,INDEX(Reliability!$B$95:$L$95,1,MATCH(Graphs!B38,Reliability!$B$94:$L$94,0)),NA())</f>
        <v>#N/A</v>
      </c>
      <c r="D55" s="147" t="e">
        <f>IF(C55="","",IF(OR(COUNT($C$51:$C55)-1=$O$1,COUNT($C$51:$C56)-1=$O$1),C55,NA()))</f>
        <v>#N/A</v>
      </c>
    </row>
    <row r="56" spans="1:11" x14ac:dyDescent="0.25">
      <c r="A56" t="s">
        <v>103</v>
      </c>
      <c r="B56">
        <v>5</v>
      </c>
      <c r="C56" s="16" t="e">
        <f>IF(COUNT($B$34:$B39)&lt;=$O$1+1,INDEX(Reliability!$B$95:$L$95,1,MATCH(Graphs!B39,Reliability!$B$94:$L$94,0)),NA())</f>
        <v>#N/A</v>
      </c>
      <c r="D56" s="147" t="e">
        <f>IF(C56="","",IF(OR(COUNT($C$51:$C56)-1=$O$1,COUNT($C$51:$C57)-1=$O$1),C56,NA()))</f>
        <v>#N/A</v>
      </c>
    </row>
    <row r="57" spans="1:11" x14ac:dyDescent="0.25">
      <c r="A57" t="s">
        <v>301</v>
      </c>
      <c r="B57">
        <v>6</v>
      </c>
      <c r="C57" s="16" t="e">
        <f>IF(COUNT($B$34:$B40)&lt;=$O$1+1,INDEX(Reliability!$B$95:$L$95,1,MATCH(Graphs!B40,Reliability!$B$94:$L$94,0)),NA())</f>
        <v>#N/A</v>
      </c>
      <c r="D57" s="147" t="e">
        <f>IF(C57="","",IF(OR(COUNT($C$51:$C57)-1=$O$1,COUNT($C$51:$C58)-1=$O$1),C57,NA()))</f>
        <v>#N/A</v>
      </c>
    </row>
    <row r="58" spans="1:11" x14ac:dyDescent="0.25">
      <c r="A58" t="s">
        <v>302</v>
      </c>
      <c r="B58">
        <v>7</v>
      </c>
      <c r="C58" s="16" t="e">
        <f>IF(COUNT($B$34:$B41)&lt;=$O$1+1,INDEX(Reliability!$B$95:$L$95,1,MATCH(Graphs!B41,Reliability!$B$94:$L$94,0)),NA())</f>
        <v>#N/A</v>
      </c>
      <c r="D58" s="147" t="e">
        <f>IF(C58="","",IF(OR(COUNT($C$51:$C58)-1=$O$1,COUNT($C$51:$C59)-1=$O$1),C58,NA()))</f>
        <v>#N/A</v>
      </c>
    </row>
    <row r="59" spans="1:11" x14ac:dyDescent="0.25">
      <c r="A59" t="s">
        <v>303</v>
      </c>
      <c r="B59">
        <v>8</v>
      </c>
      <c r="C59" s="16" t="e">
        <f>IF(COUNT($B$34:$B42)&lt;=$O$1+1,INDEX(Reliability!$B$95:$L$95,1,MATCH(Graphs!B42,Reliability!$B$94:$L$94,0)),NA())</f>
        <v>#N/A</v>
      </c>
      <c r="D59" s="147" t="e">
        <f>IF(C59="","",IF(OR(COUNT($C$51:$C59)-1=$O$1,COUNT($C$51:$C60)-1=$O$1),C59,NA()))</f>
        <v>#N/A</v>
      </c>
    </row>
    <row r="60" spans="1:11" x14ac:dyDescent="0.25">
      <c r="A60" t="s">
        <v>304</v>
      </c>
      <c r="B60">
        <v>9</v>
      </c>
      <c r="C60" s="16" t="e">
        <f>IF(COUNT($B$34:$B43)&lt;=$O$1+1,INDEX(Reliability!$B$95:$L$95,1,MATCH(Graphs!B43,Reliability!$B$94:$L$94,0)),NA())</f>
        <v>#N/A</v>
      </c>
      <c r="D60" s="147" t="e">
        <f>IF(C60="","",IF(OR(COUNT($C$51:$C60)-1=$O$1,COUNT($C$51:$C61)-1=$O$1),C60,NA()))</f>
        <v>#N/A</v>
      </c>
    </row>
    <row r="61" spans="1:11" x14ac:dyDescent="0.25">
      <c r="A61" t="s">
        <v>305</v>
      </c>
      <c r="B61">
        <v>10</v>
      </c>
      <c r="C61" s="16" t="e">
        <f>IF(COUNT($B$34:$B44)&lt;=$O$1+1,INDEX(Reliability!$B$95:$L$95,1,MATCH(Graphs!B44,Reliability!$B$94:$L$94,0)),NA())</f>
        <v>#N/A</v>
      </c>
      <c r="D61" s="147" t="e">
        <f>IF(C61="","",IF(OR(COUNT($C$51:$C61)-1=$O$1,COUNT($C$51:$C62)-1=$O$1),C61,NA()))</f>
        <v>#N/A</v>
      </c>
    </row>
    <row r="65" spans="1:11" x14ac:dyDescent="0.25">
      <c r="A65" s="9" t="s">
        <v>418</v>
      </c>
      <c r="B65" s="3"/>
      <c r="C65" s="3"/>
      <c r="D65" s="3"/>
      <c r="E65" s="3"/>
      <c r="F65" s="3"/>
      <c r="G65" s="3"/>
      <c r="H65" s="3"/>
      <c r="I65" s="3"/>
      <c r="J65" s="3"/>
      <c r="K65" s="3"/>
    </row>
    <row r="66" spans="1:11" x14ac:dyDescent="0.25">
      <c r="A66" t="s">
        <v>7</v>
      </c>
      <c r="B66">
        <f>Dispatch!B153</f>
        <v>2628000</v>
      </c>
    </row>
    <row r="67" spans="1:11" x14ac:dyDescent="0.25">
      <c r="A67" t="s">
        <v>8</v>
      </c>
      <c r="B67">
        <f>Dispatch!B154</f>
        <v>1930680</v>
      </c>
      <c r="C67" s="16"/>
      <c r="D67" s="147"/>
    </row>
    <row r="68" spans="1:11" x14ac:dyDescent="0.25">
      <c r="A68" t="s">
        <v>13</v>
      </c>
      <c r="B68">
        <f>Dispatch!B155</f>
        <v>3942000</v>
      </c>
      <c r="C68" s="16"/>
      <c r="D68" s="147"/>
    </row>
    <row r="69" spans="1:11" x14ac:dyDescent="0.25">
      <c r="A69" t="s">
        <v>9</v>
      </c>
      <c r="B69">
        <f>Dispatch!B156</f>
        <v>65700</v>
      </c>
      <c r="C69" s="16"/>
      <c r="D69" s="147"/>
    </row>
    <row r="70" spans="1:11" x14ac:dyDescent="0.25">
      <c r="A70" t="s">
        <v>10</v>
      </c>
      <c r="B70">
        <f>Dispatch!B157</f>
        <v>78840</v>
      </c>
      <c r="C70" s="16"/>
      <c r="D70" s="147"/>
    </row>
    <row r="71" spans="1:11" x14ac:dyDescent="0.25">
      <c r="A71" t="s">
        <v>11</v>
      </c>
      <c r="B71">
        <f>Dispatch!B158</f>
        <v>157680</v>
      </c>
      <c r="C71" s="16"/>
      <c r="D71" s="147"/>
    </row>
    <row r="72" spans="1:11" x14ac:dyDescent="0.25">
      <c r="C72" s="16"/>
      <c r="D72" s="147"/>
    </row>
    <row r="73" spans="1:11" x14ac:dyDescent="0.25">
      <c r="C73" s="16"/>
      <c r="D73" s="147"/>
    </row>
    <row r="74" spans="1:11" x14ac:dyDescent="0.25">
      <c r="C74" s="16"/>
      <c r="D74" s="147"/>
    </row>
    <row r="75" spans="1:11" x14ac:dyDescent="0.25">
      <c r="C75" s="16"/>
      <c r="D75" s="147"/>
    </row>
    <row r="76" spans="1:11" x14ac:dyDescent="0.25">
      <c r="C76" s="16"/>
      <c r="D76" s="147"/>
    </row>
    <row r="77" spans="1:11" x14ac:dyDescent="0.25">
      <c r="C77" s="16"/>
      <c r="D77" s="147"/>
    </row>
    <row r="81" spans="1:11" x14ac:dyDescent="0.25">
      <c r="A81" s="9" t="s">
        <v>419</v>
      </c>
      <c r="B81" s="3"/>
      <c r="C81" s="3"/>
      <c r="D81" s="3"/>
      <c r="E81" s="3"/>
      <c r="F81" s="3"/>
      <c r="G81" s="3"/>
      <c r="H81" s="3"/>
      <c r="I81" s="3"/>
      <c r="J81" s="3"/>
      <c r="K81" s="3"/>
    </row>
    <row r="82" spans="1:11" x14ac:dyDescent="0.25">
      <c r="A82" t="s">
        <v>389</v>
      </c>
      <c r="B82" t="s">
        <v>391</v>
      </c>
      <c r="C82" t="s">
        <v>388</v>
      </c>
      <c r="D82" t="s">
        <v>390</v>
      </c>
      <c r="E82" t="s">
        <v>420</v>
      </c>
    </row>
    <row r="83" spans="1:11" x14ac:dyDescent="0.25">
      <c r="A83" t="s">
        <v>387</v>
      </c>
      <c r="B83">
        <v>0</v>
      </c>
      <c r="C83" s="5">
        <f>IF(COUNT($B$34:$B34)&lt;=$O$1+1,INDEX(Reliability!$B$89:$L$89,1,MATCH(Graphs!B34,Reliability!$B$88:$L$88,0)),NA())</f>
        <v>0.17384000000000022</v>
      </c>
      <c r="D83" s="5">
        <f>IF(C83="","",IF(OR(COUNT($C$83:$C83)-1=$O$1,COUNT($C$83:$C84)-1=$O$1),C83,NA()))</f>
        <v>0.17384000000000022</v>
      </c>
      <c r="E83" s="18">
        <v>0.15</v>
      </c>
    </row>
    <row r="84" spans="1:11" x14ac:dyDescent="0.25">
      <c r="A84" t="s">
        <v>65</v>
      </c>
      <c r="B84">
        <v>1</v>
      </c>
      <c r="C84" s="5" t="e">
        <f>IF(COUNT($B$34:$B35)&lt;=$O$1+1,INDEX(Reliability!$B$89:$L$89,1,MATCH(Graphs!B35,Reliability!$B$88:$L$88,0)),NA())</f>
        <v>#N/A</v>
      </c>
      <c r="D84" s="5" t="e">
        <f>IF(C84="","",IF(OR(COUNT($C$83:$C84)-1=$O$1,COUNT($C$83:$C85)-1=$O$1),C84,NA()))</f>
        <v>#N/A</v>
      </c>
      <c r="E84" s="18">
        <v>0.15</v>
      </c>
    </row>
    <row r="85" spans="1:11" x14ac:dyDescent="0.25">
      <c r="A85" t="s">
        <v>100</v>
      </c>
      <c r="B85">
        <v>2</v>
      </c>
      <c r="C85" s="5" t="e">
        <f>IF(COUNT($B$34:$B36)&lt;=$O$1+1,INDEX(Reliability!$B$89:$L$89,1,MATCH(Graphs!B36,Reliability!$B$88:$L$88,0)),NA())</f>
        <v>#N/A</v>
      </c>
      <c r="D85" s="5" t="e">
        <f>IF(C85="","",IF(OR(COUNT($C$83:$C85)-1=$O$1,COUNT($C$83:$C86)-1=$O$1),C85,NA()))</f>
        <v>#N/A</v>
      </c>
      <c r="E85" s="18">
        <v>0.15</v>
      </c>
    </row>
    <row r="86" spans="1:11" x14ac:dyDescent="0.25">
      <c r="A86" t="s">
        <v>101</v>
      </c>
      <c r="B86">
        <v>3</v>
      </c>
      <c r="C86" s="5" t="e">
        <f>IF(COUNT($B$34:$B37)&lt;=$O$1+1,INDEX(Reliability!$B$89:$L$89,1,MATCH(Graphs!B37,Reliability!$B$88:$L$88,0)),NA())</f>
        <v>#N/A</v>
      </c>
      <c r="D86" s="5" t="e">
        <f>IF(C86="","",IF(OR(COUNT($C$83:$C86)-1=$O$1,COUNT($C$83:$C87)-1=$O$1),C86,NA()))</f>
        <v>#N/A</v>
      </c>
      <c r="E86" s="18">
        <v>0.15</v>
      </c>
    </row>
    <row r="87" spans="1:11" x14ac:dyDescent="0.25">
      <c r="A87" t="s">
        <v>102</v>
      </c>
      <c r="B87">
        <v>4</v>
      </c>
      <c r="C87" s="5" t="e">
        <f>IF(COUNT($B$34:$B38)&lt;=$O$1+1,INDEX(Reliability!$B$89:$L$89,1,MATCH(Graphs!B38,Reliability!$B$88:$L$88,0)),NA())</f>
        <v>#N/A</v>
      </c>
      <c r="D87" s="5" t="e">
        <f>IF(C87="","",IF(OR(COUNT($C$83:$C87)-1=$O$1,COUNT($C$83:$C88)-1=$O$1),C87,NA()))</f>
        <v>#N/A</v>
      </c>
      <c r="E87" s="18">
        <v>0.15</v>
      </c>
    </row>
    <row r="88" spans="1:11" x14ac:dyDescent="0.25">
      <c r="A88" t="s">
        <v>103</v>
      </c>
      <c r="B88">
        <v>5</v>
      </c>
      <c r="C88" s="5" t="e">
        <f>IF(COUNT($B$34:$B39)&lt;=$O$1+1,INDEX(Reliability!$B$89:$L$89,1,MATCH(Graphs!B39,Reliability!$B$88:$L$88,0)),NA())</f>
        <v>#N/A</v>
      </c>
      <c r="D88" s="5" t="e">
        <f>IF(C88="","",IF(OR(COUNT($C$83:$C88)-1=$O$1,COUNT($C$83:$C89)-1=$O$1),C88,NA()))</f>
        <v>#N/A</v>
      </c>
      <c r="E88" s="18">
        <v>0.15</v>
      </c>
    </row>
    <row r="89" spans="1:11" x14ac:dyDescent="0.25">
      <c r="A89" t="s">
        <v>301</v>
      </c>
      <c r="B89">
        <v>6</v>
      </c>
      <c r="C89" s="5" t="e">
        <f>IF(COUNT($B$34:$B40)&lt;=$O$1+1,INDEX(Reliability!$B$89:$L$89,1,MATCH(Graphs!B40,Reliability!$B$88:$L$88,0)),NA())</f>
        <v>#N/A</v>
      </c>
      <c r="D89" s="5" t="e">
        <f>IF(C89="","",IF(OR(COUNT($C$83:$C89)-1=$O$1,COUNT($C$83:$C90)-1=$O$1),C89,NA()))</f>
        <v>#N/A</v>
      </c>
      <c r="E89" s="18">
        <v>0.15</v>
      </c>
    </row>
    <row r="90" spans="1:11" x14ac:dyDescent="0.25">
      <c r="A90" t="s">
        <v>302</v>
      </c>
      <c r="B90">
        <v>7</v>
      </c>
      <c r="C90" s="5" t="e">
        <f>IF(COUNT($B$34:$B41)&lt;=$O$1+1,INDEX(Reliability!$B$89:$L$89,1,MATCH(Graphs!B41,Reliability!$B$88:$L$88,0)),NA())</f>
        <v>#N/A</v>
      </c>
      <c r="D90" s="5" t="e">
        <f>IF(C90="","",IF(OR(COUNT($C$83:$C90)-1=$O$1,COUNT($C$83:$C91)-1=$O$1),C90,NA()))</f>
        <v>#N/A</v>
      </c>
      <c r="E90" s="18">
        <v>0.15</v>
      </c>
    </row>
    <row r="91" spans="1:11" x14ac:dyDescent="0.25">
      <c r="A91" t="s">
        <v>303</v>
      </c>
      <c r="B91">
        <v>8</v>
      </c>
      <c r="C91" s="5" t="e">
        <f>IF(COUNT($B$34:$B42)&lt;=$O$1+1,INDEX(Reliability!$B$89:$L$89,1,MATCH(Graphs!B42,Reliability!$B$88:$L$88,0)),NA())</f>
        <v>#N/A</v>
      </c>
      <c r="D91" s="5" t="e">
        <f>IF(C91="","",IF(OR(COUNT($C$83:$C91)-1=$O$1,COUNT($C$83:$C92)-1=$O$1),C91,NA()))</f>
        <v>#N/A</v>
      </c>
      <c r="E91" s="18">
        <v>0.15</v>
      </c>
    </row>
    <row r="92" spans="1:11" x14ac:dyDescent="0.25">
      <c r="A92" t="s">
        <v>304</v>
      </c>
      <c r="B92">
        <v>9</v>
      </c>
      <c r="C92" s="5" t="e">
        <f>IF(COUNT($B$34:$B43)&lt;=$O$1+1,INDEX(Reliability!$B$89:$L$89,1,MATCH(Graphs!B43,Reliability!$B$88:$L$88,0)),NA())</f>
        <v>#N/A</v>
      </c>
      <c r="D92" s="5" t="e">
        <f>IF(C92="","",IF(OR(COUNT($C$83:$C92)-1=$O$1,COUNT($C$83:$C93)-1=$O$1),C92,NA()))</f>
        <v>#N/A</v>
      </c>
      <c r="E92" s="18">
        <v>0.15</v>
      </c>
    </row>
    <row r="93" spans="1:11" x14ac:dyDescent="0.25">
      <c r="A93" t="s">
        <v>305</v>
      </c>
      <c r="B93">
        <v>10</v>
      </c>
      <c r="C93" s="5" t="e">
        <f>IF(COUNT($B$34:$B44)&lt;=$O$1+1,INDEX(Reliability!$B$89:$L$89,1,MATCH(Graphs!B44,Reliability!$B$88:$L$88,0)),NA())</f>
        <v>#N/A</v>
      </c>
      <c r="D93" s="5" t="e">
        <f>IF(C93="","",IF(OR(COUNT($C$83:$C93)-1=$O$1,COUNT($C$83:$C94)-1=$O$1),C93,NA()))</f>
        <v>#N/A</v>
      </c>
      <c r="E93" s="18">
        <v>0.15</v>
      </c>
    </row>
    <row r="96" spans="1:11" x14ac:dyDescent="0.25">
      <c r="A96" s="9" t="s">
        <v>431</v>
      </c>
      <c r="B96" s="3"/>
      <c r="C96" s="3"/>
      <c r="D96" s="3"/>
      <c r="E96" s="3"/>
      <c r="F96" s="3"/>
      <c r="G96" s="3"/>
      <c r="H96" s="3"/>
      <c r="I96" s="3"/>
      <c r="J96" s="3"/>
      <c r="K96" s="3"/>
    </row>
    <row r="97" spans="1:2" x14ac:dyDescent="0.25">
      <c r="A97" t="str">
        <f>CONCATENATE("Welcome to Round ", O1)</f>
        <v>Welcome to Round 0</v>
      </c>
    </row>
    <row r="99" spans="1:2" x14ac:dyDescent="0.25">
      <c r="A99" t="s">
        <v>432</v>
      </c>
    </row>
    <row r="101" spans="1:2" x14ac:dyDescent="0.25">
      <c r="A101" t="e">
        <f>CONCATENATE("Your average customer bill ",IF(INDEX($C$3:$C$13,Current_Round+1,1)&lt;INDEX($C$3:$C$13,Current_Round,1),"decreased by $","increased by $"), ROUND(ABS(INDEX($C$3:$C$13,Current_Round+1,1)-INDEX($C$3:$C$13,Current_Round,1)),2))</f>
        <v>#VALUE!</v>
      </c>
      <c r="B101" s="155" t="e">
        <f>IF(INDEX($C$3:$C$13,Current_Round+1,1)-INDEX($C$3:$C$13,Current_Round,1)&gt;0,"+","-")</f>
        <v>#VALUE!</v>
      </c>
    </row>
    <row r="103" spans="1:2" x14ac:dyDescent="0.25">
      <c r="A103" t="e">
        <f>CONCATENATE("Your average CO2 emissions rate ",IF(INDEX($C$18:$C$28,Current_Round+1,1)&lt;INDEX($C$18:$C$28,Current_Round,1),"decreased by ","increased by "), ROUND(ABS(INDEX($C$18:$C$28,Current_Round+1,1)-INDEX($C$18:$C$28,Current_Round,1)),0)," lbs/MWh")</f>
        <v>#VALUE!</v>
      </c>
      <c r="B103" s="155" t="e">
        <f>IF(INDEX($C$18:$C$28,Current_Round+1,1)-INDEX($C$18:$C$28,Current_Round,1)&gt;0,"+","-")</f>
        <v>#VALUE!</v>
      </c>
    </row>
    <row r="105" spans="1:2" x14ac:dyDescent="0.25">
      <c r="A105" t="e">
        <f>CONCATENATE("Your earnings per share ",IF(INDEX($C$34:$C$44,Current_Round+1,1)&lt;INDEX($C$34:$C$44,Current_Round,1),"decreased by $","increased by $"), ROUND(ABS(INDEX($C$34:$C$44,Current_Round+1,1)-INDEX($C$34:$C$44,Current_Round,1)),2))</f>
        <v>#REF!</v>
      </c>
      <c r="B105" s="155" t="e">
        <f>IF(INDEX($C$34:$C$44,Current_Round+1,1)-INDEX($C$34:$C$44,Current_Round,1)&gt;0,"+","-")</f>
        <v>#REF!</v>
      </c>
    </row>
    <row r="107" spans="1:2" x14ac:dyDescent="0.25">
      <c r="A107" t="e">
        <f>CONCATENATE("Your minutes of outages ",IF(INDEX($C$51:$C$61,Current_Round+1,1)&lt;INDEX($C$51:$C$61,Current_Round,1),"decreased by ","increased by "), ROUND(ABS(INDEX($C$51:$C$61,Current_Round+1,1)-INDEX($C$51:$C$61,Current_Round,1)),0))</f>
        <v>#VALUE!</v>
      </c>
      <c r="B107" s="155" t="e">
        <f>IF(INDEX($C$51:$C$61,Current_Round+1,1)-INDEX($C$51:$C$61,Current_Round,1)&gt;0,"+","-")</f>
        <v>#VALUE!</v>
      </c>
    </row>
    <row r="109" spans="1:2" x14ac:dyDescent="0.25">
      <c r="A109" t="str">
        <f>CONCATENATE("These resources are retiring in Round ",Current_Round,":")</f>
        <v>These resources are retiring in Round 0:</v>
      </c>
    </row>
    <row r="111" spans="1:2" x14ac:dyDescent="0.25">
      <c r="A111" t="str">
        <f>CONCATENATE("Coal: ",INDEX('Resource Mix and Demand'!$B$13:$L$21,1,Current_Round+1)," MW")</f>
        <v>Coal: 0 MW</v>
      </c>
    </row>
    <row r="113" spans="1:1" x14ac:dyDescent="0.25">
      <c r="A113" t="str">
        <f>CONCATENATE("Nuclear: ",INDEX('Resource Mix and Demand'!$B$13:$L$21,3,Current_Round+1)," MW")</f>
        <v>Nuclear: 0 MW</v>
      </c>
    </row>
    <row r="115" spans="1:1" x14ac:dyDescent="0.25">
      <c r="A115" t="s">
        <v>435</v>
      </c>
    </row>
    <row r="117" spans="1:1" x14ac:dyDescent="0.25">
      <c r="A117" t="str">
        <f>CONCATENATE("Solar PV: ",MAX(0,ROUND(INDEX(Reliability!$B$55:$L$55,1,MATCH(Current_Round,Reliability!$B$54:$L$54,0))-INDEX(Reliability!$B$59:$L$59,1,MATCH(Current_Round,Reliability!$B$58:$L$58,0)),0))," MW")</f>
        <v>Solar PV: 582 MW</v>
      </c>
    </row>
    <row r="119" spans="1:1" x14ac:dyDescent="0.25">
      <c r="A119" t="str">
        <f>CONCATENATE("Wind: ",MAX(0,ROUND(INDEX(Reliability!$B$55:$L$55,1,MATCH(Current_Round,Reliability!$B$54:$L$54,0))-INDEX(Reliability!$B$60:$L$60,1,MATCH(Current_Round,Reliability!$B$58:$L$58,0)),0))," MW")</f>
        <v>Wind: 602 MW</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5" tint="0.39997558519241921"/>
  </sheetPr>
  <dimension ref="A1:F53"/>
  <sheetViews>
    <sheetView workbookViewId="0">
      <selection activeCell="F2" sqref="F2"/>
    </sheetView>
  </sheetViews>
  <sheetFormatPr defaultRowHeight="15" x14ac:dyDescent="0.25"/>
  <cols>
    <col min="1" max="1" width="50.7109375" bestFit="1" customWidth="1"/>
    <col min="2" max="2" width="10.28515625" customWidth="1"/>
    <col min="3" max="3" width="15.140625" bestFit="1" customWidth="1"/>
    <col min="5" max="5" width="25.5703125" bestFit="1" customWidth="1"/>
  </cols>
  <sheetData>
    <row r="1" spans="1:6" ht="15.75" thickBot="1" x14ac:dyDescent="0.3">
      <c r="A1" s="9" t="s">
        <v>105</v>
      </c>
      <c r="B1" s="9"/>
      <c r="C1" s="161" t="s">
        <v>452</v>
      </c>
      <c r="E1" s="104" t="s">
        <v>104</v>
      </c>
      <c r="F1" s="104">
        <f>Current_Round</f>
        <v>0</v>
      </c>
    </row>
    <row r="2" spans="1:6" ht="15.75" thickBot="1" x14ac:dyDescent="0.3">
      <c r="A2" t="s">
        <v>450</v>
      </c>
      <c r="B2" s="69">
        <v>0</v>
      </c>
      <c r="C2" s="69" t="s">
        <v>455</v>
      </c>
      <c r="E2" s="163" t="s">
        <v>456</v>
      </c>
      <c r="F2" s="162">
        <f>$F$1</f>
        <v>0</v>
      </c>
    </row>
    <row r="3" spans="1:6" x14ac:dyDescent="0.25">
      <c r="A3" t="s">
        <v>451</v>
      </c>
      <c r="B3" s="69">
        <v>0</v>
      </c>
      <c r="C3" s="69" t="s">
        <v>455</v>
      </c>
    </row>
    <row r="5" spans="1:6" x14ac:dyDescent="0.25">
      <c r="A5" s="9" t="s">
        <v>444</v>
      </c>
      <c r="B5" s="9"/>
      <c r="C5" s="161" t="s">
        <v>452</v>
      </c>
    </row>
    <row r="6" spans="1:6" x14ac:dyDescent="0.25">
      <c r="A6" s="160" t="s">
        <v>446</v>
      </c>
      <c r="B6" s="21"/>
      <c r="C6" s="21"/>
    </row>
    <row r="7" spans="1:6" x14ac:dyDescent="0.25">
      <c r="A7" t="s">
        <v>7</v>
      </c>
      <c r="B7">
        <v>0</v>
      </c>
      <c r="C7" t="s">
        <v>455</v>
      </c>
    </row>
    <row r="8" spans="1:6" x14ac:dyDescent="0.25">
      <c r="A8" t="s">
        <v>8</v>
      </c>
      <c r="B8">
        <v>0</v>
      </c>
      <c r="C8" t="s">
        <v>455</v>
      </c>
    </row>
    <row r="9" spans="1:6" x14ac:dyDescent="0.25">
      <c r="A9" t="s">
        <v>13</v>
      </c>
      <c r="B9">
        <v>0</v>
      </c>
      <c r="C9" t="s">
        <v>455</v>
      </c>
    </row>
    <row r="10" spans="1:6" x14ac:dyDescent="0.25">
      <c r="A10" t="s">
        <v>9</v>
      </c>
      <c r="B10">
        <v>0</v>
      </c>
      <c r="C10" t="s">
        <v>455</v>
      </c>
    </row>
    <row r="11" spans="1:6" x14ac:dyDescent="0.25">
      <c r="A11" t="s">
        <v>10</v>
      </c>
      <c r="B11">
        <v>0</v>
      </c>
      <c r="C11" t="s">
        <v>455</v>
      </c>
    </row>
    <row r="12" spans="1:6" x14ac:dyDescent="0.25">
      <c r="A12" t="s">
        <v>11</v>
      </c>
      <c r="B12">
        <v>0</v>
      </c>
      <c r="C12" t="s">
        <v>455</v>
      </c>
    </row>
    <row r="13" spans="1:6" x14ac:dyDescent="0.25">
      <c r="A13" t="s">
        <v>289</v>
      </c>
      <c r="B13">
        <v>0</v>
      </c>
      <c r="C13" t="s">
        <v>455</v>
      </c>
    </row>
    <row r="14" spans="1:6" x14ac:dyDescent="0.25">
      <c r="A14" t="s">
        <v>290</v>
      </c>
      <c r="B14">
        <v>0</v>
      </c>
      <c r="C14" t="s">
        <v>455</v>
      </c>
    </row>
    <row r="15" spans="1:6" x14ac:dyDescent="0.25">
      <c r="A15" t="s">
        <v>428</v>
      </c>
      <c r="B15">
        <v>0</v>
      </c>
      <c r="C15" t="s">
        <v>455</v>
      </c>
    </row>
    <row r="16" spans="1:6" x14ac:dyDescent="0.25">
      <c r="A16" t="s">
        <v>204</v>
      </c>
      <c r="B16">
        <v>0</v>
      </c>
      <c r="C16" t="s">
        <v>455</v>
      </c>
    </row>
    <row r="17" spans="1:3" x14ac:dyDescent="0.25">
      <c r="A17" t="s">
        <v>183</v>
      </c>
      <c r="B17">
        <v>0</v>
      </c>
      <c r="C17" t="s">
        <v>455</v>
      </c>
    </row>
    <row r="18" spans="1:3" x14ac:dyDescent="0.25">
      <c r="A18" t="s">
        <v>182</v>
      </c>
      <c r="B18">
        <v>0</v>
      </c>
      <c r="C18" t="s">
        <v>455</v>
      </c>
    </row>
    <row r="19" spans="1:3" x14ac:dyDescent="0.25">
      <c r="A19" t="s">
        <v>39</v>
      </c>
      <c r="B19">
        <v>0</v>
      </c>
      <c r="C19" t="s">
        <v>455</v>
      </c>
    </row>
    <row r="20" spans="1:3" x14ac:dyDescent="0.25">
      <c r="A20" t="s">
        <v>423</v>
      </c>
      <c r="B20">
        <v>0</v>
      </c>
      <c r="C20" t="s">
        <v>455</v>
      </c>
    </row>
    <row r="21" spans="1:3" x14ac:dyDescent="0.25">
      <c r="A21" t="s">
        <v>448</v>
      </c>
      <c r="B21">
        <v>0</v>
      </c>
      <c r="C21" t="s">
        <v>455</v>
      </c>
    </row>
    <row r="23" spans="1:3" x14ac:dyDescent="0.25">
      <c r="A23" s="160" t="s">
        <v>445</v>
      </c>
      <c r="B23" s="21"/>
      <c r="C23" s="161" t="s">
        <v>452</v>
      </c>
    </row>
    <row r="24" spans="1:3" x14ac:dyDescent="0.25">
      <c r="A24" t="s">
        <v>7</v>
      </c>
      <c r="B24">
        <v>0</v>
      </c>
      <c r="C24" t="s">
        <v>455</v>
      </c>
    </row>
    <row r="25" spans="1:3" x14ac:dyDescent="0.25">
      <c r="A25" t="s">
        <v>8</v>
      </c>
      <c r="B25">
        <v>0</v>
      </c>
      <c r="C25" t="s">
        <v>455</v>
      </c>
    </row>
    <row r="26" spans="1:3" x14ac:dyDescent="0.25">
      <c r="A26" t="s">
        <v>13</v>
      </c>
      <c r="B26">
        <v>0</v>
      </c>
      <c r="C26" t="s">
        <v>455</v>
      </c>
    </row>
    <row r="27" spans="1:3" x14ac:dyDescent="0.25">
      <c r="A27" t="s">
        <v>9</v>
      </c>
      <c r="B27">
        <v>0</v>
      </c>
      <c r="C27" t="s">
        <v>455</v>
      </c>
    </row>
    <row r="28" spans="1:3" x14ac:dyDescent="0.25">
      <c r="A28" t="s">
        <v>10</v>
      </c>
      <c r="B28">
        <v>0</v>
      </c>
      <c r="C28" t="s">
        <v>455</v>
      </c>
    </row>
    <row r="29" spans="1:3" x14ac:dyDescent="0.25">
      <c r="A29" t="s">
        <v>11</v>
      </c>
      <c r="B29">
        <v>0</v>
      </c>
      <c r="C29" t="s">
        <v>455</v>
      </c>
    </row>
    <row r="30" spans="1:3" x14ac:dyDescent="0.25">
      <c r="A30" t="s">
        <v>289</v>
      </c>
      <c r="B30">
        <v>0</v>
      </c>
      <c r="C30" t="s">
        <v>455</v>
      </c>
    </row>
    <row r="31" spans="1:3" x14ac:dyDescent="0.25">
      <c r="A31" t="s">
        <v>290</v>
      </c>
      <c r="B31">
        <v>0</v>
      </c>
      <c r="C31" t="s">
        <v>455</v>
      </c>
    </row>
    <row r="32" spans="1:3" x14ac:dyDescent="0.25">
      <c r="A32" t="s">
        <v>428</v>
      </c>
      <c r="B32">
        <v>0</v>
      </c>
      <c r="C32" t="s">
        <v>455</v>
      </c>
    </row>
    <row r="33" spans="1:3" x14ac:dyDescent="0.25">
      <c r="A33" t="s">
        <v>204</v>
      </c>
      <c r="B33">
        <v>0</v>
      </c>
      <c r="C33" t="s">
        <v>455</v>
      </c>
    </row>
    <row r="34" spans="1:3" x14ac:dyDescent="0.25">
      <c r="A34" t="s">
        <v>183</v>
      </c>
      <c r="B34">
        <v>0</v>
      </c>
      <c r="C34" t="s">
        <v>455</v>
      </c>
    </row>
    <row r="35" spans="1:3" x14ac:dyDescent="0.25">
      <c r="A35" t="s">
        <v>182</v>
      </c>
      <c r="B35">
        <v>0</v>
      </c>
      <c r="C35" t="s">
        <v>455</v>
      </c>
    </row>
    <row r="36" spans="1:3" x14ac:dyDescent="0.25">
      <c r="A36" t="s">
        <v>39</v>
      </c>
      <c r="B36">
        <v>0</v>
      </c>
      <c r="C36" t="s">
        <v>455</v>
      </c>
    </row>
    <row r="37" spans="1:3" x14ac:dyDescent="0.25">
      <c r="A37" t="s">
        <v>423</v>
      </c>
      <c r="B37">
        <v>0</v>
      </c>
      <c r="C37" t="s">
        <v>455</v>
      </c>
    </row>
    <row r="38" spans="1:3" x14ac:dyDescent="0.25">
      <c r="A38" t="s">
        <v>448</v>
      </c>
      <c r="B38">
        <v>0</v>
      </c>
      <c r="C38" t="s">
        <v>455</v>
      </c>
    </row>
    <row r="40" spans="1:3" x14ac:dyDescent="0.25">
      <c r="A40" s="160" t="s">
        <v>449</v>
      </c>
      <c r="B40" s="160"/>
      <c r="C40" s="161" t="s">
        <v>452</v>
      </c>
    </row>
    <row r="41" spans="1:3" x14ac:dyDescent="0.25">
      <c r="A41" t="s">
        <v>7</v>
      </c>
      <c r="B41">
        <v>0</v>
      </c>
      <c r="C41" t="s">
        <v>455</v>
      </c>
    </row>
    <row r="42" spans="1:3" x14ac:dyDescent="0.25">
      <c r="A42" t="s">
        <v>8</v>
      </c>
      <c r="B42">
        <v>0</v>
      </c>
      <c r="C42" t="s">
        <v>455</v>
      </c>
    </row>
    <row r="43" spans="1:3" x14ac:dyDescent="0.25">
      <c r="A43" t="s">
        <v>13</v>
      </c>
      <c r="B43">
        <v>0</v>
      </c>
      <c r="C43" t="s">
        <v>455</v>
      </c>
    </row>
    <row r="44" spans="1:3" x14ac:dyDescent="0.25">
      <c r="A44" t="s">
        <v>9</v>
      </c>
      <c r="B44">
        <v>0</v>
      </c>
      <c r="C44" t="s">
        <v>455</v>
      </c>
    </row>
    <row r="45" spans="1:3" x14ac:dyDescent="0.25">
      <c r="A45" t="s">
        <v>10</v>
      </c>
      <c r="B45">
        <v>0</v>
      </c>
      <c r="C45" t="s">
        <v>455</v>
      </c>
    </row>
    <row r="46" spans="1:3" x14ac:dyDescent="0.25">
      <c r="A46" t="s">
        <v>11</v>
      </c>
      <c r="B46">
        <v>0</v>
      </c>
      <c r="C46" t="s">
        <v>455</v>
      </c>
    </row>
    <row r="47" spans="1:3" x14ac:dyDescent="0.25">
      <c r="A47" t="s">
        <v>289</v>
      </c>
      <c r="B47">
        <v>0</v>
      </c>
      <c r="C47" t="s">
        <v>455</v>
      </c>
    </row>
    <row r="48" spans="1:3" x14ac:dyDescent="0.25">
      <c r="A48" t="s">
        <v>290</v>
      </c>
      <c r="B48">
        <v>0</v>
      </c>
      <c r="C48" t="s">
        <v>455</v>
      </c>
    </row>
    <row r="49" spans="1:3" x14ac:dyDescent="0.25">
      <c r="A49" t="s">
        <v>428</v>
      </c>
      <c r="B49">
        <v>0</v>
      </c>
      <c r="C49" t="s">
        <v>455</v>
      </c>
    </row>
    <row r="51" spans="1:3" x14ac:dyDescent="0.25">
      <c r="A51" s="9" t="s">
        <v>447</v>
      </c>
      <c r="B51" s="9"/>
      <c r="C51" s="161" t="s">
        <v>452</v>
      </c>
    </row>
    <row r="52" spans="1:3" x14ac:dyDescent="0.25">
      <c r="A52" s="17" t="s">
        <v>321</v>
      </c>
      <c r="B52" s="89">
        <v>0</v>
      </c>
      <c r="C52" t="s">
        <v>455</v>
      </c>
    </row>
    <row r="53" spans="1:3" x14ac:dyDescent="0.25">
      <c r="A53" s="17" t="s">
        <v>322</v>
      </c>
      <c r="B53" s="89">
        <v>0</v>
      </c>
      <c r="C53" t="s">
        <v>455</v>
      </c>
    </row>
  </sheetData>
  <dataValidations count="1">
    <dataValidation type="list" allowBlank="1" showInputMessage="1" showErrorMessage="1" sqref="C24:C38 C7:C21 C52:C53 C41:C49" xr:uid="{00000000-0002-0000-0D00-000000000000}">
      <formula1>$G$2:$G$3</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4000000}">
          <x14:formula1>
            <xm:f>'Game Properties'!$G$2:$G$3</xm:f>
          </x14:formula1>
          <xm:sqref>C2:C3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39"/>
  <sheetViews>
    <sheetView zoomScaleNormal="100" workbookViewId="0">
      <selection activeCell="B18" sqref="B18"/>
    </sheetView>
  </sheetViews>
  <sheetFormatPr defaultRowHeight="15" x14ac:dyDescent="0.25"/>
  <cols>
    <col min="1" max="1" width="60.140625" customWidth="1"/>
    <col min="2" max="2" width="119.7109375" customWidth="1"/>
  </cols>
  <sheetData>
    <row r="1" spans="1:2" x14ac:dyDescent="0.25">
      <c r="A1" s="1" t="s">
        <v>364</v>
      </c>
      <c r="B1" s="1" t="s">
        <v>365</v>
      </c>
    </row>
    <row r="2" spans="1:2" x14ac:dyDescent="0.25">
      <c r="A2" t="s">
        <v>144</v>
      </c>
      <c r="B2" t="s">
        <v>367</v>
      </c>
    </row>
    <row r="3" spans="1:2" x14ac:dyDescent="0.25">
      <c r="A3" t="s">
        <v>163</v>
      </c>
      <c r="B3" t="s">
        <v>368</v>
      </c>
    </row>
    <row r="5" spans="1:2" x14ac:dyDescent="0.25">
      <c r="A5" t="s">
        <v>240</v>
      </c>
      <c r="B5" t="s">
        <v>369</v>
      </c>
    </row>
    <row r="6" spans="1:2" x14ac:dyDescent="0.25">
      <c r="A6" t="s">
        <v>251</v>
      </c>
    </row>
    <row r="14" spans="1:2" x14ac:dyDescent="0.25">
      <c r="A14" t="s">
        <v>288</v>
      </c>
    </row>
    <row r="16" spans="1:2" x14ac:dyDescent="0.25">
      <c r="A16" t="s">
        <v>292</v>
      </c>
    </row>
    <row r="22" spans="1:2" x14ac:dyDescent="0.25">
      <c r="A22" t="s">
        <v>327</v>
      </c>
    </row>
    <row r="26" spans="1:2" x14ac:dyDescent="0.25">
      <c r="A26" t="s">
        <v>352</v>
      </c>
      <c r="B26" t="s">
        <v>374</v>
      </c>
    </row>
    <row r="27" spans="1:2" x14ac:dyDescent="0.25">
      <c r="A27" t="s">
        <v>361</v>
      </c>
    </row>
    <row r="28" spans="1:2" x14ac:dyDescent="0.25">
      <c r="A28" s="114" t="s">
        <v>362</v>
      </c>
      <c r="B28" s="114" t="s">
        <v>366</v>
      </c>
    </row>
    <row r="29" spans="1:2" x14ac:dyDescent="0.25">
      <c r="A29" t="s">
        <v>375</v>
      </c>
    </row>
    <row r="30" spans="1:2" x14ac:dyDescent="0.25">
      <c r="A30" t="s">
        <v>376</v>
      </c>
    </row>
    <row r="31" spans="1:2" x14ac:dyDescent="0.25">
      <c r="A31" t="s">
        <v>377</v>
      </c>
    </row>
    <row r="32" spans="1:2" x14ac:dyDescent="0.25">
      <c r="A32" t="s">
        <v>378</v>
      </c>
    </row>
    <row r="37" spans="1:2" x14ac:dyDescent="0.25">
      <c r="A37" t="s">
        <v>370</v>
      </c>
    </row>
    <row r="38" spans="1:2" x14ac:dyDescent="0.25">
      <c r="A38" t="s">
        <v>371</v>
      </c>
      <c r="B38" t="s">
        <v>372</v>
      </c>
    </row>
    <row r="39" spans="1:2" x14ac:dyDescent="0.25">
      <c r="A39" t="s">
        <v>373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Initial Setup</vt:lpstr>
      <vt:lpstr>Gameplay</vt:lpstr>
      <vt:lpstr>Event Tracker</vt:lpstr>
      <vt:lpstr>Game Properties</vt:lpstr>
      <vt:lpstr>Customer Bills</vt:lpstr>
      <vt:lpstr>Utility Revenue</vt:lpstr>
      <vt:lpstr>Environmental Performance</vt:lpstr>
      <vt:lpstr>Reliability</vt:lpstr>
      <vt:lpstr>Game Assumptions</vt:lpstr>
      <vt:lpstr>Resource Mix and Demand</vt:lpstr>
      <vt:lpstr>Dispatch</vt:lpstr>
      <vt:lpstr>Policy Page</vt:lpstr>
      <vt:lpstr>Graphs</vt:lpstr>
      <vt:lpstr>Override</vt:lpstr>
      <vt:lpstr>Questions</vt:lpstr>
      <vt:lpstr>Current_Round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2021-07-16T14:24:17Z</dcterms:modified>
</cp:coreProperties>
</file>