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3.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4.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5.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6.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131" codeName="{4D1C537B-E38A-612A-F078-A93A15B4B7F4}"/>
  <workbookPr codeName="ThisWorkbook"/>
  <mc:AlternateContent xmlns:mc="http://schemas.openxmlformats.org/markup-compatibility/2006">
    <mc:Choice Requires="x15">
      <x15ac:absPath xmlns:x15ac="http://schemas.microsoft.com/office/spreadsheetml/2010/11/ac" url="C:\Users\Rorvis\Dropbox (Energy InNovation)\My Documents\Power Sector Transformation\MegaModels Game\"/>
    </mc:Choice>
  </mc:AlternateContent>
  <xr:revisionPtr revIDLastSave="0" documentId="13_ncr:1_{31B635A5-024A-4E20-BE18-5EF179AA8222}" xr6:coauthVersionLast="47" xr6:coauthVersionMax="47" xr10:uidLastSave="{00000000-0000-0000-0000-000000000000}"/>
  <bookViews>
    <workbookView xWindow="-120" yWindow="-120" windowWidth="29040" windowHeight="17640" firstSheet="2" activeTab="3" xr2:uid="{00000000-000D-0000-FFFF-FFFF00000000}"/>
  </bookViews>
  <sheets>
    <sheet name="Initial Setup" sheetId="10" r:id="rId1"/>
    <sheet name="Gameplay" sheetId="15" r:id="rId2"/>
    <sheet name="Event Tracker" sheetId="14" r:id="rId3"/>
    <sheet name="Game Properties" sheetId="1" r:id="rId4"/>
    <sheet name="Customer Bills" sheetId="5" r:id="rId5"/>
    <sheet name="Environmental Performance" sheetId="6" r:id="rId6"/>
    <sheet name="Reliability" sheetId="7" r:id="rId7"/>
    <sheet name="Utility Revenue" sheetId="8" r:id="rId8"/>
    <sheet name="Game Assumptions" sheetId="11" r:id="rId9"/>
    <sheet name="Resource Mix and Demand" sheetId="2" r:id="rId10"/>
    <sheet name="Dispatch" sheetId="9" r:id="rId11"/>
    <sheet name="Policy Page" sheetId="13" r:id="rId12"/>
    <sheet name="Graphs" sheetId="26" r:id="rId13"/>
    <sheet name="Override" sheetId="27" r:id="rId14"/>
    <sheet name="Questions" sheetId="12" state="hidden" r:id="rId15"/>
  </sheets>
  <definedNames>
    <definedName name="Current_Round">'Event Tracker'!$P$1</definedName>
    <definedName name="solver_adj" localSheetId="7" hidden="1">'Game Assumptions'!$B$2</definedName>
    <definedName name="solver_cvg" localSheetId="7" hidden="1">0.0001</definedName>
    <definedName name="solver_drv" localSheetId="7" hidden="1">1</definedName>
    <definedName name="solver_eng" localSheetId="7" hidden="1">1</definedName>
    <definedName name="solver_est" localSheetId="7" hidden="1">1</definedName>
    <definedName name="solver_itr" localSheetId="7" hidden="1">2147483647</definedName>
    <definedName name="solver_mip" localSheetId="7" hidden="1">2147483647</definedName>
    <definedName name="solver_mni" localSheetId="7" hidden="1">30</definedName>
    <definedName name="solver_mrt" localSheetId="7" hidden="1">0.075</definedName>
    <definedName name="solver_msl" localSheetId="7" hidden="1">2</definedName>
    <definedName name="solver_neg" localSheetId="7" hidden="1">1</definedName>
    <definedName name="solver_nod" localSheetId="7" hidden="1">2147483647</definedName>
    <definedName name="solver_num" localSheetId="7" hidden="1">0</definedName>
    <definedName name="solver_nwt" localSheetId="7" hidden="1">1</definedName>
    <definedName name="solver_opt" localSheetId="7" hidden="1">'Utility Revenue'!$B$155</definedName>
    <definedName name="solver_pre" localSheetId="7" hidden="1">0.000001</definedName>
    <definedName name="solver_rbv" localSheetId="7" hidden="1">1</definedName>
    <definedName name="solver_rlx" localSheetId="7" hidden="1">2</definedName>
    <definedName name="solver_rsd" localSheetId="7" hidden="1">0</definedName>
    <definedName name="solver_scl" localSheetId="7" hidden="1">1</definedName>
    <definedName name="solver_sho" localSheetId="7" hidden="1">2</definedName>
    <definedName name="solver_ssz" localSheetId="7" hidden="1">100</definedName>
    <definedName name="solver_tim" localSheetId="7" hidden="1">2147483647</definedName>
    <definedName name="solver_tol" localSheetId="7" hidden="1">0.01</definedName>
    <definedName name="solver_typ" localSheetId="7" hidden="1">3</definedName>
    <definedName name="solver_val" localSheetId="7" hidden="1">-100000000</definedName>
    <definedName name="solver_ver" localSheetId="7"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22" i="8" l="1"/>
  <c r="D122" i="8"/>
  <c r="E122" i="8"/>
  <c r="F122" i="8"/>
  <c r="G122" i="8"/>
  <c r="H122" i="8"/>
  <c r="I122" i="8"/>
  <c r="J122" i="8"/>
  <c r="K122" i="8"/>
  <c r="L122" i="8"/>
  <c r="C123" i="8"/>
  <c r="D123" i="8"/>
  <c r="E123" i="8"/>
  <c r="F123" i="8"/>
  <c r="G123" i="8"/>
  <c r="H123" i="8"/>
  <c r="I123" i="8"/>
  <c r="J123" i="8"/>
  <c r="K123" i="8"/>
  <c r="L123" i="8"/>
  <c r="C124" i="8" l="1"/>
  <c r="D124" i="8"/>
  <c r="E124" i="8"/>
  <c r="F124" i="8"/>
  <c r="G124" i="8"/>
  <c r="H124" i="8"/>
  <c r="I124" i="8"/>
  <c r="J124" i="8"/>
  <c r="K124" i="8"/>
  <c r="L124" i="8"/>
  <c r="B124" i="8"/>
  <c r="B19" i="14"/>
  <c r="B20" i="14"/>
  <c r="B21" i="14"/>
  <c r="B22" i="14"/>
  <c r="B25" i="8"/>
  <c r="B22" i="8"/>
  <c r="B18" i="8"/>
  <c r="C9" i="8"/>
  <c r="D9" i="8"/>
  <c r="E9" i="8"/>
  <c r="F9" i="8"/>
  <c r="G9" i="8"/>
  <c r="H9" i="8"/>
  <c r="I9" i="8"/>
  <c r="J9" i="8"/>
  <c r="K9" i="8"/>
  <c r="L9" i="8"/>
  <c r="C10" i="8"/>
  <c r="D10" i="8"/>
  <c r="E10" i="8"/>
  <c r="F10" i="8"/>
  <c r="G10" i="8"/>
  <c r="H10" i="8"/>
  <c r="I10" i="8"/>
  <c r="J10" i="8"/>
  <c r="K10" i="8"/>
  <c r="L10" i="8"/>
  <c r="C11" i="8"/>
  <c r="D11" i="8"/>
  <c r="E11" i="8"/>
  <c r="F11" i="8"/>
  <c r="G11" i="8"/>
  <c r="H11" i="8"/>
  <c r="I11" i="8"/>
  <c r="J11" i="8"/>
  <c r="K11" i="8"/>
  <c r="L11" i="8"/>
  <c r="B11" i="8"/>
  <c r="B10" i="8"/>
  <c r="B9" i="8"/>
  <c r="B27" i="14"/>
  <c r="B18" i="14"/>
  <c r="B123" i="8" l="1"/>
  <c r="C103" i="8"/>
  <c r="G103" i="8"/>
  <c r="K103" i="8"/>
  <c r="B103" i="8"/>
  <c r="F103" i="8"/>
  <c r="D103" i="8"/>
  <c r="H103" i="8"/>
  <c r="L103" i="8"/>
  <c r="B131" i="8"/>
  <c r="E103" i="8"/>
  <c r="I103" i="8"/>
  <c r="B135" i="8"/>
  <c r="C135" i="8" s="1"/>
  <c r="D135" i="8" s="1"/>
  <c r="E135" i="8" s="1"/>
  <c r="F135" i="8" s="1"/>
  <c r="G135" i="8" s="1"/>
  <c r="H135" i="8" s="1"/>
  <c r="I135" i="8" s="1"/>
  <c r="J135" i="8" s="1"/>
  <c r="K135" i="8" s="1"/>
  <c r="L135" i="8" s="1"/>
  <c r="B122" i="8"/>
  <c r="J103" i="8"/>
  <c r="B25" i="14"/>
  <c r="B26" i="14"/>
  <c r="C39" i="7"/>
  <c r="D39" i="7"/>
  <c r="E39" i="7"/>
  <c r="F39" i="7"/>
  <c r="G39" i="7"/>
  <c r="H39" i="7"/>
  <c r="I39" i="7"/>
  <c r="J39" i="7"/>
  <c r="K39" i="7"/>
  <c r="L39" i="7"/>
  <c r="C13" i="7"/>
  <c r="C25" i="8" s="1"/>
  <c r="D25" i="8" s="1"/>
  <c r="E25" i="8" s="1"/>
  <c r="F25" i="8" s="1"/>
  <c r="G25" i="8" s="1"/>
  <c r="H25" i="8" s="1"/>
  <c r="I25" i="8" s="1"/>
  <c r="J25" i="8" s="1"/>
  <c r="K25" i="8" s="1"/>
  <c r="L25" i="8" s="1"/>
  <c r="D13" i="7"/>
  <c r="E13" i="7"/>
  <c r="F13" i="7"/>
  <c r="G13" i="7"/>
  <c r="H13" i="7"/>
  <c r="I13" i="7"/>
  <c r="J13" i="7"/>
  <c r="K13" i="7"/>
  <c r="L13" i="7"/>
  <c r="C12" i="7"/>
  <c r="D12" i="7"/>
  <c r="E12" i="7"/>
  <c r="F12" i="7"/>
  <c r="G12" i="7"/>
  <c r="H12" i="7"/>
  <c r="I12" i="7"/>
  <c r="J12" i="7"/>
  <c r="K12" i="7"/>
  <c r="L12" i="7"/>
  <c r="C11" i="7"/>
  <c r="C22" i="8" s="1"/>
  <c r="D22" i="8" s="1"/>
  <c r="E22" i="8" s="1"/>
  <c r="F22" i="8" s="1"/>
  <c r="G22" i="8" s="1"/>
  <c r="H22" i="8" s="1"/>
  <c r="I22" i="8" s="1"/>
  <c r="J22" i="8" s="1"/>
  <c r="K22" i="8" s="1"/>
  <c r="L22" i="8" s="1"/>
  <c r="D11" i="7"/>
  <c r="E11" i="7"/>
  <c r="F11" i="7"/>
  <c r="G11" i="7"/>
  <c r="H11" i="7"/>
  <c r="I11" i="7"/>
  <c r="J11" i="7"/>
  <c r="K11" i="7"/>
  <c r="L11" i="7"/>
  <c r="C10" i="7"/>
  <c r="D10" i="7"/>
  <c r="E10" i="7"/>
  <c r="F10" i="7"/>
  <c r="G10" i="7"/>
  <c r="H10" i="7"/>
  <c r="I10" i="7"/>
  <c r="J10" i="7"/>
  <c r="K10" i="7"/>
  <c r="L10" i="7"/>
  <c r="C9" i="7"/>
  <c r="D9" i="7"/>
  <c r="E9" i="7"/>
  <c r="F9" i="7"/>
  <c r="G9" i="7"/>
  <c r="H9" i="7"/>
  <c r="I9" i="7"/>
  <c r="J9" i="7"/>
  <c r="K9" i="7"/>
  <c r="L9" i="7"/>
  <c r="C8" i="2"/>
  <c r="D8" i="2"/>
  <c r="E8" i="2"/>
  <c r="F8" i="2"/>
  <c r="G8" i="2"/>
  <c r="H8" i="2"/>
  <c r="I8" i="2"/>
  <c r="J8" i="2"/>
  <c r="K8" i="2"/>
  <c r="L8" i="2"/>
  <c r="C7" i="2"/>
  <c r="C18" i="8" s="1"/>
  <c r="D18" i="8" s="1"/>
  <c r="E18" i="8" s="1"/>
  <c r="F18" i="8" s="1"/>
  <c r="G18" i="8" s="1"/>
  <c r="H18" i="8" s="1"/>
  <c r="I18" i="8" s="1"/>
  <c r="J18" i="8" s="1"/>
  <c r="K18" i="8" s="1"/>
  <c r="L18" i="8" s="1"/>
  <c r="D7" i="2"/>
  <c r="E7" i="2"/>
  <c r="F7" i="2"/>
  <c r="G7" i="2"/>
  <c r="H7" i="2"/>
  <c r="I7" i="2"/>
  <c r="J7" i="2"/>
  <c r="K7" i="2"/>
  <c r="L7" i="2"/>
  <c r="C6" i="2"/>
  <c r="D6" i="2"/>
  <c r="E6" i="2"/>
  <c r="F6" i="2"/>
  <c r="G6" i="2"/>
  <c r="H6" i="2"/>
  <c r="I6" i="2"/>
  <c r="J6" i="2"/>
  <c r="K6" i="2"/>
  <c r="L6" i="2"/>
  <c r="C5" i="2"/>
  <c r="D5" i="2"/>
  <c r="E5" i="2"/>
  <c r="F5" i="2"/>
  <c r="G5" i="2"/>
  <c r="H5" i="2"/>
  <c r="I5" i="2"/>
  <c r="J5" i="2"/>
  <c r="K5" i="2"/>
  <c r="L5" i="2"/>
  <c r="C4" i="2"/>
  <c r="D4" i="2"/>
  <c r="E4" i="2"/>
  <c r="F4" i="2"/>
  <c r="G4" i="2"/>
  <c r="H4" i="2"/>
  <c r="I4" i="2"/>
  <c r="J4" i="2"/>
  <c r="K4" i="2"/>
  <c r="L4" i="2"/>
  <c r="C3" i="2"/>
  <c r="D3" i="2"/>
  <c r="E3" i="2"/>
  <c r="F3" i="2"/>
  <c r="G3" i="2"/>
  <c r="H3" i="2"/>
  <c r="I3" i="2"/>
  <c r="J3" i="2"/>
  <c r="K3" i="2"/>
  <c r="L3" i="2"/>
  <c r="C2" i="2"/>
  <c r="D2" i="2"/>
  <c r="E2" i="2"/>
  <c r="F2" i="2"/>
  <c r="G2" i="2"/>
  <c r="H2" i="2"/>
  <c r="I2" i="2"/>
  <c r="J2" i="2"/>
  <c r="K2" i="2"/>
  <c r="L2" i="2"/>
  <c r="B60" i="2"/>
  <c r="C60" i="2"/>
  <c r="D60" i="2"/>
  <c r="E60" i="2"/>
  <c r="F60" i="2"/>
  <c r="G60" i="2"/>
  <c r="H60" i="2"/>
  <c r="I60" i="2"/>
  <c r="J60" i="2"/>
  <c r="K60" i="2"/>
  <c r="L60" i="2"/>
  <c r="C131" i="8" l="1"/>
  <c r="D131" i="8" s="1"/>
  <c r="E131" i="8" s="1"/>
  <c r="F131" i="8" s="1"/>
  <c r="G131" i="8" s="1"/>
  <c r="H131" i="8" s="1"/>
  <c r="I131" i="8" s="1"/>
  <c r="J131" i="8" s="1"/>
  <c r="K131" i="8" s="1"/>
  <c r="L131" i="8" s="1"/>
  <c r="D9" i="2"/>
  <c r="E9" i="2"/>
  <c r="F9" i="2"/>
  <c r="G9" i="2"/>
  <c r="H9" i="2"/>
  <c r="I9" i="2"/>
  <c r="J9" i="2"/>
  <c r="K9" i="2"/>
  <c r="L9" i="2"/>
  <c r="C9" i="2"/>
  <c r="L155" i="11"/>
  <c r="L156" i="11" s="1"/>
  <c r="K155" i="11"/>
  <c r="K156" i="11" s="1"/>
  <c r="J155" i="11"/>
  <c r="J156" i="11" s="1"/>
  <c r="I155" i="11"/>
  <c r="I156" i="11" s="1"/>
  <c r="H155" i="11"/>
  <c r="H156" i="11" s="1"/>
  <c r="G155" i="11"/>
  <c r="G156" i="11" s="1"/>
  <c r="F155" i="11"/>
  <c r="F156" i="11" s="1"/>
  <c r="E155" i="11"/>
  <c r="E156" i="11" s="1"/>
  <c r="D155" i="11"/>
  <c r="D156" i="11" s="1"/>
  <c r="C155" i="11"/>
  <c r="C156" i="11" s="1"/>
  <c r="B155" i="11"/>
  <c r="B156" i="11" s="1"/>
  <c r="L57" i="2"/>
  <c r="K57" i="2"/>
  <c r="J57" i="2"/>
  <c r="I57" i="2"/>
  <c r="H57" i="2"/>
  <c r="G57" i="2"/>
  <c r="F57" i="2"/>
  <c r="E57" i="2"/>
  <c r="D57" i="2"/>
  <c r="C57" i="2"/>
  <c r="B57" i="2"/>
  <c r="D52" i="7" l="1"/>
  <c r="E52" i="7"/>
  <c r="F52" i="7"/>
  <c r="G52" i="7"/>
  <c r="H52" i="7"/>
  <c r="I52" i="7"/>
  <c r="J52" i="7"/>
  <c r="K52" i="7"/>
  <c r="L52" i="7"/>
  <c r="C52" i="7"/>
  <c r="B52" i="7"/>
  <c r="B17" i="11" l="1"/>
  <c r="C34" i="8" l="1"/>
  <c r="B138" i="8"/>
  <c r="B11" i="9"/>
  <c r="C138" i="8" l="1"/>
  <c r="D138" i="8" s="1"/>
  <c r="E138" i="8" s="1"/>
  <c r="F138" i="8" s="1"/>
  <c r="G138" i="8" s="1"/>
  <c r="H138" i="8" s="1"/>
  <c r="I138" i="8" s="1"/>
  <c r="J138" i="8" s="1"/>
  <c r="K138" i="8" s="1"/>
  <c r="L138" i="8" s="1"/>
  <c r="C63" i="7"/>
  <c r="D63" i="7"/>
  <c r="E63" i="7"/>
  <c r="F63" i="7"/>
  <c r="G63" i="7"/>
  <c r="H63" i="7"/>
  <c r="I63" i="7"/>
  <c r="J63" i="7"/>
  <c r="K63" i="7"/>
  <c r="L63" i="7"/>
  <c r="B63" i="7"/>
  <c r="B95" i="7" l="1"/>
  <c r="B161" i="11" l="1"/>
  <c r="L98" i="7" s="1"/>
  <c r="B98" i="7"/>
  <c r="L82" i="11"/>
  <c r="C82" i="11"/>
  <c r="D82" i="11"/>
  <c r="E82" i="11"/>
  <c r="F82" i="11"/>
  <c r="G82" i="11"/>
  <c r="H82" i="11"/>
  <c r="I82" i="11"/>
  <c r="J82" i="11"/>
  <c r="K82" i="11"/>
  <c r="B99" i="7" l="1"/>
  <c r="C98" i="7"/>
  <c r="B81" i="8"/>
  <c r="B82" i="8"/>
  <c r="B56" i="8"/>
  <c r="B57" i="8"/>
  <c r="D98" i="7" l="1"/>
  <c r="C99" i="7"/>
  <c r="G34" i="11"/>
  <c r="B19" i="8" l="1"/>
  <c r="K132" i="8"/>
  <c r="C132" i="8"/>
  <c r="F132" i="8"/>
  <c r="J132" i="8"/>
  <c r="B132" i="8"/>
  <c r="I132" i="8"/>
  <c r="H132" i="8"/>
  <c r="G132" i="8"/>
  <c r="E132" i="8"/>
  <c r="L132" i="8"/>
  <c r="D132" i="8"/>
  <c r="E98" i="7"/>
  <c r="E99" i="7"/>
  <c r="D99" i="7"/>
  <c r="C19" i="8"/>
  <c r="C81" i="8"/>
  <c r="C82" i="8"/>
  <c r="C56" i="8"/>
  <c r="C57" i="8"/>
  <c r="C10" i="2"/>
  <c r="G38" i="11"/>
  <c r="B51" i="11"/>
  <c r="F98" i="7" l="1"/>
  <c r="F99" i="7"/>
  <c r="B23" i="8"/>
  <c r="C23" i="8" s="1"/>
  <c r="D23" i="8" s="1"/>
  <c r="E23" i="8" s="1"/>
  <c r="F23" i="8" s="1"/>
  <c r="G23" i="8" s="1"/>
  <c r="H23" i="8" s="1"/>
  <c r="I23" i="8" s="1"/>
  <c r="J23" i="8" s="1"/>
  <c r="K23" i="8" s="1"/>
  <c r="L23" i="8" s="1"/>
  <c r="B136" i="8"/>
  <c r="C136" i="8"/>
  <c r="D136" i="8" s="1"/>
  <c r="E136" i="8" s="1"/>
  <c r="F136" i="8" s="1"/>
  <c r="G136" i="8" s="1"/>
  <c r="H136" i="8" s="1"/>
  <c r="I136" i="8" s="1"/>
  <c r="J136" i="8" s="1"/>
  <c r="K136" i="8" s="1"/>
  <c r="L136" i="8" s="1"/>
  <c r="D19" i="8"/>
  <c r="D82" i="8"/>
  <c r="D81" i="8"/>
  <c r="D56" i="8"/>
  <c r="D57" i="8"/>
  <c r="D10" i="2"/>
  <c r="G36" i="11"/>
  <c r="G32" i="11"/>
  <c r="G31" i="11"/>
  <c r="G30" i="11"/>
  <c r="G29" i="11"/>
  <c r="G28" i="11"/>
  <c r="G35" i="11"/>
  <c r="B48" i="11"/>
  <c r="B2" i="8"/>
  <c r="B14" i="8" l="1"/>
  <c r="C14" i="8" s="1"/>
  <c r="D14" i="8" s="1"/>
  <c r="E14" i="8" s="1"/>
  <c r="F14" i="8" s="1"/>
  <c r="G14" i="8" s="1"/>
  <c r="H14" i="8" s="1"/>
  <c r="I14" i="8" s="1"/>
  <c r="J14" i="8" s="1"/>
  <c r="K14" i="8" s="1"/>
  <c r="L14" i="8" s="1"/>
  <c r="B127" i="8"/>
  <c r="C127" i="8" s="1"/>
  <c r="D127" i="8" s="1"/>
  <c r="E127" i="8" s="1"/>
  <c r="F127" i="8" s="1"/>
  <c r="G127" i="8" s="1"/>
  <c r="H127" i="8" s="1"/>
  <c r="I127" i="8" s="1"/>
  <c r="J127" i="8" s="1"/>
  <c r="K127" i="8" s="1"/>
  <c r="L127" i="8" s="1"/>
  <c r="B15" i="8"/>
  <c r="C15" i="8" s="1"/>
  <c r="D15" i="8" s="1"/>
  <c r="E15" i="8" s="1"/>
  <c r="F15" i="8" s="1"/>
  <c r="G15" i="8" s="1"/>
  <c r="H15" i="8" s="1"/>
  <c r="I15" i="8" s="1"/>
  <c r="J15" i="8" s="1"/>
  <c r="K15" i="8" s="1"/>
  <c r="L15" i="8" s="1"/>
  <c r="B128" i="8"/>
  <c r="C128" i="8" s="1"/>
  <c r="D128" i="8" s="1"/>
  <c r="E128" i="8" s="1"/>
  <c r="F128" i="8" s="1"/>
  <c r="G128" i="8" s="1"/>
  <c r="H128" i="8" s="1"/>
  <c r="I128" i="8" s="1"/>
  <c r="J128" i="8" s="1"/>
  <c r="K128" i="8" s="1"/>
  <c r="L128" i="8" s="1"/>
  <c r="B48" i="10"/>
  <c r="B49" i="10" s="1"/>
  <c r="B50" i="10" s="1"/>
  <c r="B51" i="10" s="1"/>
  <c r="B52" i="10" s="1"/>
  <c r="B53" i="10" s="1"/>
  <c r="B54" i="10" s="1"/>
  <c r="B55" i="10" s="1"/>
  <c r="B56" i="10" s="1"/>
  <c r="B57" i="10" s="1"/>
  <c r="B58" i="10" s="1"/>
  <c r="B16" i="8"/>
  <c r="C16" i="8" s="1"/>
  <c r="D16" i="8" s="1"/>
  <c r="E16" i="8" s="1"/>
  <c r="F16" i="8" s="1"/>
  <c r="G16" i="8" s="1"/>
  <c r="H16" i="8" s="1"/>
  <c r="I16" i="8" s="1"/>
  <c r="J16" i="8" s="1"/>
  <c r="K16" i="8" s="1"/>
  <c r="L16" i="8" s="1"/>
  <c r="B129" i="8"/>
  <c r="C129" i="8" s="1"/>
  <c r="D129" i="8" s="1"/>
  <c r="E129" i="8" s="1"/>
  <c r="F129" i="8" s="1"/>
  <c r="G129" i="8" s="1"/>
  <c r="H129" i="8" s="1"/>
  <c r="I129" i="8" s="1"/>
  <c r="J129" i="8" s="1"/>
  <c r="K129" i="8" s="1"/>
  <c r="L129" i="8" s="1"/>
  <c r="B134" i="8"/>
  <c r="B21" i="8"/>
  <c r="C21" i="8" s="1"/>
  <c r="D21" i="8" s="1"/>
  <c r="E21" i="8" s="1"/>
  <c r="F21" i="8" s="1"/>
  <c r="G21" i="8" s="1"/>
  <c r="H21" i="8" s="1"/>
  <c r="I21" i="8" s="1"/>
  <c r="J21" i="8" s="1"/>
  <c r="K21" i="8" s="1"/>
  <c r="L21" i="8" s="1"/>
  <c r="C134" i="8"/>
  <c r="D134" i="8" s="1"/>
  <c r="E134" i="8" s="1"/>
  <c r="F134" i="8" s="1"/>
  <c r="G134" i="8" s="1"/>
  <c r="H134" i="8" s="1"/>
  <c r="I134" i="8" s="1"/>
  <c r="J134" i="8" s="1"/>
  <c r="K134" i="8" s="1"/>
  <c r="L134" i="8" s="1"/>
  <c r="C48" i="10"/>
  <c r="C49" i="10" s="1"/>
  <c r="C50" i="10" s="1"/>
  <c r="C51" i="10" s="1"/>
  <c r="C52" i="10" s="1"/>
  <c r="C53" i="10" s="1"/>
  <c r="C54" i="10" s="1"/>
  <c r="C55" i="10" s="1"/>
  <c r="C56" i="10" s="1"/>
  <c r="C57" i="10" s="1"/>
  <c r="C58" i="10" s="1"/>
  <c r="B17" i="8"/>
  <c r="C17" i="8" s="1"/>
  <c r="D17" i="8" s="1"/>
  <c r="E17" i="8" s="1"/>
  <c r="F17" i="8" s="1"/>
  <c r="G17" i="8" s="1"/>
  <c r="H17" i="8" s="1"/>
  <c r="I17" i="8" s="1"/>
  <c r="J17" i="8" s="1"/>
  <c r="K17" i="8" s="1"/>
  <c r="L17" i="8" s="1"/>
  <c r="B130" i="8"/>
  <c r="C130" i="8" s="1"/>
  <c r="D130" i="8" s="1"/>
  <c r="E130" i="8" s="1"/>
  <c r="F130" i="8" s="1"/>
  <c r="G130" i="8" s="1"/>
  <c r="H130" i="8" s="1"/>
  <c r="I130" i="8" s="1"/>
  <c r="J130" i="8" s="1"/>
  <c r="K130" i="8" s="1"/>
  <c r="L130" i="8" s="1"/>
  <c r="B20" i="8"/>
  <c r="C20" i="8" s="1"/>
  <c r="D20" i="8" s="1"/>
  <c r="E20" i="8" s="1"/>
  <c r="F20" i="8" s="1"/>
  <c r="G20" i="8" s="1"/>
  <c r="H20" i="8" s="1"/>
  <c r="I20" i="8" s="1"/>
  <c r="J20" i="8" s="1"/>
  <c r="K20" i="8" s="1"/>
  <c r="L20" i="8" s="1"/>
  <c r="B133" i="8"/>
  <c r="C133" i="8" s="1"/>
  <c r="D133" i="8" s="1"/>
  <c r="E133" i="8" s="1"/>
  <c r="F133" i="8" s="1"/>
  <c r="G133" i="8" s="1"/>
  <c r="H133" i="8" s="1"/>
  <c r="I133" i="8" s="1"/>
  <c r="J133" i="8" s="1"/>
  <c r="K133" i="8" s="1"/>
  <c r="L133" i="8" s="1"/>
  <c r="B13" i="8"/>
  <c r="C13" i="8" s="1"/>
  <c r="D13" i="8" s="1"/>
  <c r="E13" i="8" s="1"/>
  <c r="F13" i="8" s="1"/>
  <c r="G13" i="8" s="1"/>
  <c r="H13" i="8" s="1"/>
  <c r="I13" i="8" s="1"/>
  <c r="J13" i="8" s="1"/>
  <c r="K13" i="8" s="1"/>
  <c r="L13" i="8" s="1"/>
  <c r="B126" i="8"/>
  <c r="G98" i="7"/>
  <c r="G99" i="7" s="1"/>
  <c r="E19" i="8"/>
  <c r="E50" i="8" s="1"/>
  <c r="E82" i="8"/>
  <c r="E79" i="8"/>
  <c r="E81" i="8"/>
  <c r="E57" i="8"/>
  <c r="E56" i="8"/>
  <c r="E54" i="8"/>
  <c r="E10" i="2"/>
  <c r="B66" i="7"/>
  <c r="D23" i="9"/>
  <c r="D27" i="9" s="1"/>
  <c r="E23" i="9"/>
  <c r="E27" i="9" s="1"/>
  <c r="B23" i="9"/>
  <c r="B27" i="9" s="1"/>
  <c r="C23" i="9"/>
  <c r="A1" i="15"/>
  <c r="C126" i="8" l="1"/>
  <c r="H98" i="7"/>
  <c r="H99" i="7" s="1"/>
  <c r="F19" i="8"/>
  <c r="F75" i="8" s="1"/>
  <c r="B47" i="8"/>
  <c r="B72" i="8"/>
  <c r="B74" i="8"/>
  <c r="B49" i="8"/>
  <c r="B78" i="8"/>
  <c r="B53" i="8"/>
  <c r="B76" i="8"/>
  <c r="B51" i="8"/>
  <c r="D79" i="8"/>
  <c r="D54" i="8"/>
  <c r="B54" i="8"/>
  <c r="B79" i="8"/>
  <c r="B48" i="8"/>
  <c r="B73" i="8"/>
  <c r="B69" i="8"/>
  <c r="B44" i="8"/>
  <c r="B46" i="8"/>
  <c r="B71" i="8"/>
  <c r="B70" i="8"/>
  <c r="B45" i="8"/>
  <c r="B52" i="8"/>
  <c r="B77" i="8"/>
  <c r="B50" i="8"/>
  <c r="B75" i="8"/>
  <c r="C54" i="8"/>
  <c r="C79" i="8"/>
  <c r="F79" i="8"/>
  <c r="F82" i="8"/>
  <c r="F81" i="8"/>
  <c r="C50" i="8"/>
  <c r="C75" i="8"/>
  <c r="E75" i="8"/>
  <c r="D50" i="8"/>
  <c r="D75" i="8"/>
  <c r="F56" i="8"/>
  <c r="F57" i="8"/>
  <c r="F54" i="8"/>
  <c r="F10" i="2"/>
  <c r="F23" i="9"/>
  <c r="F27" i="9" s="1"/>
  <c r="C11" i="9"/>
  <c r="D11" i="9" s="1"/>
  <c r="E11" i="9" s="1"/>
  <c r="F11" i="9" s="1"/>
  <c r="C27" i="9"/>
  <c r="P1" i="14" a="1"/>
  <c r="P1" i="14" s="1"/>
  <c r="F1" i="27" s="1"/>
  <c r="F2" i="27" s="1"/>
  <c r="B25" i="2"/>
  <c r="B26" i="2"/>
  <c r="B27" i="2"/>
  <c r="C27" i="2" s="1"/>
  <c r="D27" i="2" s="1"/>
  <c r="E27" i="2" s="1"/>
  <c r="F27" i="2" s="1"/>
  <c r="G27" i="2" s="1"/>
  <c r="H27" i="2" s="1"/>
  <c r="I27" i="2" s="1"/>
  <c r="J27" i="2" s="1"/>
  <c r="K27" i="2" s="1"/>
  <c r="L27" i="2" s="1"/>
  <c r="B28" i="2"/>
  <c r="C28" i="2" s="1"/>
  <c r="D28" i="2" s="1"/>
  <c r="E28" i="2" s="1"/>
  <c r="F28" i="2" s="1"/>
  <c r="G28" i="2" s="1"/>
  <c r="H28" i="2" s="1"/>
  <c r="I28" i="2" s="1"/>
  <c r="J28" i="2" s="1"/>
  <c r="K28" i="2" s="1"/>
  <c r="L28" i="2" s="1"/>
  <c r="B29" i="2"/>
  <c r="B30" i="2"/>
  <c r="B31" i="2"/>
  <c r="C31" i="2" s="1"/>
  <c r="D31" i="2" s="1"/>
  <c r="E31" i="2" s="1"/>
  <c r="F31" i="2" s="1"/>
  <c r="G31" i="2" s="1"/>
  <c r="H31" i="2" s="1"/>
  <c r="I31" i="2" s="1"/>
  <c r="J31" i="2" s="1"/>
  <c r="K31" i="2" s="1"/>
  <c r="L31" i="2" s="1"/>
  <c r="B32" i="2"/>
  <c r="B24" i="2"/>
  <c r="D64" i="2"/>
  <c r="D66" i="7" s="1"/>
  <c r="E64" i="2"/>
  <c r="E66" i="7" s="1"/>
  <c r="F64" i="2"/>
  <c r="F66" i="7" s="1"/>
  <c r="C64" i="2"/>
  <c r="C66" i="7" s="1"/>
  <c r="C93" i="11"/>
  <c r="D93" i="11"/>
  <c r="E93" i="11"/>
  <c r="F93" i="11"/>
  <c r="B93" i="11"/>
  <c r="C51" i="7"/>
  <c r="D51" i="7"/>
  <c r="E51" i="7"/>
  <c r="F51" i="7"/>
  <c r="B51" i="7"/>
  <c r="I98" i="7" l="1"/>
  <c r="I99" i="7" s="1"/>
  <c r="D126" i="8"/>
  <c r="B60" i="7"/>
  <c r="C32" i="2"/>
  <c r="D32" i="2" s="1"/>
  <c r="E32" i="2" s="1"/>
  <c r="F32" i="2" s="1"/>
  <c r="B24" i="7"/>
  <c r="C30" i="2"/>
  <c r="D30" i="2" s="1"/>
  <c r="E30" i="2" s="1"/>
  <c r="F30" i="2" s="1"/>
  <c r="G30" i="2" s="1"/>
  <c r="H30" i="2" s="1"/>
  <c r="I30" i="2" s="1"/>
  <c r="J30" i="2" s="1"/>
  <c r="K30" i="2" s="1"/>
  <c r="L30" i="2" s="1"/>
  <c r="B71" i="7"/>
  <c r="C26" i="2"/>
  <c r="D26" i="2" s="1"/>
  <c r="E26" i="2" s="1"/>
  <c r="F26" i="2" s="1"/>
  <c r="G26" i="2" s="1"/>
  <c r="H26" i="2" s="1"/>
  <c r="I26" i="2" s="1"/>
  <c r="J26" i="2" s="1"/>
  <c r="K26" i="2" s="1"/>
  <c r="L26" i="2" s="1"/>
  <c r="B69" i="7"/>
  <c r="C24" i="2"/>
  <c r="D24" i="2" s="1"/>
  <c r="E24" i="2" s="1"/>
  <c r="F24" i="2" s="1"/>
  <c r="G24" i="2" s="1"/>
  <c r="H24" i="2" s="1"/>
  <c r="I24" i="2" s="1"/>
  <c r="J24" i="2" s="1"/>
  <c r="K24" i="2" s="1"/>
  <c r="L24" i="2" s="1"/>
  <c r="B74" i="7"/>
  <c r="C29" i="2"/>
  <c r="D29" i="2" s="1"/>
  <c r="E29" i="2" s="1"/>
  <c r="F29" i="2" s="1"/>
  <c r="G29" i="2" s="1"/>
  <c r="H29" i="2" s="1"/>
  <c r="I29" i="2" s="1"/>
  <c r="J29" i="2" s="1"/>
  <c r="K29" i="2" s="1"/>
  <c r="L29" i="2" s="1"/>
  <c r="B70" i="7"/>
  <c r="C25" i="2"/>
  <c r="D25" i="2" s="1"/>
  <c r="E25" i="2" s="1"/>
  <c r="F25" i="2" s="1"/>
  <c r="G25" i="2" s="1"/>
  <c r="H25" i="2" s="1"/>
  <c r="I25" i="2" s="1"/>
  <c r="J25" i="2" s="1"/>
  <c r="K25" i="2" s="1"/>
  <c r="L25" i="2" s="1"/>
  <c r="F50" i="8"/>
  <c r="G19" i="8"/>
  <c r="G75" i="8" s="1"/>
  <c r="B59" i="7"/>
  <c r="A113" i="26"/>
  <c r="A111" i="26"/>
  <c r="A109" i="26"/>
  <c r="B83" i="7"/>
  <c r="B78" i="7"/>
  <c r="B26" i="7"/>
  <c r="C25" i="7"/>
  <c r="B25" i="7"/>
  <c r="A2" i="15"/>
  <c r="O1" i="6"/>
  <c r="O1" i="26"/>
  <c r="A97" i="26" s="1"/>
  <c r="O1" i="2"/>
  <c r="C10" i="15"/>
  <c r="C11" i="15"/>
  <c r="C13" i="15"/>
  <c r="C8" i="15"/>
  <c r="C12" i="15"/>
  <c r="C9" i="15"/>
  <c r="E2" i="1"/>
  <c r="G79" i="8"/>
  <c r="G81" i="8"/>
  <c r="G82" i="8"/>
  <c r="C45" i="8"/>
  <c r="C70" i="8"/>
  <c r="C46" i="8"/>
  <c r="C71" i="8"/>
  <c r="C51" i="8"/>
  <c r="C76" i="8"/>
  <c r="C47" i="8"/>
  <c r="C72" i="8"/>
  <c r="C44" i="8"/>
  <c r="C69" i="8"/>
  <c r="C52" i="8"/>
  <c r="C77" i="8"/>
  <c r="C53" i="8"/>
  <c r="C78" i="8"/>
  <c r="G57" i="8"/>
  <c r="G56" i="8"/>
  <c r="G54" i="8"/>
  <c r="G10" i="2"/>
  <c r="G23" i="9"/>
  <c r="G27" i="9" s="1"/>
  <c r="G11" i="9"/>
  <c r="G64" i="2"/>
  <c r="G66" i="7" s="1"/>
  <c r="G51" i="7"/>
  <c r="G93" i="11"/>
  <c r="B37" i="2"/>
  <c r="B48" i="2" s="1"/>
  <c r="B35" i="2"/>
  <c r="B46" i="2" s="1"/>
  <c r="B40" i="2"/>
  <c r="B51" i="2" s="1"/>
  <c r="B36" i="2"/>
  <c r="B47" i="2" s="1"/>
  <c r="B39" i="2"/>
  <c r="N1" i="9"/>
  <c r="B42" i="2"/>
  <c r="B53" i="2" s="1"/>
  <c r="B38" i="2"/>
  <c r="B43" i="2"/>
  <c r="B41" i="2"/>
  <c r="B52" i="2" s="1"/>
  <c r="C90" i="11"/>
  <c r="D90" i="11"/>
  <c r="E90" i="11"/>
  <c r="F90" i="11"/>
  <c r="C91" i="11"/>
  <c r="D91" i="11"/>
  <c r="E91" i="11"/>
  <c r="F91" i="11"/>
  <c r="C92" i="11"/>
  <c r="D92" i="11"/>
  <c r="E92" i="11"/>
  <c r="F92" i="11"/>
  <c r="B91" i="11"/>
  <c r="B92" i="11"/>
  <c r="B90" i="11"/>
  <c r="E126" i="8" l="1"/>
  <c r="J98" i="7"/>
  <c r="J99" i="7" s="1"/>
  <c r="G32" i="2"/>
  <c r="G50" i="8"/>
  <c r="H19" i="8"/>
  <c r="H75" i="8" s="1"/>
  <c r="C43" i="2"/>
  <c r="C60" i="7"/>
  <c r="C26" i="7"/>
  <c r="D42" i="2"/>
  <c r="D53" i="2" s="1"/>
  <c r="C42" i="2"/>
  <c r="C53" i="2" s="1"/>
  <c r="B84" i="7"/>
  <c r="B79" i="7"/>
  <c r="C51" i="26"/>
  <c r="C79" i="7"/>
  <c r="C84" i="7"/>
  <c r="H79" i="8"/>
  <c r="H81" i="8"/>
  <c r="H82" i="8"/>
  <c r="D46" i="8"/>
  <c r="D71" i="8"/>
  <c r="D51" i="8"/>
  <c r="D76" i="8"/>
  <c r="C48" i="8"/>
  <c r="C73" i="8"/>
  <c r="D52" i="8"/>
  <c r="D77" i="8"/>
  <c r="D44" i="8"/>
  <c r="D69" i="8"/>
  <c r="E52" i="8"/>
  <c r="E77" i="8"/>
  <c r="D53" i="8"/>
  <c r="D78" i="8"/>
  <c r="D47" i="8"/>
  <c r="D72" i="8"/>
  <c r="D45" i="8"/>
  <c r="D70" i="8"/>
  <c r="H56" i="8"/>
  <c r="H57" i="8"/>
  <c r="H54" i="8"/>
  <c r="H10" i="2"/>
  <c r="H23" i="9"/>
  <c r="H27" i="9" s="1"/>
  <c r="H11" i="9"/>
  <c r="H51" i="7"/>
  <c r="H64" i="2"/>
  <c r="H66" i="7" s="1"/>
  <c r="O1" i="5"/>
  <c r="O1" i="7"/>
  <c r="B1" i="8"/>
  <c r="G91" i="11"/>
  <c r="G90" i="11"/>
  <c r="G92" i="11"/>
  <c r="K98" i="7" l="1"/>
  <c r="L99" i="7" s="1"/>
  <c r="K99" i="7"/>
  <c r="H32" i="2"/>
  <c r="F126" i="8"/>
  <c r="H50" i="8"/>
  <c r="I19" i="8"/>
  <c r="I75" i="8" s="1"/>
  <c r="E25" i="7"/>
  <c r="D43" i="2"/>
  <c r="D60" i="7"/>
  <c r="D25" i="7"/>
  <c r="D84" i="7" s="1"/>
  <c r="E26" i="7"/>
  <c r="D26" i="7"/>
  <c r="K16" i="7"/>
  <c r="E16" i="7"/>
  <c r="D16" i="7"/>
  <c r="I16" i="7"/>
  <c r="H16" i="7"/>
  <c r="B16" i="7"/>
  <c r="C16" i="7"/>
  <c r="G16" i="7"/>
  <c r="J16" i="7"/>
  <c r="L16" i="7"/>
  <c r="F16" i="7"/>
  <c r="I82" i="8"/>
  <c r="I79" i="8"/>
  <c r="I81" i="8"/>
  <c r="E51" i="8"/>
  <c r="E76" i="8"/>
  <c r="D48" i="8"/>
  <c r="D73" i="8"/>
  <c r="F52" i="8"/>
  <c r="F77" i="8"/>
  <c r="C49" i="8"/>
  <c r="C74" i="8"/>
  <c r="E45" i="8"/>
  <c r="E70" i="8"/>
  <c r="E47" i="8"/>
  <c r="E72" i="8"/>
  <c r="E53" i="8"/>
  <c r="E78" i="8"/>
  <c r="E46" i="8"/>
  <c r="E71" i="8"/>
  <c r="E44" i="8"/>
  <c r="E69" i="8"/>
  <c r="I56" i="8"/>
  <c r="I57" i="8"/>
  <c r="I54" i="8"/>
  <c r="I50" i="8"/>
  <c r="I10" i="2"/>
  <c r="I32" i="2" s="1"/>
  <c r="I23" i="9"/>
  <c r="I27" i="9" s="1"/>
  <c r="I11" i="9"/>
  <c r="I64" i="2"/>
  <c r="I66" i="7" s="1"/>
  <c r="I51" i="7"/>
  <c r="G126" i="8" l="1"/>
  <c r="J19" i="8"/>
  <c r="J75" i="8" s="1"/>
  <c r="E42" i="2"/>
  <c r="E53" i="2" s="1"/>
  <c r="D79" i="7"/>
  <c r="E43" i="2"/>
  <c r="E60" i="7"/>
  <c r="B20" i="7"/>
  <c r="C20" i="7" s="1"/>
  <c r="C76" i="7" s="1"/>
  <c r="E84" i="7"/>
  <c r="E79" i="7"/>
  <c r="B22" i="7"/>
  <c r="B19" i="7"/>
  <c r="B21" i="7"/>
  <c r="C21" i="7" s="1"/>
  <c r="C77" i="7" s="1"/>
  <c r="J82" i="8"/>
  <c r="J79" i="8"/>
  <c r="J81" i="8"/>
  <c r="F47" i="8"/>
  <c r="F72" i="8"/>
  <c r="D49" i="8"/>
  <c r="D74" i="8"/>
  <c r="F46" i="8"/>
  <c r="F71" i="8"/>
  <c r="F51" i="8"/>
  <c r="F76" i="8"/>
  <c r="F53" i="8"/>
  <c r="F78" i="8"/>
  <c r="E48" i="8"/>
  <c r="E73" i="8"/>
  <c r="G52" i="8"/>
  <c r="G77" i="8"/>
  <c r="F44" i="8"/>
  <c r="F69" i="8"/>
  <c r="F45" i="8"/>
  <c r="F70" i="8"/>
  <c r="J57" i="8"/>
  <c r="J56" i="8"/>
  <c r="J54" i="8"/>
  <c r="J50" i="8"/>
  <c r="J10" i="2"/>
  <c r="J32" i="2" s="1"/>
  <c r="J23" i="9"/>
  <c r="J27" i="9" s="1"/>
  <c r="J11" i="9"/>
  <c r="J64" i="2"/>
  <c r="J66" i="7" s="1"/>
  <c r="J51" i="7"/>
  <c r="F34" i="8"/>
  <c r="B117" i="11"/>
  <c r="B93" i="8"/>
  <c r="C163" i="9"/>
  <c r="C165" i="9" s="1"/>
  <c r="D163" i="9"/>
  <c r="E163" i="9"/>
  <c r="F163" i="9"/>
  <c r="G163" i="9"/>
  <c r="H163" i="9"/>
  <c r="I163" i="9"/>
  <c r="J163" i="9"/>
  <c r="B163" i="9"/>
  <c r="B165" i="9" s="1"/>
  <c r="B111" i="11"/>
  <c r="B24" i="8" s="1"/>
  <c r="C24" i="8" s="1"/>
  <c r="D24" i="8" s="1"/>
  <c r="E24" i="8" s="1"/>
  <c r="F24" i="8" s="1"/>
  <c r="G24" i="8" s="1"/>
  <c r="H24" i="8" s="1"/>
  <c r="I24" i="8" s="1"/>
  <c r="J24" i="8" s="1"/>
  <c r="K24" i="8" s="1"/>
  <c r="L24" i="8" s="1"/>
  <c r="H126" i="8" l="1"/>
  <c r="C19" i="7"/>
  <c r="D19" i="7" s="1"/>
  <c r="B29" i="8"/>
  <c r="K19" i="8"/>
  <c r="K50" i="8" s="1"/>
  <c r="F25" i="7"/>
  <c r="F79" i="7" s="1"/>
  <c r="F42" i="2"/>
  <c r="F53" i="2" s="1"/>
  <c r="G60" i="7"/>
  <c r="F60" i="7"/>
  <c r="F26" i="7"/>
  <c r="C22" i="7"/>
  <c r="D22" i="7" s="1"/>
  <c r="E22" i="7" s="1"/>
  <c r="F22" i="7" s="1"/>
  <c r="G22" i="7" s="1"/>
  <c r="H22" i="7" s="1"/>
  <c r="I22" i="7" s="1"/>
  <c r="J22" i="7" s="1"/>
  <c r="K22" i="7" s="1"/>
  <c r="L22" i="7" s="1"/>
  <c r="F43" i="2"/>
  <c r="G42" i="2"/>
  <c r="G53" i="2" s="1"/>
  <c r="G25" i="7"/>
  <c r="G26" i="7"/>
  <c r="C80" i="8"/>
  <c r="B80" i="8"/>
  <c r="B55" i="8"/>
  <c r="K79" i="8"/>
  <c r="K81" i="8"/>
  <c r="K82" i="8"/>
  <c r="G44" i="8"/>
  <c r="G69" i="8"/>
  <c r="H51" i="8"/>
  <c r="H76" i="8"/>
  <c r="G47" i="8"/>
  <c r="G72" i="8"/>
  <c r="G46" i="8"/>
  <c r="G71" i="8"/>
  <c r="G45" i="8"/>
  <c r="G70" i="8"/>
  <c r="F48" i="8"/>
  <c r="F73" i="8"/>
  <c r="E49" i="8"/>
  <c r="E74" i="8"/>
  <c r="H52" i="8"/>
  <c r="H77" i="8"/>
  <c r="G53" i="8"/>
  <c r="G78" i="8"/>
  <c r="G51" i="8"/>
  <c r="G76" i="8"/>
  <c r="K57" i="8"/>
  <c r="K56" i="8"/>
  <c r="K54" i="8"/>
  <c r="H71" i="8"/>
  <c r="H70" i="8"/>
  <c r="H69" i="8"/>
  <c r="K10" i="2"/>
  <c r="K32" i="2" s="1"/>
  <c r="K23" i="9"/>
  <c r="K27" i="9" s="1"/>
  <c r="K11" i="9"/>
  <c r="K16" i="9" s="1"/>
  <c r="K64" i="2"/>
  <c r="K66" i="7" s="1"/>
  <c r="K51" i="7"/>
  <c r="K163" i="9"/>
  <c r="D20" i="7"/>
  <c r="D21" i="7"/>
  <c r="B34" i="8"/>
  <c r="I34" i="8"/>
  <c r="E34" i="8"/>
  <c r="L34" i="8"/>
  <c r="L147" i="8" s="1"/>
  <c r="H34" i="8"/>
  <c r="D34" i="8"/>
  <c r="K34" i="8"/>
  <c r="K90" i="8" s="1"/>
  <c r="G34" i="8"/>
  <c r="C90" i="8"/>
  <c r="B137" i="8"/>
  <c r="J34" i="8"/>
  <c r="J90" i="8" s="1"/>
  <c r="F90" i="8"/>
  <c r="F147" i="8"/>
  <c r="C72" i="7"/>
  <c r="C73" i="7"/>
  <c r="B48" i="7"/>
  <c r="B36" i="7"/>
  <c r="C36" i="7" s="1"/>
  <c r="B29" i="7"/>
  <c r="B30" i="7"/>
  <c r="B31" i="7"/>
  <c r="C31" i="7" s="1"/>
  <c r="D31" i="7" s="1"/>
  <c r="E31" i="7" s="1"/>
  <c r="F31" i="7" s="1"/>
  <c r="G31" i="7" s="1"/>
  <c r="H31" i="7" s="1"/>
  <c r="I31" i="7" s="1"/>
  <c r="J31" i="7" s="1"/>
  <c r="K31" i="7" s="1"/>
  <c r="L31" i="7" s="1"/>
  <c r="B32" i="7"/>
  <c r="C32" i="7" s="1"/>
  <c r="D32" i="7" s="1"/>
  <c r="E32" i="7" s="1"/>
  <c r="F32" i="7" s="1"/>
  <c r="G32" i="7" s="1"/>
  <c r="H32" i="7" s="1"/>
  <c r="I32" i="7" s="1"/>
  <c r="J32" i="7" s="1"/>
  <c r="K32" i="7" s="1"/>
  <c r="L32" i="7" s="1"/>
  <c r="B76" i="7"/>
  <c r="B77" i="7"/>
  <c r="B85" i="7"/>
  <c r="B75" i="7"/>
  <c r="B26" i="9"/>
  <c r="B14" i="9"/>
  <c r="B15" i="9"/>
  <c r="B28" i="9"/>
  <c r="B16" i="9"/>
  <c r="B29" i="9"/>
  <c r="B17" i="9"/>
  <c r="B30" i="9"/>
  <c r="B18" i="9"/>
  <c r="B31" i="9"/>
  <c r="B19" i="9"/>
  <c r="B32" i="9"/>
  <c r="B41" i="9" s="1"/>
  <c r="C14" i="9"/>
  <c r="D14" i="9"/>
  <c r="E14" i="9"/>
  <c r="F14" i="9"/>
  <c r="G14" i="9"/>
  <c r="H14" i="9"/>
  <c r="I14" i="9"/>
  <c r="J14" i="9"/>
  <c r="C15" i="9"/>
  <c r="C36" i="9" s="1"/>
  <c r="D15" i="9"/>
  <c r="D36" i="9" s="1"/>
  <c r="E15" i="9"/>
  <c r="E36" i="9" s="1"/>
  <c r="F15" i="9"/>
  <c r="F36" i="9" s="1"/>
  <c r="G15" i="9"/>
  <c r="G36" i="9" s="1"/>
  <c r="H15" i="9"/>
  <c r="H36" i="9" s="1"/>
  <c r="I15" i="9"/>
  <c r="I36" i="9" s="1"/>
  <c r="J15" i="9"/>
  <c r="J36" i="9" s="1"/>
  <c r="C16" i="9"/>
  <c r="D16" i="9"/>
  <c r="E16" i="9"/>
  <c r="F16" i="9"/>
  <c r="G16" i="9"/>
  <c r="H16" i="9"/>
  <c r="I16" i="9"/>
  <c r="J16" i="9"/>
  <c r="C17" i="9"/>
  <c r="D17" i="9"/>
  <c r="E17" i="9"/>
  <c r="F17" i="9"/>
  <c r="G17" i="9"/>
  <c r="H17" i="9"/>
  <c r="I17" i="9"/>
  <c r="J17" i="9"/>
  <c r="C18" i="9"/>
  <c r="D18" i="9"/>
  <c r="E18" i="9"/>
  <c r="F18" i="9"/>
  <c r="G18" i="9"/>
  <c r="H18" i="9"/>
  <c r="I18" i="9"/>
  <c r="J18" i="9"/>
  <c r="C19" i="9"/>
  <c r="D19" i="9"/>
  <c r="E19" i="9"/>
  <c r="F19" i="9"/>
  <c r="G19" i="9"/>
  <c r="H19" i="9"/>
  <c r="I19" i="9"/>
  <c r="J19" i="9"/>
  <c r="C26" i="9"/>
  <c r="D26" i="9"/>
  <c r="E26" i="9"/>
  <c r="F26" i="9"/>
  <c r="G26" i="9"/>
  <c r="H26" i="9"/>
  <c r="I26" i="9"/>
  <c r="J26" i="9"/>
  <c r="K26" i="9"/>
  <c r="L26" i="9"/>
  <c r="C28" i="9"/>
  <c r="D28" i="9"/>
  <c r="E28" i="9"/>
  <c r="F28" i="9"/>
  <c r="G28" i="9"/>
  <c r="H28" i="9"/>
  <c r="I28" i="9"/>
  <c r="J28" i="9"/>
  <c r="K28" i="9"/>
  <c r="L28" i="9"/>
  <c r="C29" i="9"/>
  <c r="D29" i="9"/>
  <c r="E29" i="9"/>
  <c r="F29" i="9"/>
  <c r="G29" i="9"/>
  <c r="H29" i="9"/>
  <c r="I29" i="9"/>
  <c r="J29" i="9"/>
  <c r="K29" i="9"/>
  <c r="L29" i="9"/>
  <c r="C30" i="9"/>
  <c r="D30" i="9"/>
  <c r="E30" i="9"/>
  <c r="F30" i="9"/>
  <c r="G30" i="9"/>
  <c r="H30" i="9"/>
  <c r="I30" i="9"/>
  <c r="J30" i="9"/>
  <c r="K30" i="9"/>
  <c r="L30" i="9"/>
  <c r="C31" i="9"/>
  <c r="D31" i="9"/>
  <c r="E31" i="9"/>
  <c r="F31" i="9"/>
  <c r="G31" i="9"/>
  <c r="H31" i="9"/>
  <c r="I31" i="9"/>
  <c r="J31" i="9"/>
  <c r="K31" i="9"/>
  <c r="L31" i="9"/>
  <c r="C32" i="9"/>
  <c r="C41" i="9" s="1"/>
  <c r="D32" i="9"/>
  <c r="D41" i="9" s="1"/>
  <c r="E32" i="9"/>
  <c r="E41" i="9" s="1"/>
  <c r="F32" i="9"/>
  <c r="F41" i="9" s="1"/>
  <c r="G32" i="9"/>
  <c r="G41" i="9" s="1"/>
  <c r="H32" i="9"/>
  <c r="H41" i="9" s="1"/>
  <c r="I32" i="9"/>
  <c r="I41" i="9" s="1"/>
  <c r="J32" i="9"/>
  <c r="J41" i="9" s="1"/>
  <c r="K32" i="9"/>
  <c r="K41" i="9" s="1"/>
  <c r="L32" i="9"/>
  <c r="L41" i="9" s="1"/>
  <c r="C98" i="8"/>
  <c r="D98" i="8"/>
  <c r="E98" i="8"/>
  <c r="E93" i="8" s="1"/>
  <c r="F98" i="8"/>
  <c r="G98" i="8"/>
  <c r="H98" i="8"/>
  <c r="I98" i="8"/>
  <c r="I93" i="8" s="1"/>
  <c r="J98" i="8"/>
  <c r="K98" i="8"/>
  <c r="L98" i="8"/>
  <c r="C10" i="5"/>
  <c r="D10" i="5"/>
  <c r="E10" i="5"/>
  <c r="F10" i="5"/>
  <c r="G10" i="5"/>
  <c r="H10" i="5"/>
  <c r="I10" i="5"/>
  <c r="J10" i="5"/>
  <c r="K10" i="5"/>
  <c r="L10" i="5"/>
  <c r="B82" i="11"/>
  <c r="B58" i="8" s="1"/>
  <c r="C58" i="8" s="1"/>
  <c r="D58" i="8" s="1"/>
  <c r="E58" i="8" s="1"/>
  <c r="F58" i="8" s="1"/>
  <c r="G58" i="8" s="1"/>
  <c r="H58" i="8" s="1"/>
  <c r="I58" i="8" s="1"/>
  <c r="J58" i="8" s="1"/>
  <c r="K58" i="8" s="1"/>
  <c r="L58" i="8" s="1"/>
  <c r="B10" i="5"/>
  <c r="I126" i="8" l="1"/>
  <c r="C137" i="8"/>
  <c r="K75" i="8"/>
  <c r="D29" i="8"/>
  <c r="C75" i="7"/>
  <c r="C29" i="8"/>
  <c r="E90" i="8"/>
  <c r="G147" i="8"/>
  <c r="D147" i="8"/>
  <c r="I90" i="8"/>
  <c r="H90" i="8"/>
  <c r="B147" i="8"/>
  <c r="L19" i="8"/>
  <c r="L75" i="8" s="1"/>
  <c r="G43" i="2"/>
  <c r="H60" i="7"/>
  <c r="F84" i="7"/>
  <c r="C59" i="7"/>
  <c r="C30" i="7"/>
  <c r="C85" i="7"/>
  <c r="G79" i="7"/>
  <c r="G84" i="7"/>
  <c r="H25" i="7"/>
  <c r="H42" i="2"/>
  <c r="H53" i="2" s="1"/>
  <c r="H43" i="2"/>
  <c r="C55" i="8"/>
  <c r="D80" i="8"/>
  <c r="E20" i="7"/>
  <c r="D76" i="7"/>
  <c r="E19" i="7"/>
  <c r="E29" i="8" s="1"/>
  <c r="D75" i="7"/>
  <c r="E21" i="7"/>
  <c r="D77" i="7"/>
  <c r="D85" i="7"/>
  <c r="L79" i="8"/>
  <c r="L81" i="8"/>
  <c r="L82" i="8"/>
  <c r="I51" i="8"/>
  <c r="I76" i="8"/>
  <c r="H53" i="8"/>
  <c r="H78" i="8"/>
  <c r="G48" i="8"/>
  <c r="G73" i="8"/>
  <c r="I52" i="8"/>
  <c r="I77" i="8"/>
  <c r="F49" i="8"/>
  <c r="F74" i="8"/>
  <c r="H47" i="8"/>
  <c r="H72" i="8"/>
  <c r="L56" i="8"/>
  <c r="L57" i="8"/>
  <c r="L54" i="8"/>
  <c r="H44" i="8"/>
  <c r="H46" i="8"/>
  <c r="H45" i="8"/>
  <c r="L10" i="2"/>
  <c r="L32" i="2" s="1"/>
  <c r="K19" i="9"/>
  <c r="K40" i="9" s="1"/>
  <c r="K15" i="9"/>
  <c r="K36" i="9" s="1"/>
  <c r="J35" i="9"/>
  <c r="F35" i="9"/>
  <c r="H35" i="9"/>
  <c r="D35" i="9"/>
  <c r="K17" i="9"/>
  <c r="K38" i="9" s="1"/>
  <c r="K18" i="9"/>
  <c r="K39" i="9" s="1"/>
  <c r="K14" i="9"/>
  <c r="K35" i="9" s="1"/>
  <c r="G35" i="9"/>
  <c r="C35" i="9"/>
  <c r="I35" i="9"/>
  <c r="E35" i="9"/>
  <c r="L23" i="9"/>
  <c r="L27" i="9" s="1"/>
  <c r="L11" i="9"/>
  <c r="A29" i="15" s="1"/>
  <c r="L64" i="2"/>
  <c r="L66" i="7" s="1"/>
  <c r="L51" i="7"/>
  <c r="L163" i="9"/>
  <c r="C147" i="8"/>
  <c r="H147" i="8"/>
  <c r="B90" i="8"/>
  <c r="D90" i="8"/>
  <c r="I147" i="8"/>
  <c r="G40" i="9"/>
  <c r="C40" i="9"/>
  <c r="I39" i="9"/>
  <c r="E39" i="9"/>
  <c r="G38" i="9"/>
  <c r="C38" i="9"/>
  <c r="I37" i="9"/>
  <c r="E37" i="9"/>
  <c r="H40" i="9"/>
  <c r="D40" i="9"/>
  <c r="J39" i="9"/>
  <c r="F39" i="9"/>
  <c r="H38" i="9"/>
  <c r="D38" i="9"/>
  <c r="J37" i="9"/>
  <c r="F37" i="9"/>
  <c r="J40" i="9"/>
  <c r="F40" i="9"/>
  <c r="H39" i="9"/>
  <c r="D39" i="9"/>
  <c r="J38" i="9"/>
  <c r="F38" i="9"/>
  <c r="H37" i="9"/>
  <c r="D37" i="9"/>
  <c r="I40" i="9"/>
  <c r="E40" i="9"/>
  <c r="G39" i="9"/>
  <c r="C39" i="9"/>
  <c r="I38" i="9"/>
  <c r="E38" i="9"/>
  <c r="K37" i="9"/>
  <c r="G37" i="9"/>
  <c r="C37" i="9"/>
  <c r="C39" i="2"/>
  <c r="C38" i="2"/>
  <c r="F67" i="8"/>
  <c r="J42" i="8"/>
  <c r="G67" i="8"/>
  <c r="K42" i="8"/>
  <c r="I42" i="8"/>
  <c r="I60" i="8" s="1"/>
  <c r="D67" i="8"/>
  <c r="H42" i="8"/>
  <c r="H60" i="8" s="1"/>
  <c r="L42" i="8"/>
  <c r="E67" i="8"/>
  <c r="E95" i="8" s="1"/>
  <c r="C67" i="8"/>
  <c r="G66" i="8"/>
  <c r="E40" i="8"/>
  <c r="C70" i="7"/>
  <c r="B55" i="7"/>
  <c r="D92" i="8"/>
  <c r="E92" i="8"/>
  <c r="I92" i="8"/>
  <c r="L92" i="8"/>
  <c r="B92" i="8"/>
  <c r="B6" i="7"/>
  <c r="F62" i="2"/>
  <c r="F63" i="2" s="1"/>
  <c r="J62" i="2"/>
  <c r="J63" i="2" s="1"/>
  <c r="H92" i="8"/>
  <c r="C74" i="7"/>
  <c r="C24" i="7"/>
  <c r="L90" i="8"/>
  <c r="E147" i="8"/>
  <c r="G90" i="8"/>
  <c r="J147" i="8"/>
  <c r="B39" i="9"/>
  <c r="K147" i="8"/>
  <c r="C6" i="5"/>
  <c r="B99" i="8"/>
  <c r="B36" i="9"/>
  <c r="B35" i="9"/>
  <c r="B40" i="8"/>
  <c r="B65" i="8"/>
  <c r="B66" i="8"/>
  <c r="B41" i="8"/>
  <c r="D42" i="8"/>
  <c r="D60" i="8" s="1"/>
  <c r="C40" i="8"/>
  <c r="C65" i="8"/>
  <c r="B42" i="8"/>
  <c r="B60" i="8" s="1"/>
  <c r="B67" i="8"/>
  <c r="D65" i="8"/>
  <c r="D40" i="8"/>
  <c r="B40" i="9"/>
  <c r="B38" i="9"/>
  <c r="B37" i="9"/>
  <c r="D93" i="8"/>
  <c r="G93" i="8"/>
  <c r="L93" i="8"/>
  <c r="H93" i="8"/>
  <c r="J93" i="8"/>
  <c r="B42" i="7"/>
  <c r="D36" i="7"/>
  <c r="C29" i="7"/>
  <c r="D72" i="7"/>
  <c r="B62" i="2"/>
  <c r="B63" i="2" s="1"/>
  <c r="E62" i="2"/>
  <c r="E63" i="2" s="1"/>
  <c r="I62" i="2"/>
  <c r="I63" i="2" s="1"/>
  <c r="C92" i="8"/>
  <c r="C93" i="8" s="1"/>
  <c r="J92" i="8"/>
  <c r="F92" i="8"/>
  <c r="F93" i="8" s="1"/>
  <c r="L62" i="2"/>
  <c r="L63" i="2" s="1"/>
  <c r="H62" i="2"/>
  <c r="H63" i="2" s="1"/>
  <c r="D62" i="2"/>
  <c r="D63" i="2" s="1"/>
  <c r="C71" i="7"/>
  <c r="G92" i="8"/>
  <c r="K62" i="2"/>
  <c r="K63" i="2" s="1"/>
  <c r="G62" i="2"/>
  <c r="G63" i="2" s="1"/>
  <c r="C62" i="2"/>
  <c r="C63" i="2" s="1"/>
  <c r="K92" i="8"/>
  <c r="K93" i="8" s="1"/>
  <c r="D73" i="7"/>
  <c r="D137" i="8" l="1"/>
  <c r="J126" i="8"/>
  <c r="G95" i="8"/>
  <c r="C95" i="8"/>
  <c r="D95" i="8"/>
  <c r="F95" i="8"/>
  <c r="B95" i="8"/>
  <c r="B59" i="8"/>
  <c r="B101" i="8" s="1"/>
  <c r="L50" i="8"/>
  <c r="I60" i="7"/>
  <c r="H26" i="7"/>
  <c r="B23" i="7"/>
  <c r="B56" i="7" s="1"/>
  <c r="B54" i="2" s="1"/>
  <c r="C6" i="7"/>
  <c r="D6" i="7" s="1"/>
  <c r="E6" i="7" s="1"/>
  <c r="F6" i="7" s="1"/>
  <c r="G6" i="7" s="1"/>
  <c r="H6" i="7" s="1"/>
  <c r="I6" i="7" s="1"/>
  <c r="J6" i="7" s="1"/>
  <c r="K6" i="7" s="1"/>
  <c r="L6" i="7" s="1"/>
  <c r="B73" i="7"/>
  <c r="B72" i="7"/>
  <c r="B50" i="2"/>
  <c r="B6" i="9" s="1"/>
  <c r="B49" i="2"/>
  <c r="B5" i="9" s="1"/>
  <c r="D59" i="7"/>
  <c r="D30" i="7"/>
  <c r="A28" i="15"/>
  <c r="I42" i="2"/>
  <c r="I53" i="2" s="1"/>
  <c r="I25" i="7"/>
  <c r="I43" i="2"/>
  <c r="I26" i="7"/>
  <c r="J60" i="7"/>
  <c r="H84" i="7"/>
  <c r="H79" i="7"/>
  <c r="C83" i="7"/>
  <c r="C78" i="7"/>
  <c r="B2" i="9"/>
  <c r="B3" i="9"/>
  <c r="B4" i="9"/>
  <c r="B8" i="9"/>
  <c r="B62" i="9" s="1"/>
  <c r="D55" i="8"/>
  <c r="E80" i="8"/>
  <c r="F21" i="7"/>
  <c r="E77" i="7"/>
  <c r="E85" i="7"/>
  <c r="F19" i="7"/>
  <c r="E75" i="7"/>
  <c r="F20" i="7"/>
  <c r="E76" i="7"/>
  <c r="D74" i="7"/>
  <c r="D70" i="7"/>
  <c r="C37" i="2"/>
  <c r="C48" i="2" s="1"/>
  <c r="J51" i="8"/>
  <c r="J76" i="8"/>
  <c r="I47" i="8"/>
  <c r="I72" i="8"/>
  <c r="I45" i="8"/>
  <c r="I70" i="8"/>
  <c r="I53" i="8"/>
  <c r="I78" i="8"/>
  <c r="J52" i="8"/>
  <c r="J60" i="8" s="1"/>
  <c r="J77" i="8"/>
  <c r="H48" i="8"/>
  <c r="H73" i="8"/>
  <c r="I44" i="8"/>
  <c r="I69" i="8"/>
  <c r="G49" i="8"/>
  <c r="G74" i="8"/>
  <c r="I46" i="8"/>
  <c r="I71" i="8"/>
  <c r="L14" i="9"/>
  <c r="L35" i="9" s="1"/>
  <c r="L16" i="9"/>
  <c r="L37" i="9" s="1"/>
  <c r="L18" i="9"/>
  <c r="L39" i="9" s="1"/>
  <c r="L15" i="9"/>
  <c r="L36" i="9" s="1"/>
  <c r="L17" i="9"/>
  <c r="L38" i="9" s="1"/>
  <c r="L19" i="9"/>
  <c r="L40" i="9" s="1"/>
  <c r="G44" i="9"/>
  <c r="C42" i="7"/>
  <c r="C49" i="9"/>
  <c r="I48" i="9"/>
  <c r="F45" i="9"/>
  <c r="F47" i="9"/>
  <c r="H44" i="9"/>
  <c r="F44" i="9"/>
  <c r="F48" i="9"/>
  <c r="F46" i="9"/>
  <c r="F49" i="9"/>
  <c r="F50" i="9"/>
  <c r="D48" i="9"/>
  <c r="J44" i="9"/>
  <c r="D45" i="9"/>
  <c r="J47" i="9"/>
  <c r="J45" i="9"/>
  <c r="J46" i="9"/>
  <c r="D44" i="9"/>
  <c r="D49" i="9"/>
  <c r="E49" i="9"/>
  <c r="H48" i="9"/>
  <c r="D50" i="9"/>
  <c r="J50" i="9"/>
  <c r="J48" i="9"/>
  <c r="D47" i="9"/>
  <c r="D46" i="9"/>
  <c r="J49" i="9"/>
  <c r="K44" i="9"/>
  <c r="C50" i="9"/>
  <c r="I49" i="9"/>
  <c r="H47" i="9"/>
  <c r="E50" i="9"/>
  <c r="C44" i="9"/>
  <c r="I46" i="9"/>
  <c r="I44" i="9"/>
  <c r="C48" i="9"/>
  <c r="C45" i="9"/>
  <c r="H50" i="9"/>
  <c r="H45" i="9"/>
  <c r="I50" i="9"/>
  <c r="C47" i="9"/>
  <c r="E45" i="9"/>
  <c r="C46" i="9"/>
  <c r="I45" i="9"/>
  <c r="H49" i="9"/>
  <c r="E44" i="9"/>
  <c r="E46" i="9"/>
  <c r="H46" i="9"/>
  <c r="I47" i="9"/>
  <c r="E48" i="9"/>
  <c r="I67" i="8"/>
  <c r="I95" i="8" s="1"/>
  <c r="K48" i="9"/>
  <c r="K47" i="9"/>
  <c r="G49" i="9"/>
  <c r="K46" i="9"/>
  <c r="E47" i="9"/>
  <c r="K45" i="9"/>
  <c r="G45" i="9"/>
  <c r="G48" i="9"/>
  <c r="K49" i="9"/>
  <c r="K50" i="9"/>
  <c r="G47" i="9"/>
  <c r="G46" i="9"/>
  <c r="G50" i="9"/>
  <c r="L67" i="8"/>
  <c r="J66" i="8"/>
  <c r="J67" i="8"/>
  <c r="J95" i="8" s="1"/>
  <c r="C42" i="8"/>
  <c r="C60" i="8" s="1"/>
  <c r="I66" i="8"/>
  <c r="H66" i="8"/>
  <c r="E42" i="8"/>
  <c r="E60" i="8" s="1"/>
  <c r="F42" i="8"/>
  <c r="F60" i="8" s="1"/>
  <c r="I41" i="8"/>
  <c r="H41" i="8"/>
  <c r="F41" i="8"/>
  <c r="E41" i="8"/>
  <c r="C66" i="8"/>
  <c r="K66" i="8"/>
  <c r="L66" i="8"/>
  <c r="D41" i="8"/>
  <c r="D59" i="8" s="1"/>
  <c r="J41" i="8"/>
  <c r="G41" i="8"/>
  <c r="H67" i="8"/>
  <c r="H95" i="8" s="1"/>
  <c r="D66" i="8"/>
  <c r="G42" i="8"/>
  <c r="G60" i="8" s="1"/>
  <c r="F66" i="8"/>
  <c r="E65" i="8"/>
  <c r="L41" i="8"/>
  <c r="K41" i="8"/>
  <c r="C36" i="2"/>
  <c r="C47" i="2" s="1"/>
  <c r="D38" i="2"/>
  <c r="C41" i="2"/>
  <c r="C52" i="2" s="1"/>
  <c r="D39" i="2"/>
  <c r="C40" i="2"/>
  <c r="C51" i="2" s="1"/>
  <c r="E66" i="8"/>
  <c r="K67" i="8"/>
  <c r="C41" i="8"/>
  <c r="B142" i="8"/>
  <c r="D24" i="7"/>
  <c r="B7" i="9"/>
  <c r="B50" i="9"/>
  <c r="C99" i="8"/>
  <c r="B47" i="9"/>
  <c r="B48" i="9"/>
  <c r="B85" i="8"/>
  <c r="B33" i="8"/>
  <c r="B46" i="9"/>
  <c r="B44" i="9"/>
  <c r="B45" i="9"/>
  <c r="B49" i="9"/>
  <c r="E36" i="7"/>
  <c r="D29" i="7"/>
  <c r="E72" i="7"/>
  <c r="D71" i="7"/>
  <c r="B98" i="8"/>
  <c r="E73" i="7"/>
  <c r="K126" i="8" l="1"/>
  <c r="E137" i="8"/>
  <c r="C59" i="8"/>
  <c r="C101" i="8" s="1"/>
  <c r="F29" i="8"/>
  <c r="B80" i="7"/>
  <c r="B89" i="7" s="1"/>
  <c r="C83" i="26" s="1"/>
  <c r="E59" i="7"/>
  <c r="E30" i="7"/>
  <c r="C58" i="9"/>
  <c r="E58" i="9"/>
  <c r="C23" i="7"/>
  <c r="C56" i="7" s="1"/>
  <c r="J25" i="7"/>
  <c r="J42" i="2"/>
  <c r="J53" i="2" s="1"/>
  <c r="B12" i="15"/>
  <c r="J43" i="2"/>
  <c r="J26" i="7"/>
  <c r="I84" i="7"/>
  <c r="I79" i="7"/>
  <c r="D78" i="7"/>
  <c r="D83" i="7"/>
  <c r="B86" i="7"/>
  <c r="B92" i="7" s="1"/>
  <c r="B58" i="9"/>
  <c r="B58" i="2"/>
  <c r="B73" i="9" s="1"/>
  <c r="B76" i="9" s="1"/>
  <c r="B61" i="2"/>
  <c r="B106" i="9" s="1"/>
  <c r="B109" i="9" s="1"/>
  <c r="D9" i="5"/>
  <c r="D11" i="5" s="1"/>
  <c r="F80" i="8"/>
  <c r="E55" i="8"/>
  <c r="E71" i="7"/>
  <c r="G20" i="7"/>
  <c r="F76" i="7"/>
  <c r="F85" i="7"/>
  <c r="E24" i="7"/>
  <c r="D40" i="2"/>
  <c r="D51" i="2" s="1"/>
  <c r="G19" i="7"/>
  <c r="G29" i="8" s="1"/>
  <c r="F75" i="7"/>
  <c r="G21" i="7"/>
  <c r="F77" i="7"/>
  <c r="E74" i="7"/>
  <c r="C45" i="7"/>
  <c r="C48" i="7" s="1"/>
  <c r="C55" i="7" s="1"/>
  <c r="E70" i="7"/>
  <c r="D36" i="2"/>
  <c r="D47" i="2" s="1"/>
  <c r="F59" i="9"/>
  <c r="K51" i="8"/>
  <c r="K76" i="8"/>
  <c r="J47" i="8"/>
  <c r="J72" i="8"/>
  <c r="J44" i="8"/>
  <c r="J69" i="8"/>
  <c r="J53" i="8"/>
  <c r="J78" i="8"/>
  <c r="H49" i="8"/>
  <c r="H74" i="8"/>
  <c r="K53" i="8"/>
  <c r="K78" i="8"/>
  <c r="J46" i="8"/>
  <c r="J71" i="8"/>
  <c r="I48" i="8"/>
  <c r="I73" i="8"/>
  <c r="K52" i="8"/>
  <c r="K60" i="8" s="1"/>
  <c r="K77" i="8"/>
  <c r="K95" i="8" s="1"/>
  <c r="J45" i="8"/>
  <c r="J70" i="8"/>
  <c r="H58" i="9"/>
  <c r="K58" i="9"/>
  <c r="J58" i="9"/>
  <c r="D59" i="9"/>
  <c r="L49" i="9"/>
  <c r="L45" i="9"/>
  <c r="L48" i="9"/>
  <c r="L50" i="9"/>
  <c r="L46" i="9"/>
  <c r="L44" i="9"/>
  <c r="L47" i="9"/>
  <c r="G59" i="9"/>
  <c r="F58" i="9"/>
  <c r="H59" i="9"/>
  <c r="J54" i="9"/>
  <c r="F55" i="9"/>
  <c r="F54" i="9"/>
  <c r="C59" i="9"/>
  <c r="F57" i="9"/>
  <c r="K59" i="9"/>
  <c r="E59" i="9"/>
  <c r="F56" i="9"/>
  <c r="D58" i="9"/>
  <c r="D54" i="9"/>
  <c r="D57" i="9"/>
  <c r="J59" i="9"/>
  <c r="J57" i="9"/>
  <c r="J55" i="9"/>
  <c r="J56" i="9"/>
  <c r="D55" i="9"/>
  <c r="D56" i="9"/>
  <c r="E54" i="9"/>
  <c r="I56" i="9"/>
  <c r="G58" i="9"/>
  <c r="I58" i="9"/>
  <c r="I57" i="9"/>
  <c r="C57" i="9"/>
  <c r="E57" i="9"/>
  <c r="E55" i="9"/>
  <c r="K54" i="9"/>
  <c r="H55" i="9"/>
  <c r="C55" i="9"/>
  <c r="H56" i="9"/>
  <c r="H57" i="9"/>
  <c r="I54" i="9"/>
  <c r="I55" i="9"/>
  <c r="I59" i="9"/>
  <c r="K55" i="9"/>
  <c r="H54" i="9"/>
  <c r="C54" i="9"/>
  <c r="C56" i="9"/>
  <c r="K57" i="9"/>
  <c r="K56" i="9"/>
  <c r="G56" i="9"/>
  <c r="G54" i="9"/>
  <c r="E56" i="9"/>
  <c r="G55" i="9"/>
  <c r="G57" i="9"/>
  <c r="D37" i="2"/>
  <c r="D48" i="2" s="1"/>
  <c r="E38" i="2"/>
  <c r="E39" i="2"/>
  <c r="D41" i="2"/>
  <c r="D52" i="2" s="1"/>
  <c r="C142" i="8"/>
  <c r="F40" i="8"/>
  <c r="F65" i="8"/>
  <c r="D99" i="8"/>
  <c r="D101" i="8" s="1"/>
  <c r="D6" i="5"/>
  <c r="B89" i="8"/>
  <c r="B146" i="8"/>
  <c r="C85" i="8"/>
  <c r="B9" i="5"/>
  <c r="B11" i="5" s="1"/>
  <c r="B55" i="9"/>
  <c r="B57" i="9"/>
  <c r="B59" i="9"/>
  <c r="B54" i="9"/>
  <c r="B63" i="9" s="1"/>
  <c r="B56" i="9"/>
  <c r="D42" i="7"/>
  <c r="C33" i="8"/>
  <c r="F36" i="7"/>
  <c r="E29" i="7"/>
  <c r="F72" i="7"/>
  <c r="B6" i="5"/>
  <c r="F73" i="7"/>
  <c r="F137" i="8" l="1"/>
  <c r="L126" i="8"/>
  <c r="E59" i="8"/>
  <c r="C54" i="2"/>
  <c r="C80" i="7"/>
  <c r="B13" i="15"/>
  <c r="K60" i="7"/>
  <c r="C50" i="2"/>
  <c r="C6" i="9" s="1"/>
  <c r="C49" i="2"/>
  <c r="C5" i="9" s="1"/>
  <c r="F59" i="7"/>
  <c r="F30" i="7"/>
  <c r="D23" i="7"/>
  <c r="D56" i="7" s="1"/>
  <c r="K25" i="7"/>
  <c r="K42" i="2"/>
  <c r="K53" i="2" s="1"/>
  <c r="K43" i="2"/>
  <c r="K26" i="7"/>
  <c r="L60" i="7"/>
  <c r="J79" i="7"/>
  <c r="J84" i="7"/>
  <c r="E78" i="7"/>
  <c r="E83" i="7"/>
  <c r="C86" i="7"/>
  <c r="C92" i="7" s="1"/>
  <c r="C95" i="7" s="1"/>
  <c r="C7" i="9"/>
  <c r="C8" i="9"/>
  <c r="C62" i="9" s="1"/>
  <c r="C3" i="9"/>
  <c r="C4" i="9"/>
  <c r="G80" i="8"/>
  <c r="F55" i="8"/>
  <c r="F59" i="8" s="1"/>
  <c r="E41" i="2"/>
  <c r="E52" i="2" s="1"/>
  <c r="B110" i="9"/>
  <c r="B77" i="9"/>
  <c r="E37" i="2"/>
  <c r="E48" i="2" s="1"/>
  <c r="F74" i="7"/>
  <c r="H20" i="7"/>
  <c r="G76" i="7"/>
  <c r="H21" i="7"/>
  <c r="G77" i="7"/>
  <c r="G85" i="7"/>
  <c r="H19" i="7"/>
  <c r="G75" i="7"/>
  <c r="E40" i="2"/>
  <c r="E51" i="2" s="1"/>
  <c r="E142" i="8"/>
  <c r="F70" i="7"/>
  <c r="E36" i="2"/>
  <c r="E47" i="2" s="1"/>
  <c r="I49" i="8"/>
  <c r="I74" i="8"/>
  <c r="J48" i="8"/>
  <c r="J73" i="8"/>
  <c r="K44" i="8"/>
  <c r="K69" i="8"/>
  <c r="K46" i="8"/>
  <c r="K71" i="8"/>
  <c r="K47" i="8"/>
  <c r="K72" i="8"/>
  <c r="L51" i="8"/>
  <c r="L76" i="8"/>
  <c r="L53" i="8"/>
  <c r="L78" i="8"/>
  <c r="L52" i="8"/>
  <c r="L60" i="8" s="1"/>
  <c r="L77" i="8"/>
  <c r="L95" i="8" s="1"/>
  <c r="K45" i="8"/>
  <c r="K70" i="8"/>
  <c r="B91" i="9"/>
  <c r="B102" i="9" s="1"/>
  <c r="L58" i="9"/>
  <c r="A147" i="9" s="1"/>
  <c r="C147" i="9" s="1"/>
  <c r="E147" i="9" s="1"/>
  <c r="L59" i="9"/>
  <c r="L55" i="9"/>
  <c r="L54" i="9"/>
  <c r="A140" i="9" s="1"/>
  <c r="C140" i="9" s="1"/>
  <c r="E140" i="9" s="1"/>
  <c r="L56" i="9"/>
  <c r="A144" i="9" s="1"/>
  <c r="C144" i="9" s="1"/>
  <c r="E144" i="9" s="1"/>
  <c r="L57" i="9"/>
  <c r="A150" i="9"/>
  <c r="C150" i="9" s="1"/>
  <c r="E150" i="9" s="1"/>
  <c r="A141" i="9"/>
  <c r="C141" i="9" s="1"/>
  <c r="E141" i="9" s="1"/>
  <c r="A145" i="9"/>
  <c r="C145" i="9" s="1"/>
  <c r="E145" i="9" s="1"/>
  <c r="C9" i="5"/>
  <c r="C11" i="5" s="1"/>
  <c r="A139" i="9"/>
  <c r="C139" i="9" s="1"/>
  <c r="E139" i="9" s="1"/>
  <c r="A146" i="9"/>
  <c r="C146" i="9" s="1"/>
  <c r="E146" i="9" s="1"/>
  <c r="F38" i="2"/>
  <c r="F39" i="2"/>
  <c r="A142" i="9"/>
  <c r="C142" i="9" s="1"/>
  <c r="E142" i="9" s="1"/>
  <c r="D142" i="8"/>
  <c r="G40" i="8"/>
  <c r="G65" i="8"/>
  <c r="D85" i="8"/>
  <c r="E99" i="8"/>
  <c r="E6" i="5"/>
  <c r="G72" i="7"/>
  <c r="B124" i="9"/>
  <c r="C89" i="8"/>
  <c r="C146" i="8"/>
  <c r="A149" i="9"/>
  <c r="C149" i="9" s="1"/>
  <c r="E149" i="9" s="1"/>
  <c r="E42" i="7"/>
  <c r="D33" i="8"/>
  <c r="D45" i="7"/>
  <c r="D48" i="7" s="1"/>
  <c r="A137" i="9"/>
  <c r="C137" i="9" s="1"/>
  <c r="E137" i="9" s="1"/>
  <c r="A138" i="9"/>
  <c r="G36" i="7"/>
  <c r="F29" i="7"/>
  <c r="G73" i="7"/>
  <c r="E101" i="8" l="1"/>
  <c r="G137" i="8"/>
  <c r="H29" i="8"/>
  <c r="E9" i="5"/>
  <c r="E11" i="5" s="1"/>
  <c r="F9" i="5"/>
  <c r="F11" i="5" s="1"/>
  <c r="F37" i="2"/>
  <c r="F48" i="2" s="1"/>
  <c r="F71" i="7"/>
  <c r="D54" i="2"/>
  <c r="D80" i="7"/>
  <c r="G59" i="7"/>
  <c r="G30" i="7"/>
  <c r="A148" i="9"/>
  <c r="C148" i="9" s="1"/>
  <c r="E148" i="9" s="1"/>
  <c r="A143" i="9"/>
  <c r="C143" i="9" s="1"/>
  <c r="E143" i="9" s="1"/>
  <c r="E23" i="7"/>
  <c r="E56" i="7" s="1"/>
  <c r="C52" i="26"/>
  <c r="L42" i="2"/>
  <c r="L53" i="2" s="1"/>
  <c r="L25" i="7"/>
  <c r="L43" i="2"/>
  <c r="L26" i="7"/>
  <c r="K79" i="7"/>
  <c r="K84" i="7"/>
  <c r="F41" i="2"/>
  <c r="F52" i="2" s="1"/>
  <c r="F24" i="7"/>
  <c r="D86" i="7"/>
  <c r="D92" i="7" s="1"/>
  <c r="D95" i="7" s="1"/>
  <c r="C53" i="26" s="1"/>
  <c r="G55" i="8"/>
  <c r="H80" i="8"/>
  <c r="C63" i="9"/>
  <c r="C64" i="9" s="1"/>
  <c r="C61" i="2"/>
  <c r="C106" i="9" s="1"/>
  <c r="C109" i="9" s="1"/>
  <c r="C124" i="9" s="1"/>
  <c r="C133" i="9" s="1"/>
  <c r="C58" i="2"/>
  <c r="C73" i="9" s="1"/>
  <c r="C76" i="9" s="1"/>
  <c r="C91" i="9" s="1"/>
  <c r="C102" i="9" s="1"/>
  <c r="G24" i="7"/>
  <c r="G71" i="7"/>
  <c r="F40" i="2"/>
  <c r="F51" i="2" s="1"/>
  <c r="G74" i="7"/>
  <c r="F85" i="8"/>
  <c r="H77" i="7"/>
  <c r="I21" i="7"/>
  <c r="G70" i="7"/>
  <c r="H75" i="7"/>
  <c r="I19" i="7"/>
  <c r="H85" i="7"/>
  <c r="H76" i="7"/>
  <c r="I20" i="7"/>
  <c r="E85" i="8"/>
  <c r="F36" i="2"/>
  <c r="F47" i="2" s="1"/>
  <c r="J49" i="8"/>
  <c r="J74" i="8"/>
  <c r="L47" i="8"/>
  <c r="L72" i="8"/>
  <c r="L44" i="8"/>
  <c r="L69" i="8"/>
  <c r="L46" i="8"/>
  <c r="L71" i="8"/>
  <c r="K48" i="8"/>
  <c r="K73" i="8"/>
  <c r="L45" i="8"/>
  <c r="L70" i="8"/>
  <c r="B88" i="9"/>
  <c r="B99" i="9" s="1"/>
  <c r="G39" i="2"/>
  <c r="G38" i="2"/>
  <c r="H65" i="8"/>
  <c r="H40" i="8"/>
  <c r="D55" i="7"/>
  <c r="F99" i="8"/>
  <c r="F101" i="8" s="1"/>
  <c r="F6" i="5"/>
  <c r="B64" i="9"/>
  <c r="B111" i="9" s="1"/>
  <c r="H72" i="7"/>
  <c r="B121" i="9"/>
  <c r="B133" i="9"/>
  <c r="D89" i="8"/>
  <c r="D146" i="8"/>
  <c r="C138" i="9"/>
  <c r="E138" i="9" s="1"/>
  <c r="F42" i="7"/>
  <c r="E33" i="8"/>
  <c r="E45" i="7"/>
  <c r="E48" i="7" s="1"/>
  <c r="H36" i="7"/>
  <c r="G29" i="7"/>
  <c r="H73" i="7"/>
  <c r="H137" i="8" l="1"/>
  <c r="I29" i="8"/>
  <c r="G59" i="8"/>
  <c r="E54" i="2"/>
  <c r="E80" i="7"/>
  <c r="D49" i="2"/>
  <c r="D5" i="9" s="1"/>
  <c r="D50" i="2"/>
  <c r="D6" i="9" s="1"/>
  <c r="H59" i="7"/>
  <c r="H30" i="7"/>
  <c r="D51" i="26"/>
  <c r="D52" i="26"/>
  <c r="L84" i="7"/>
  <c r="L79" i="7"/>
  <c r="F83" i="7"/>
  <c r="F23" i="7" s="1"/>
  <c r="F56" i="7" s="1"/>
  <c r="F78" i="7"/>
  <c r="G83" i="7"/>
  <c r="G78" i="7"/>
  <c r="E86" i="7"/>
  <c r="E92" i="7" s="1"/>
  <c r="E95" i="7" s="1"/>
  <c r="C54" i="26" s="1"/>
  <c r="I80" i="8"/>
  <c r="H55" i="8"/>
  <c r="G37" i="2"/>
  <c r="G48" i="2" s="1"/>
  <c r="H71" i="7"/>
  <c r="C111" i="9"/>
  <c r="C122" i="9" s="1"/>
  <c r="C77" i="9"/>
  <c r="C88" i="9" s="1"/>
  <c r="C99" i="9" s="1"/>
  <c r="C85" i="26"/>
  <c r="D3" i="9"/>
  <c r="D7" i="9"/>
  <c r="D4" i="9"/>
  <c r="D8" i="9"/>
  <c r="D62" i="9" s="1"/>
  <c r="C110" i="9"/>
  <c r="C121" i="9" s="1"/>
  <c r="C130" i="9" s="1"/>
  <c r="G41" i="2"/>
  <c r="G52" i="2" s="1"/>
  <c r="H24" i="7"/>
  <c r="H70" i="7"/>
  <c r="H74" i="7"/>
  <c r="F142" i="8"/>
  <c r="G40" i="2"/>
  <c r="G51" i="2" s="1"/>
  <c r="G142" i="8"/>
  <c r="I85" i="7"/>
  <c r="G36" i="2"/>
  <c r="G47" i="2" s="1"/>
  <c r="J20" i="7"/>
  <c r="I76" i="7"/>
  <c r="I75" i="7"/>
  <c r="J19" i="7"/>
  <c r="J21" i="7"/>
  <c r="I77" i="7"/>
  <c r="L48" i="8"/>
  <c r="L73" i="8"/>
  <c r="K49" i="8"/>
  <c r="K74" i="8"/>
  <c r="C78" i="9"/>
  <c r="C89" i="9" s="1"/>
  <c r="C100" i="9" s="1"/>
  <c r="B78" i="9"/>
  <c r="B89" i="9" s="1"/>
  <c r="B100" i="9" s="1"/>
  <c r="C65" i="9"/>
  <c r="C112" i="9" s="1"/>
  <c r="H39" i="2"/>
  <c r="H38" i="2"/>
  <c r="I72" i="7"/>
  <c r="I65" i="8"/>
  <c r="I40" i="8"/>
  <c r="E55" i="7"/>
  <c r="B130" i="9"/>
  <c r="G99" i="8"/>
  <c r="G6" i="5"/>
  <c r="B122" i="9"/>
  <c r="B65" i="9"/>
  <c r="E89" i="8"/>
  <c r="E146" i="8"/>
  <c r="G42" i="7"/>
  <c r="F33" i="8"/>
  <c r="F45" i="7"/>
  <c r="F48" i="7" s="1"/>
  <c r="H29" i="7"/>
  <c r="I36" i="7"/>
  <c r="I73" i="7"/>
  <c r="G101" i="8" l="1"/>
  <c r="I137" i="8"/>
  <c r="G9" i="5"/>
  <c r="G11" i="5" s="1"/>
  <c r="J29" i="8"/>
  <c r="H59" i="8"/>
  <c r="H101" i="8" s="1"/>
  <c r="F54" i="2"/>
  <c r="F80" i="7"/>
  <c r="E50" i="2"/>
  <c r="E6" i="9" s="1"/>
  <c r="E49" i="2"/>
  <c r="E5" i="9" s="1"/>
  <c r="J72" i="7"/>
  <c r="I59" i="7"/>
  <c r="I30" i="7"/>
  <c r="D53" i="26"/>
  <c r="G23" i="7"/>
  <c r="G56" i="7" s="1"/>
  <c r="H78" i="7"/>
  <c r="H83" i="7"/>
  <c r="F86" i="7"/>
  <c r="F92" i="7" s="1"/>
  <c r="F95" i="7" s="1"/>
  <c r="C55" i="26" s="1"/>
  <c r="I55" i="8"/>
  <c r="I59" i="8" s="1"/>
  <c r="J80" i="8"/>
  <c r="H37" i="2"/>
  <c r="H48" i="2" s="1"/>
  <c r="I71" i="7"/>
  <c r="D63" i="9"/>
  <c r="H41" i="2"/>
  <c r="H52" i="2" s="1"/>
  <c r="D58" i="2"/>
  <c r="D73" i="9" s="1"/>
  <c r="D61" i="2"/>
  <c r="D106" i="9" s="1"/>
  <c r="E8" i="9"/>
  <c r="E62" i="9" s="1"/>
  <c r="E4" i="9"/>
  <c r="E3" i="9"/>
  <c r="E7" i="9"/>
  <c r="I24" i="7"/>
  <c r="I74" i="7"/>
  <c r="I70" i="7"/>
  <c r="G85" i="8"/>
  <c r="H40" i="2"/>
  <c r="H51" i="2" s="1"/>
  <c r="H142" i="8"/>
  <c r="H36" i="2"/>
  <c r="H47" i="2" s="1"/>
  <c r="K21" i="7"/>
  <c r="B19" i="15" s="1"/>
  <c r="J77" i="7"/>
  <c r="K20" i="7"/>
  <c r="B18" i="15" s="1"/>
  <c r="J76" i="7"/>
  <c r="C86" i="26"/>
  <c r="K19" i="7"/>
  <c r="J75" i="7"/>
  <c r="B20" i="15"/>
  <c r="J85" i="7"/>
  <c r="L49" i="8"/>
  <c r="L74" i="8"/>
  <c r="B79" i="9"/>
  <c r="B90" i="9" s="1"/>
  <c r="B101" i="9" s="1"/>
  <c r="B112" i="9"/>
  <c r="B123" i="9" s="1"/>
  <c r="C66" i="9"/>
  <c r="C79" i="9"/>
  <c r="C90" i="9" s="1"/>
  <c r="C101" i="9" s="1"/>
  <c r="C123" i="9"/>
  <c r="C132" i="9" s="1"/>
  <c r="C131" i="9"/>
  <c r="I39" i="2"/>
  <c r="I38" i="2"/>
  <c r="J40" i="8"/>
  <c r="J65" i="8"/>
  <c r="F55" i="7"/>
  <c r="H99" i="8"/>
  <c r="H6" i="5"/>
  <c r="B66" i="9"/>
  <c r="B131" i="9"/>
  <c r="F89" i="8"/>
  <c r="F146" i="8"/>
  <c r="H42" i="7"/>
  <c r="G33" i="8"/>
  <c r="G45" i="7"/>
  <c r="G48" i="7" s="1"/>
  <c r="I29" i="7"/>
  <c r="J36" i="7"/>
  <c r="J73" i="7"/>
  <c r="J137" i="8" l="1"/>
  <c r="B17" i="15"/>
  <c r="K29" i="8"/>
  <c r="H9" i="5"/>
  <c r="H11" i="5" s="1"/>
  <c r="I9" i="5"/>
  <c r="I11" i="5" s="1"/>
  <c r="J38" i="2"/>
  <c r="K72" i="7"/>
  <c r="G54" i="2"/>
  <c r="G80" i="7"/>
  <c r="F50" i="2"/>
  <c r="F6" i="9" s="1"/>
  <c r="F49" i="2"/>
  <c r="F5" i="9" s="1"/>
  <c r="B8" i="15"/>
  <c r="J59" i="7"/>
  <c r="J30" i="7"/>
  <c r="D76" i="9"/>
  <c r="D91" i="9" s="1"/>
  <c r="D102" i="9" s="1"/>
  <c r="D54" i="26"/>
  <c r="D85" i="26"/>
  <c r="H23" i="7"/>
  <c r="H56" i="7" s="1"/>
  <c r="I78" i="7"/>
  <c r="I83" i="7"/>
  <c r="G86" i="7"/>
  <c r="G92" i="7" s="1"/>
  <c r="G95" i="7" s="1"/>
  <c r="C56" i="26" s="1"/>
  <c r="J71" i="7"/>
  <c r="K80" i="8"/>
  <c r="J55" i="8"/>
  <c r="I37" i="2"/>
  <c r="I48" i="2" s="1"/>
  <c r="D77" i="9"/>
  <c r="D88" i="9" s="1"/>
  <c r="D99" i="9" s="1"/>
  <c r="D64" i="9"/>
  <c r="D78" i="9" s="1"/>
  <c r="D89" i="9" s="1"/>
  <c r="D100" i="9" s="1"/>
  <c r="D110" i="9"/>
  <c r="D121" i="9" s="1"/>
  <c r="D130" i="9" s="1"/>
  <c r="J24" i="7"/>
  <c r="I41" i="2"/>
  <c r="I52" i="2" s="1"/>
  <c r="D109" i="9"/>
  <c r="D124" i="9" s="1"/>
  <c r="E63" i="9"/>
  <c r="E64" i="9" s="1"/>
  <c r="F4" i="9"/>
  <c r="F8" i="9"/>
  <c r="F62" i="9" s="1"/>
  <c r="F3" i="9"/>
  <c r="F7" i="9"/>
  <c r="E61" i="2"/>
  <c r="E106" i="9" s="1"/>
  <c r="E58" i="2"/>
  <c r="E73" i="9" s="1"/>
  <c r="E76" i="9" s="1"/>
  <c r="E91" i="9" s="1"/>
  <c r="E102" i="9" s="1"/>
  <c r="J74" i="7"/>
  <c r="J70" i="7"/>
  <c r="I36" i="2"/>
  <c r="I47" i="2" s="1"/>
  <c r="I40" i="2"/>
  <c r="I51" i="2" s="1"/>
  <c r="I142" i="8"/>
  <c r="H85" i="8"/>
  <c r="L85" i="7"/>
  <c r="K85" i="7"/>
  <c r="K75" i="7"/>
  <c r="L19" i="7"/>
  <c r="L20" i="7"/>
  <c r="L76" i="7" s="1"/>
  <c r="K76" i="7"/>
  <c r="C87" i="26"/>
  <c r="L21" i="7"/>
  <c r="L77" i="7" s="1"/>
  <c r="K77" i="7"/>
  <c r="C80" i="9"/>
  <c r="C87" i="9" s="1"/>
  <c r="C98" i="9" s="1"/>
  <c r="C113" i="9"/>
  <c r="C120" i="9" s="1"/>
  <c r="C129" i="9" s="1"/>
  <c r="B80" i="9"/>
  <c r="B87" i="9" s="1"/>
  <c r="B98" i="9" s="1"/>
  <c r="B113" i="9"/>
  <c r="B120" i="9" s="1"/>
  <c r="J39" i="2"/>
  <c r="K38" i="2"/>
  <c r="K65" i="8"/>
  <c r="K40" i="8"/>
  <c r="G55" i="7"/>
  <c r="I99" i="8"/>
  <c r="I101" i="8" s="1"/>
  <c r="I6" i="5"/>
  <c r="B67" i="9"/>
  <c r="B132" i="9"/>
  <c r="G89" i="8"/>
  <c r="G146" i="8"/>
  <c r="I42" i="7"/>
  <c r="H33" i="8"/>
  <c r="H45" i="7"/>
  <c r="H48" i="7" s="1"/>
  <c r="K36" i="7"/>
  <c r="J29" i="7"/>
  <c r="K73" i="7"/>
  <c r="L72" i="7"/>
  <c r="K137" i="8" l="1"/>
  <c r="L75" i="7"/>
  <c r="L29" i="8"/>
  <c r="J59" i="8"/>
  <c r="H54" i="2"/>
  <c r="H80" i="7"/>
  <c r="G50" i="2"/>
  <c r="G6" i="9" s="1"/>
  <c r="G49" i="2"/>
  <c r="G5" i="9" s="1"/>
  <c r="K59" i="7"/>
  <c r="K30" i="7"/>
  <c r="B9" i="15"/>
  <c r="B5" i="15"/>
  <c r="D55" i="26"/>
  <c r="D86" i="26"/>
  <c r="I23" i="7"/>
  <c r="I56" i="7" s="1"/>
  <c r="J83" i="7"/>
  <c r="J78" i="7"/>
  <c r="H86" i="7"/>
  <c r="H92" i="7" s="1"/>
  <c r="H95" i="7" s="1"/>
  <c r="C57" i="26" s="1"/>
  <c r="J37" i="2"/>
  <c r="J48" i="2" s="1"/>
  <c r="K71" i="7"/>
  <c r="L80" i="8"/>
  <c r="K55" i="8"/>
  <c r="D133" i="9"/>
  <c r="D65" i="9"/>
  <c r="D79" i="9" s="1"/>
  <c r="D90" i="9" s="1"/>
  <c r="D101" i="9" s="1"/>
  <c r="D111" i="9"/>
  <c r="D122" i="9" s="1"/>
  <c r="D131" i="9" s="1"/>
  <c r="J41" i="2"/>
  <c r="J52" i="2" s="1"/>
  <c r="K70" i="7"/>
  <c r="E110" i="9"/>
  <c r="E121" i="9" s="1"/>
  <c r="E130" i="9" s="1"/>
  <c r="E111" i="9"/>
  <c r="E122" i="9" s="1"/>
  <c r="E131" i="9" s="1"/>
  <c r="E77" i="9"/>
  <c r="E88" i="9" s="1"/>
  <c r="E99" i="9" s="1"/>
  <c r="E109" i="9"/>
  <c r="E124" i="9" s="1"/>
  <c r="J36" i="2"/>
  <c r="J47" i="2" s="1"/>
  <c r="F63" i="9"/>
  <c r="F64" i="9" s="1"/>
  <c r="K74" i="7"/>
  <c r="J85" i="8"/>
  <c r="J40" i="2"/>
  <c r="J51" i="2" s="1"/>
  <c r="G3" i="9"/>
  <c r="G7" i="9"/>
  <c r="G4" i="9"/>
  <c r="G8" i="9"/>
  <c r="F61" i="2"/>
  <c r="F106" i="9" s="1"/>
  <c r="F58" i="2"/>
  <c r="F73" i="9" s="1"/>
  <c r="I85" i="8"/>
  <c r="C88" i="26"/>
  <c r="B81" i="9"/>
  <c r="B85" i="9" s="1"/>
  <c r="B96" i="9" s="1"/>
  <c r="B114" i="9"/>
  <c r="B118" i="9" s="1"/>
  <c r="E78" i="9"/>
  <c r="E89" i="9" s="1"/>
  <c r="E100" i="9" s="1"/>
  <c r="E65" i="9"/>
  <c r="L38" i="2"/>
  <c r="K39" i="2"/>
  <c r="L65" i="8"/>
  <c r="L40" i="8"/>
  <c r="H55" i="7"/>
  <c r="J99" i="8"/>
  <c r="J6" i="5"/>
  <c r="B68" i="9"/>
  <c r="B129" i="9"/>
  <c r="H89" i="8"/>
  <c r="H146" i="8"/>
  <c r="J42" i="7"/>
  <c r="I33" i="8"/>
  <c r="I45" i="7"/>
  <c r="I48" i="7" s="1"/>
  <c r="L36" i="7"/>
  <c r="K29" i="7"/>
  <c r="J101" i="8" l="1"/>
  <c r="L137" i="8"/>
  <c r="J9" i="5"/>
  <c r="J11" i="5" s="1"/>
  <c r="K59" i="8"/>
  <c r="L59" i="7"/>
  <c r="L73" i="7"/>
  <c r="I54" i="2"/>
  <c r="I80" i="7"/>
  <c r="H50" i="2"/>
  <c r="H49" i="2"/>
  <c r="H5" i="9" s="1"/>
  <c r="L30" i="7"/>
  <c r="K24" i="7"/>
  <c r="K83" i="7" s="1"/>
  <c r="B11" i="15"/>
  <c r="B10" i="15"/>
  <c r="B7" i="15"/>
  <c r="B6" i="15"/>
  <c r="F76" i="9"/>
  <c r="F91" i="9" s="1"/>
  <c r="F102" i="9" s="1"/>
  <c r="D56" i="26"/>
  <c r="D87" i="26"/>
  <c r="J23" i="7"/>
  <c r="J56" i="7" s="1"/>
  <c r="K37" i="2"/>
  <c r="K48" i="2" s="1"/>
  <c r="L71" i="7"/>
  <c r="I86" i="7"/>
  <c r="I92" i="7" s="1"/>
  <c r="I95" i="7" s="1"/>
  <c r="L55" i="8"/>
  <c r="L70" i="7"/>
  <c r="E133" i="9"/>
  <c r="F110" i="9"/>
  <c r="F121" i="9" s="1"/>
  <c r="F130" i="9" s="1"/>
  <c r="D66" i="9"/>
  <c r="D113" i="9" s="1"/>
  <c r="D120" i="9" s="1"/>
  <c r="K36" i="2"/>
  <c r="K47" i="2" s="1"/>
  <c r="D112" i="9"/>
  <c r="D123" i="9" s="1"/>
  <c r="D132" i="9" s="1"/>
  <c r="L24" i="7"/>
  <c r="K41" i="2"/>
  <c r="K52" i="2" s="1"/>
  <c r="K142" i="8"/>
  <c r="J142" i="8"/>
  <c r="F77" i="9"/>
  <c r="F88" i="9" s="1"/>
  <c r="F99" i="9" s="1"/>
  <c r="K40" i="2"/>
  <c r="K51" i="2" s="1"/>
  <c r="L74" i="7"/>
  <c r="F109" i="9"/>
  <c r="F124" i="9" s="1"/>
  <c r="F133" i="9" s="1"/>
  <c r="C89" i="26"/>
  <c r="H6" i="9"/>
  <c r="H3" i="9"/>
  <c r="H7" i="9"/>
  <c r="H4" i="9"/>
  <c r="H8" i="9"/>
  <c r="H62" i="9" s="1"/>
  <c r="G61" i="2"/>
  <c r="G106" i="9" s="1"/>
  <c r="G58" i="2"/>
  <c r="G73" i="9" s="1"/>
  <c r="G62" i="9"/>
  <c r="F78" i="9"/>
  <c r="F89" i="9" s="1"/>
  <c r="F100" i="9" s="1"/>
  <c r="F111" i="9"/>
  <c r="F122" i="9" s="1"/>
  <c r="F131" i="9" s="1"/>
  <c r="E79" i="9"/>
  <c r="E90" i="9" s="1"/>
  <c r="E101" i="9" s="1"/>
  <c r="E112" i="9"/>
  <c r="E123" i="9" s="1"/>
  <c r="E132" i="9" s="1"/>
  <c r="B82" i="9"/>
  <c r="B86" i="9" s="1"/>
  <c r="B97" i="9" s="1"/>
  <c r="B115" i="9"/>
  <c r="B119" i="9" s="1"/>
  <c r="B30" i="8" s="1"/>
  <c r="F65" i="9"/>
  <c r="F112" i="9" s="1"/>
  <c r="E66" i="9"/>
  <c r="E113" i="9" s="1"/>
  <c r="L39" i="2"/>
  <c r="I55" i="7"/>
  <c r="K99" i="8"/>
  <c r="K6" i="5"/>
  <c r="B127" i="9"/>
  <c r="I89" i="8"/>
  <c r="I146" i="8"/>
  <c r="K42" i="7"/>
  <c r="B21" i="15" s="1"/>
  <c r="J33" i="8"/>
  <c r="J45" i="7"/>
  <c r="J48" i="7" s="1"/>
  <c r="L29" i="7"/>
  <c r="K9" i="5" l="1"/>
  <c r="K11" i="5" s="1"/>
  <c r="K101" i="8"/>
  <c r="L59" i="8"/>
  <c r="J54" i="2"/>
  <c r="J80" i="7"/>
  <c r="I50" i="2"/>
  <c r="I6" i="9" s="1"/>
  <c r="I49" i="2"/>
  <c r="I5" i="9" s="1"/>
  <c r="K78" i="7"/>
  <c r="C58" i="26"/>
  <c r="C19" i="26"/>
  <c r="D88" i="26"/>
  <c r="K23" i="7"/>
  <c r="L36" i="2"/>
  <c r="L47" i="2" s="1"/>
  <c r="L37" i="2"/>
  <c r="L48" i="2" s="1"/>
  <c r="L78" i="7"/>
  <c r="L83" i="7"/>
  <c r="L23" i="7" s="1"/>
  <c r="L56" i="7" s="1"/>
  <c r="J86" i="7"/>
  <c r="J92" i="7" s="1"/>
  <c r="J95" i="7" s="1"/>
  <c r="C59" i="26" s="1"/>
  <c r="D80" i="9"/>
  <c r="D87" i="9" s="1"/>
  <c r="D98" i="9" s="1"/>
  <c r="L41" i="2"/>
  <c r="L52" i="2" s="1"/>
  <c r="L85" i="8"/>
  <c r="K85" i="8"/>
  <c r="L40" i="2"/>
  <c r="L51" i="2" s="1"/>
  <c r="H63" i="9"/>
  <c r="H64" i="9" s="1"/>
  <c r="G109" i="9"/>
  <c r="G124" i="9" s="1"/>
  <c r="G133" i="9" s="1"/>
  <c r="G76" i="9"/>
  <c r="G91" i="9" s="1"/>
  <c r="G102" i="9" s="1"/>
  <c r="H58" i="2"/>
  <c r="H73" i="9" s="1"/>
  <c r="H61" i="2"/>
  <c r="H106" i="9" s="1"/>
  <c r="H109" i="9" s="1"/>
  <c r="H124" i="9" s="1"/>
  <c r="H133" i="9" s="1"/>
  <c r="C90" i="26"/>
  <c r="I3" i="9"/>
  <c r="I7" i="9"/>
  <c r="I4" i="9"/>
  <c r="I8" i="9"/>
  <c r="I62" i="9" s="1"/>
  <c r="G63" i="9"/>
  <c r="D129" i="9"/>
  <c r="E120" i="9"/>
  <c r="E129" i="9" s="1"/>
  <c r="E80" i="9"/>
  <c r="E87" i="9" s="1"/>
  <c r="E98" i="9" s="1"/>
  <c r="F123" i="9"/>
  <c r="F132" i="9" s="1"/>
  <c r="F79" i="9"/>
  <c r="F90" i="9" s="1"/>
  <c r="F101" i="9" s="1"/>
  <c r="F66" i="9"/>
  <c r="B170" i="9"/>
  <c r="B171" i="9"/>
  <c r="J55" i="7"/>
  <c r="L99" i="8"/>
  <c r="L6" i="5"/>
  <c r="B164" i="9"/>
  <c r="B166" i="9" s="1"/>
  <c r="B167" i="9" s="1"/>
  <c r="B111" i="8" s="1"/>
  <c r="B128" i="9"/>
  <c r="B31" i="8" s="1"/>
  <c r="B2" i="6"/>
  <c r="B3" i="6" s="1"/>
  <c r="B6" i="6" s="1"/>
  <c r="J89" i="8"/>
  <c r="J146" i="8"/>
  <c r="L42" i="7"/>
  <c r="K33" i="8"/>
  <c r="K45" i="7"/>
  <c r="K48" i="7" s="1"/>
  <c r="L101" i="8" l="1"/>
  <c r="C18" i="26"/>
  <c r="D18" i="26" s="1"/>
  <c r="B160" i="11"/>
  <c r="L6" i="6" s="1"/>
  <c r="C6" i="6" s="1"/>
  <c r="B36" i="8"/>
  <c r="B35" i="8"/>
  <c r="L9" i="5"/>
  <c r="L11" i="5" s="1"/>
  <c r="L54" i="2"/>
  <c r="L80" i="7"/>
  <c r="J50" i="2"/>
  <c r="J6" i="9" s="1"/>
  <c r="J49" i="2"/>
  <c r="J5" i="9" s="1"/>
  <c r="B22" i="15"/>
  <c r="K56" i="7"/>
  <c r="D58" i="26"/>
  <c r="D57" i="26"/>
  <c r="D89" i="26"/>
  <c r="H76" i="9"/>
  <c r="H91" i="9" s="1"/>
  <c r="H102" i="9" s="1"/>
  <c r="L86" i="7"/>
  <c r="L92" i="7" s="1"/>
  <c r="L95" i="7" s="1"/>
  <c r="C61" i="26" s="1"/>
  <c r="K86" i="7"/>
  <c r="K92" i="7" s="1"/>
  <c r="K95" i="7" s="1"/>
  <c r="C60" i="26" s="1"/>
  <c r="D60" i="26" s="1"/>
  <c r="L142" i="8"/>
  <c r="H111" i="9"/>
  <c r="H122" i="9" s="1"/>
  <c r="H131" i="9" s="1"/>
  <c r="I63" i="9"/>
  <c r="I64" i="9" s="1"/>
  <c r="H77" i="9"/>
  <c r="H88" i="9" s="1"/>
  <c r="H99" i="9" s="1"/>
  <c r="G110" i="9"/>
  <c r="G121" i="9" s="1"/>
  <c r="G77" i="9"/>
  <c r="G88" i="9" s="1"/>
  <c r="G99" i="9" s="1"/>
  <c r="G64" i="9"/>
  <c r="H110" i="9"/>
  <c r="H121" i="9" s="1"/>
  <c r="H130" i="9" s="1"/>
  <c r="C91" i="26"/>
  <c r="J4" i="9"/>
  <c r="J8" i="9"/>
  <c r="J62" i="9" s="1"/>
  <c r="J7" i="9"/>
  <c r="J3" i="9"/>
  <c r="I58" i="2"/>
  <c r="I73" i="9" s="1"/>
  <c r="I61" i="2"/>
  <c r="I106" i="9" s="1"/>
  <c r="F80" i="9"/>
  <c r="F87" i="9" s="1"/>
  <c r="F98" i="9" s="1"/>
  <c r="F113" i="9"/>
  <c r="F120" i="9" s="1"/>
  <c r="F129" i="9" s="1"/>
  <c r="H78" i="9"/>
  <c r="H89" i="9" s="1"/>
  <c r="H100" i="9" s="1"/>
  <c r="H65" i="9"/>
  <c r="H112" i="9" s="1"/>
  <c r="K55" i="7"/>
  <c r="B144" i="8"/>
  <c r="B87" i="8"/>
  <c r="B143" i="8"/>
  <c r="B148" i="8" s="1"/>
  <c r="B86" i="8"/>
  <c r="K89" i="8"/>
  <c r="K146" i="8"/>
  <c r="L33" i="8"/>
  <c r="L45" i="7"/>
  <c r="L48" i="7" s="1"/>
  <c r="D6" i="6" l="1"/>
  <c r="D7" i="6" s="1"/>
  <c r="C7" i="6"/>
  <c r="B104" i="8"/>
  <c r="B91" i="8"/>
  <c r="K54" i="2"/>
  <c r="K80" i="7"/>
  <c r="K49" i="2"/>
  <c r="K5" i="9" s="1"/>
  <c r="K50" i="2"/>
  <c r="K6" i="9" s="1"/>
  <c r="D61" i="26"/>
  <c r="A107" i="26"/>
  <c r="D59" i="26"/>
  <c r="B107" i="26"/>
  <c r="I16" i="15"/>
  <c r="D90" i="26"/>
  <c r="I76" i="9"/>
  <c r="I91" i="9" s="1"/>
  <c r="I102" i="9" s="1"/>
  <c r="I110" i="9"/>
  <c r="I121" i="9" s="1"/>
  <c r="I130" i="9" s="1"/>
  <c r="G130" i="9"/>
  <c r="I77" i="9"/>
  <c r="I88" i="9" s="1"/>
  <c r="I99" i="9" s="1"/>
  <c r="J63" i="9"/>
  <c r="J64" i="9" s="1"/>
  <c r="G111" i="9"/>
  <c r="G122" i="9" s="1"/>
  <c r="G65" i="9"/>
  <c r="G78" i="9"/>
  <c r="G89" i="9" s="1"/>
  <c r="G100" i="9" s="1"/>
  <c r="I109" i="9"/>
  <c r="I124" i="9" s="1"/>
  <c r="C92" i="26"/>
  <c r="K3" i="9"/>
  <c r="K7" i="9"/>
  <c r="K4" i="9"/>
  <c r="K8" i="9"/>
  <c r="K62" i="9" s="1"/>
  <c r="J58" i="2"/>
  <c r="J73" i="9" s="1"/>
  <c r="J61" i="2"/>
  <c r="J106" i="9" s="1"/>
  <c r="I78" i="9"/>
  <c r="I89" i="9" s="1"/>
  <c r="I100" i="9" s="1"/>
  <c r="I111" i="9"/>
  <c r="I122" i="9" s="1"/>
  <c r="I131" i="9" s="1"/>
  <c r="H79" i="9"/>
  <c r="H90" i="9" s="1"/>
  <c r="H101" i="9" s="1"/>
  <c r="I65" i="9"/>
  <c r="I112" i="9" s="1"/>
  <c r="H123" i="9"/>
  <c r="H132" i="9" s="1"/>
  <c r="H66" i="9"/>
  <c r="H113" i="9" s="1"/>
  <c r="L55" i="7"/>
  <c r="L89" i="8"/>
  <c r="L146" i="8"/>
  <c r="E6" i="6" l="1"/>
  <c r="E7" i="6" s="1"/>
  <c r="B105" i="8"/>
  <c r="C105" i="8" s="1"/>
  <c r="A119" i="26"/>
  <c r="L49" i="2"/>
  <c r="L5" i="9" s="1"/>
  <c r="L50" i="2"/>
  <c r="L6" i="9" s="1"/>
  <c r="A117" i="26"/>
  <c r="D91" i="26"/>
  <c r="J76" i="9"/>
  <c r="J91" i="9" s="1"/>
  <c r="J102" i="9" s="1"/>
  <c r="C20" i="26"/>
  <c r="B94" i="8"/>
  <c r="B100" i="8" s="1"/>
  <c r="B117" i="8" s="1"/>
  <c r="I133" i="9"/>
  <c r="G131" i="9"/>
  <c r="J110" i="9"/>
  <c r="J121" i="9" s="1"/>
  <c r="J130" i="9" s="1"/>
  <c r="J77" i="9"/>
  <c r="J88" i="9" s="1"/>
  <c r="J99" i="9" s="1"/>
  <c r="J111" i="9"/>
  <c r="J122" i="9" s="1"/>
  <c r="J131" i="9" s="1"/>
  <c r="K63" i="9"/>
  <c r="K64" i="9" s="1"/>
  <c r="J109" i="9"/>
  <c r="J124" i="9" s="1"/>
  <c r="J133" i="9" s="1"/>
  <c r="C93" i="26"/>
  <c r="D93" i="26" s="1"/>
  <c r="L3" i="9"/>
  <c r="L7" i="9"/>
  <c r="L4" i="9"/>
  <c r="L8" i="9"/>
  <c r="L62" i="9" s="1"/>
  <c r="K58" i="2"/>
  <c r="K73" i="9" s="1"/>
  <c r="K76" i="9" s="1"/>
  <c r="K91" i="9" s="1"/>
  <c r="K102" i="9" s="1"/>
  <c r="K61" i="2"/>
  <c r="K106" i="9" s="1"/>
  <c r="G112" i="9"/>
  <c r="G123" i="9" s="1"/>
  <c r="G79" i="9"/>
  <c r="G90" i="9" s="1"/>
  <c r="G101" i="9" s="1"/>
  <c r="G66" i="9"/>
  <c r="D165" i="9"/>
  <c r="I66" i="9"/>
  <c r="I113" i="9" s="1"/>
  <c r="I120" i="9" s="1"/>
  <c r="I129" i="9" s="1"/>
  <c r="J78" i="9"/>
  <c r="J89" i="9" s="1"/>
  <c r="J100" i="9" s="1"/>
  <c r="H80" i="9"/>
  <c r="H87" i="9" s="1"/>
  <c r="H98" i="9" s="1"/>
  <c r="I123" i="9"/>
  <c r="I132" i="9" s="1"/>
  <c r="I79" i="9"/>
  <c r="I90" i="9" s="1"/>
  <c r="I101" i="9" s="1"/>
  <c r="H120" i="9"/>
  <c r="H129" i="9" s="1"/>
  <c r="J65" i="9"/>
  <c r="J112" i="9" s="1"/>
  <c r="F6" i="6" l="1"/>
  <c r="F7" i="6"/>
  <c r="C109" i="8"/>
  <c r="C107" i="8"/>
  <c r="C101" i="7"/>
  <c r="D105" i="8"/>
  <c r="B138" i="9"/>
  <c r="B139" i="9" s="1"/>
  <c r="B140" i="9" s="1"/>
  <c r="B141" i="9" s="1"/>
  <c r="B142" i="9" s="1"/>
  <c r="B143" i="9" s="1"/>
  <c r="B144" i="9" s="1"/>
  <c r="B145" i="9" s="1"/>
  <c r="B146" i="9" s="1"/>
  <c r="B147" i="9" s="1"/>
  <c r="B148" i="9" s="1"/>
  <c r="B149" i="9" s="1"/>
  <c r="B150" i="9" s="1"/>
  <c r="D92" i="26"/>
  <c r="D19" i="26"/>
  <c r="D20" i="26"/>
  <c r="B3" i="5"/>
  <c r="B5" i="5"/>
  <c r="B4" i="5"/>
  <c r="G132" i="9"/>
  <c r="K110" i="9"/>
  <c r="K121" i="9" s="1"/>
  <c r="K130" i="9" s="1"/>
  <c r="L63" i="9"/>
  <c r="L64" i="9" s="1"/>
  <c r="K77" i="9"/>
  <c r="K88" i="9" s="1"/>
  <c r="K99" i="9" s="1"/>
  <c r="K111" i="9"/>
  <c r="K122" i="9" s="1"/>
  <c r="K131" i="9" s="1"/>
  <c r="G113" i="9"/>
  <c r="G120" i="9" s="1"/>
  <c r="G80" i="9"/>
  <c r="G87" i="9" s="1"/>
  <c r="G98" i="9" s="1"/>
  <c r="K109" i="9"/>
  <c r="K124" i="9" s="1"/>
  <c r="K133" i="9" s="1"/>
  <c r="L58" i="2"/>
  <c r="L73" i="9" s="1"/>
  <c r="L76" i="9" s="1"/>
  <c r="L91" i="9" s="1"/>
  <c r="L102" i="9" s="1"/>
  <c r="L61" i="2"/>
  <c r="L106" i="9" s="1"/>
  <c r="L109" i="9" s="1"/>
  <c r="L124" i="9" s="1"/>
  <c r="L133" i="9" s="1"/>
  <c r="E165" i="9"/>
  <c r="I80" i="9"/>
  <c r="I87" i="9" s="1"/>
  <c r="I98" i="9" s="1"/>
  <c r="K78" i="9"/>
  <c r="K89" i="9" s="1"/>
  <c r="K100" i="9" s="1"/>
  <c r="J123" i="9"/>
  <c r="J132" i="9" s="1"/>
  <c r="J79" i="9"/>
  <c r="J90" i="9" s="1"/>
  <c r="J101" i="9" s="1"/>
  <c r="J66" i="9"/>
  <c r="K65" i="9"/>
  <c r="K112" i="9" s="1"/>
  <c r="G6" i="6" l="1"/>
  <c r="G7" i="6"/>
  <c r="D109" i="8"/>
  <c r="D107" i="8"/>
  <c r="E105" i="8"/>
  <c r="D148" i="9"/>
  <c r="D142" i="9"/>
  <c r="D143" i="9"/>
  <c r="D137" i="9"/>
  <c r="D146" i="9"/>
  <c r="D139" i="9"/>
  <c r="D150" i="9"/>
  <c r="D138" i="9"/>
  <c r="D149" i="9"/>
  <c r="D140" i="9"/>
  <c r="D145" i="9"/>
  <c r="D144" i="9"/>
  <c r="D141" i="9"/>
  <c r="D147" i="9"/>
  <c r="B159" i="9"/>
  <c r="C22" i="26"/>
  <c r="B7" i="5"/>
  <c r="B12" i="5" s="1"/>
  <c r="B16" i="5" s="1"/>
  <c r="C4" i="26"/>
  <c r="F165" i="9"/>
  <c r="G129" i="9"/>
  <c r="L77" i="9"/>
  <c r="L88" i="9" s="1"/>
  <c r="L99" i="9" s="1"/>
  <c r="L111" i="9"/>
  <c r="L122" i="9" s="1"/>
  <c r="L110" i="9"/>
  <c r="L121" i="9" s="1"/>
  <c r="L130" i="9" s="1"/>
  <c r="G165" i="9"/>
  <c r="J80" i="9"/>
  <c r="J87" i="9" s="1"/>
  <c r="J98" i="9" s="1"/>
  <c r="J113" i="9"/>
  <c r="J120" i="9" s="1"/>
  <c r="J129" i="9" s="1"/>
  <c r="L78" i="9"/>
  <c r="L89" i="9" s="1"/>
  <c r="L100" i="9" s="1"/>
  <c r="K79" i="9"/>
  <c r="K90" i="9" s="1"/>
  <c r="K101" i="9" s="1"/>
  <c r="L65" i="9"/>
  <c r="K66" i="9"/>
  <c r="K113" i="9" s="1"/>
  <c r="K123" i="9"/>
  <c r="K132" i="9" s="1"/>
  <c r="B149" i="8"/>
  <c r="B150" i="8" s="1"/>
  <c r="C34" i="26" s="1"/>
  <c r="H6" i="6" l="1"/>
  <c r="H7" i="6"/>
  <c r="B17" i="5"/>
  <c r="E109" i="8"/>
  <c r="E107" i="8"/>
  <c r="C3" i="26"/>
  <c r="D3" i="26" s="1"/>
  <c r="B162" i="11"/>
  <c r="L16" i="5" s="1"/>
  <c r="F105" i="8"/>
  <c r="B156" i="9"/>
  <c r="B69" i="26" s="1"/>
  <c r="C35" i="26"/>
  <c r="H165" i="9"/>
  <c r="I165" i="9" s="1"/>
  <c r="L79" i="9"/>
  <c r="L90" i="9" s="1"/>
  <c r="L101" i="9" s="1"/>
  <c r="L112" i="9"/>
  <c r="L123" i="9" s="1"/>
  <c r="L132" i="9" s="1"/>
  <c r="K120" i="9"/>
  <c r="K129" i="9" s="1"/>
  <c r="K80" i="9"/>
  <c r="K87" i="9" s="1"/>
  <c r="K98" i="9" s="1"/>
  <c r="L66" i="9"/>
  <c r="L113" i="9" s="1"/>
  <c r="L131" i="9"/>
  <c r="B157" i="9"/>
  <c r="B70" i="26" s="1"/>
  <c r="I6" i="6" l="1"/>
  <c r="I7" i="6"/>
  <c r="C16" i="5"/>
  <c r="F109" i="8"/>
  <c r="F107" i="8"/>
  <c r="G105" i="8"/>
  <c r="B158" i="9"/>
  <c r="B71" i="26" s="1"/>
  <c r="D35" i="26"/>
  <c r="D34" i="26"/>
  <c r="J165" i="9"/>
  <c r="K165" i="9" s="1"/>
  <c r="L165" i="9" s="1"/>
  <c r="L120" i="9"/>
  <c r="L129" i="9" s="1"/>
  <c r="L80" i="9"/>
  <c r="L87" i="9" s="1"/>
  <c r="L98" i="9" s="1"/>
  <c r="J6" i="6" l="1"/>
  <c r="J7" i="6"/>
  <c r="C17" i="5"/>
  <c r="D16" i="5"/>
  <c r="G107" i="8"/>
  <c r="G109" i="8"/>
  <c r="H105" i="8"/>
  <c r="I4" i="15"/>
  <c r="C5" i="26"/>
  <c r="B155" i="9"/>
  <c r="B68" i="26" s="1"/>
  <c r="C23" i="26"/>
  <c r="A27" i="15"/>
  <c r="K6" i="6" l="1"/>
  <c r="L7" i="6" s="1"/>
  <c r="E16" i="5"/>
  <c r="E17" i="5"/>
  <c r="D17" i="5"/>
  <c r="H109" i="8"/>
  <c r="H107" i="8"/>
  <c r="I105" i="8"/>
  <c r="D4" i="26"/>
  <c r="D22" i="26"/>
  <c r="D23" i="26"/>
  <c r="C6" i="26"/>
  <c r="B153" i="9"/>
  <c r="B66" i="26" s="1"/>
  <c r="K7" i="6" l="1"/>
  <c r="F16" i="5"/>
  <c r="F17" i="5"/>
  <c r="I107" i="8"/>
  <c r="I109" i="8"/>
  <c r="J105" i="8"/>
  <c r="B154" i="9"/>
  <c r="B67" i="26" s="1"/>
  <c r="C26" i="26"/>
  <c r="C7" i="26"/>
  <c r="F4" i="15" s="1"/>
  <c r="D5" i="26"/>
  <c r="G16" i="5" l="1"/>
  <c r="G17" i="5"/>
  <c r="J107" i="8"/>
  <c r="J109" i="8"/>
  <c r="K105" i="8"/>
  <c r="A26" i="15"/>
  <c r="D26" i="26"/>
  <c r="D6" i="26"/>
  <c r="H16" i="5" l="1"/>
  <c r="H17" i="5" s="1"/>
  <c r="K109" i="8"/>
  <c r="K107" i="8"/>
  <c r="L105" i="8"/>
  <c r="C28" i="26"/>
  <c r="C41" i="26"/>
  <c r="I16" i="5" l="1"/>
  <c r="I17" i="5"/>
  <c r="L107" i="8"/>
  <c r="L109" i="8"/>
  <c r="D28" i="26"/>
  <c r="A103" i="26"/>
  <c r="B103" i="26"/>
  <c r="D41" i="26"/>
  <c r="C10" i="26"/>
  <c r="C8" i="26"/>
  <c r="J16" i="5" l="1"/>
  <c r="J17" i="5" s="1"/>
  <c r="A105" i="26"/>
  <c r="B105" i="26"/>
  <c r="C11" i="26"/>
  <c r="D8" i="26"/>
  <c r="D7" i="26"/>
  <c r="K16" i="5" l="1"/>
  <c r="L17" i="5" s="1"/>
  <c r="K17" i="5"/>
  <c r="C12" i="26"/>
  <c r="D12" i="26" s="1"/>
  <c r="D10" i="26"/>
  <c r="A101" i="26" l="1"/>
  <c r="B101" i="26"/>
  <c r="D11" i="26"/>
  <c r="C13" i="26" l="1"/>
  <c r="D13" i="26" s="1"/>
  <c r="C43" i="26"/>
  <c r="D43" i="26" s="1"/>
  <c r="C9" i="26"/>
  <c r="D9" i="26" s="1"/>
  <c r="C44" i="26"/>
  <c r="D44" i="26" s="1"/>
  <c r="C27" i="26"/>
  <c r="D27" i="26" s="1"/>
  <c r="C40" i="26"/>
  <c r="D40" i="26" s="1"/>
  <c r="C42" i="26"/>
  <c r="D42" i="26" s="1"/>
  <c r="C39" i="26"/>
  <c r="D39" i="26" s="1"/>
  <c r="C25" i="26"/>
  <c r="D25" i="26" s="1"/>
  <c r="C38" i="26"/>
  <c r="D38" i="26" s="1"/>
  <c r="C24" i="26"/>
  <c r="D24" i="26" s="1"/>
  <c r="C36" i="26"/>
  <c r="D36" i="26" s="1"/>
  <c r="C37" i="26"/>
  <c r="D37" i="26" s="1"/>
  <c r="C21" i="26"/>
  <c r="D21" i="26" s="1"/>
  <c r="C84" i="26"/>
  <c r="D84" i="26" s="1"/>
  <c r="D83" i="26" l="1"/>
  <c r="C69" i="7" l="1"/>
  <c r="C89" i="7" s="1"/>
  <c r="D69" i="7"/>
  <c r="D89" i="7" s="1"/>
  <c r="E35" i="2"/>
  <c r="E46" i="2" s="1"/>
  <c r="E2" i="9" s="1"/>
  <c r="E67" i="9" s="1"/>
  <c r="C35" i="2"/>
  <c r="C46" i="2" s="1"/>
  <c r="C2" i="9" s="1"/>
  <c r="C67" i="9" s="1"/>
  <c r="F35" i="2" l="1"/>
  <c r="F46" i="2" s="1"/>
  <c r="F2" i="9" s="1"/>
  <c r="F67" i="9" s="1"/>
  <c r="F68" i="9" s="1"/>
  <c r="C68" i="9"/>
  <c r="C114" i="9"/>
  <c r="C118" i="9" s="1"/>
  <c r="C81" i="9"/>
  <c r="C85" i="9" s="1"/>
  <c r="C96" i="9" s="1"/>
  <c r="E114" i="9"/>
  <c r="E118" i="9" s="1"/>
  <c r="E81" i="9"/>
  <c r="E85" i="9" s="1"/>
  <c r="E96" i="9" s="1"/>
  <c r="E68" i="9"/>
  <c r="D35" i="2"/>
  <c r="D46" i="2" s="1"/>
  <c r="D2" i="9" s="1"/>
  <c r="D67" i="9" s="1"/>
  <c r="E69" i="7"/>
  <c r="E89" i="7" s="1"/>
  <c r="F69" i="7"/>
  <c r="F89" i="7" s="1"/>
  <c r="F81" i="9" l="1"/>
  <c r="F85" i="9" s="1"/>
  <c r="F96" i="9" s="1"/>
  <c r="F114" i="9"/>
  <c r="F118" i="9" s="1"/>
  <c r="E127" i="9"/>
  <c r="D81" i="9"/>
  <c r="D85" i="9" s="1"/>
  <c r="D96" i="9" s="1"/>
  <c r="D114" i="9"/>
  <c r="D118" i="9" s="1"/>
  <c r="D68" i="9"/>
  <c r="C127" i="9"/>
  <c r="G35" i="2"/>
  <c r="G46" i="2" s="1"/>
  <c r="G2" i="9" s="1"/>
  <c r="G67" i="9" s="1"/>
  <c r="G69" i="7"/>
  <c r="G89" i="7" s="1"/>
  <c r="E115" i="9"/>
  <c r="E119" i="9" s="1"/>
  <c r="E128" i="9" s="1"/>
  <c r="E82" i="9"/>
  <c r="F82" i="9"/>
  <c r="F115" i="9"/>
  <c r="F119" i="9" s="1"/>
  <c r="F128" i="9" s="1"/>
  <c r="C115" i="9"/>
  <c r="C119" i="9" s="1"/>
  <c r="C128" i="9" s="1"/>
  <c r="C82" i="9"/>
  <c r="F30" i="8" l="1"/>
  <c r="F143" i="8" s="1"/>
  <c r="E31" i="8"/>
  <c r="C30" i="8"/>
  <c r="C31" i="8"/>
  <c r="F127" i="9"/>
  <c r="F31" i="8" s="1"/>
  <c r="F35" i="8" s="1"/>
  <c r="E30" i="8"/>
  <c r="F2" i="6"/>
  <c r="F3" i="6" s="1"/>
  <c r="F16" i="15" s="1"/>
  <c r="C171" i="9"/>
  <c r="C86" i="9"/>
  <c r="C97" i="9" s="1"/>
  <c r="E86" i="9"/>
  <c r="E97" i="9" s="1"/>
  <c r="E171" i="9"/>
  <c r="D115" i="9"/>
  <c r="D119" i="9" s="1"/>
  <c r="D128" i="9" s="1"/>
  <c r="D82" i="9"/>
  <c r="C164" i="9"/>
  <c r="C166" i="9" s="1"/>
  <c r="C167" i="9" s="1"/>
  <c r="C111" i="8" s="1"/>
  <c r="D127" i="9"/>
  <c r="F164" i="9"/>
  <c r="F166" i="9" s="1"/>
  <c r="F167" i="9" s="1"/>
  <c r="F111" i="8" s="1"/>
  <c r="E164" i="9"/>
  <c r="E166" i="9" s="1"/>
  <c r="E167" i="9" s="1"/>
  <c r="E111" i="8" s="1"/>
  <c r="G68" i="9"/>
  <c r="G81" i="9"/>
  <c r="G85" i="9" s="1"/>
  <c r="G96" i="9" s="1"/>
  <c r="G114" i="9"/>
  <c r="G118" i="9" s="1"/>
  <c r="E2" i="6"/>
  <c r="C170" i="9"/>
  <c r="F86" i="9"/>
  <c r="F97" i="9" s="1"/>
  <c r="F171" i="9"/>
  <c r="H69" i="7"/>
  <c r="H89" i="7" s="1"/>
  <c r="H35" i="2"/>
  <c r="H46" i="2" s="1"/>
  <c r="H2" i="9" s="1"/>
  <c r="H67" i="9" s="1"/>
  <c r="C2" i="6"/>
  <c r="F170" i="9"/>
  <c r="E170" i="9"/>
  <c r="F86" i="8" l="1"/>
  <c r="D31" i="8"/>
  <c r="C144" i="8"/>
  <c r="C87" i="8"/>
  <c r="F36" i="8"/>
  <c r="C36" i="8"/>
  <c r="C143" i="8"/>
  <c r="C148" i="8" s="1"/>
  <c r="C104" i="8" s="1"/>
  <c r="C86" i="8"/>
  <c r="C35" i="8"/>
  <c r="E36" i="8"/>
  <c r="E143" i="8"/>
  <c r="E148" i="8" s="1"/>
  <c r="E104" i="8" s="1"/>
  <c r="E86" i="8"/>
  <c r="E35" i="8"/>
  <c r="D30" i="8"/>
  <c r="F144" i="8"/>
  <c r="F148" i="8" s="1"/>
  <c r="F104" i="8" s="1"/>
  <c r="F87" i="8"/>
  <c r="F91" i="8" s="1"/>
  <c r="E144" i="8"/>
  <c r="E87" i="8"/>
  <c r="D170" i="9"/>
  <c r="D2" i="6"/>
  <c r="D113" i="8" s="1"/>
  <c r="G115" i="9"/>
  <c r="G119" i="9" s="1"/>
  <c r="G128" i="9" s="1"/>
  <c r="G82" i="9"/>
  <c r="D86" i="9"/>
  <c r="D97" i="9" s="1"/>
  <c r="D171" i="9"/>
  <c r="E3" i="6"/>
  <c r="F113" i="8"/>
  <c r="I69" i="7"/>
  <c r="I89" i="7" s="1"/>
  <c r="I35" i="2"/>
  <c r="I46" i="2" s="1"/>
  <c r="I2" i="9" s="1"/>
  <c r="I67" i="9" s="1"/>
  <c r="C113" i="8"/>
  <c r="C3" i="6"/>
  <c r="G127" i="9"/>
  <c r="H114" i="9"/>
  <c r="H118" i="9" s="1"/>
  <c r="H81" i="9"/>
  <c r="H85" i="9" s="1"/>
  <c r="H96" i="9" s="1"/>
  <c r="H68" i="9"/>
  <c r="D164" i="9"/>
  <c r="D166" i="9" s="1"/>
  <c r="D167" i="9" s="1"/>
  <c r="D111" i="8" s="1"/>
  <c r="G31" i="8" l="1"/>
  <c r="G144" i="8" s="1"/>
  <c r="E91" i="8"/>
  <c r="E94" i="8" s="1"/>
  <c r="F94" i="8"/>
  <c r="C91" i="8"/>
  <c r="G30" i="8"/>
  <c r="D144" i="8"/>
  <c r="D87" i="8"/>
  <c r="D36" i="8"/>
  <c r="D143" i="8"/>
  <c r="D86" i="8"/>
  <c r="D35" i="8"/>
  <c r="E113" i="8"/>
  <c r="D3" i="6"/>
  <c r="G170" i="9"/>
  <c r="G2" i="6"/>
  <c r="G3" i="6" s="1"/>
  <c r="G164" i="9"/>
  <c r="G166" i="9" s="1"/>
  <c r="G167" i="9" s="1"/>
  <c r="G111" i="8" s="1"/>
  <c r="H127" i="9"/>
  <c r="I68" i="9"/>
  <c r="I81" i="9"/>
  <c r="I85" i="9" s="1"/>
  <c r="I96" i="9" s="1"/>
  <c r="I114" i="9"/>
  <c r="I118" i="9" s="1"/>
  <c r="J35" i="2"/>
  <c r="J46" i="2" s="1"/>
  <c r="J2" i="9" s="1"/>
  <c r="J67" i="9" s="1"/>
  <c r="J69" i="7"/>
  <c r="J89" i="7" s="1"/>
  <c r="G86" i="9"/>
  <c r="G97" i="9" s="1"/>
  <c r="G171" i="9"/>
  <c r="H115" i="9"/>
  <c r="H119" i="9" s="1"/>
  <c r="H128" i="9" s="1"/>
  <c r="H82" i="9"/>
  <c r="F5" i="5" l="1"/>
  <c r="F100" i="8"/>
  <c r="E3" i="5"/>
  <c r="E100" i="8"/>
  <c r="D148" i="8"/>
  <c r="D104" i="8" s="1"/>
  <c r="F3" i="5"/>
  <c r="G87" i="8"/>
  <c r="D91" i="8"/>
  <c r="D94" i="8" s="1"/>
  <c r="D100" i="8" s="1"/>
  <c r="E5" i="5"/>
  <c r="G36" i="8"/>
  <c r="G86" i="8"/>
  <c r="G143" i="8"/>
  <c r="G148" i="8" s="1"/>
  <c r="G104" i="8" s="1"/>
  <c r="G35" i="8"/>
  <c r="C94" i="8"/>
  <c r="F4" i="5"/>
  <c r="H30" i="8"/>
  <c r="H31" i="8"/>
  <c r="E4" i="5"/>
  <c r="G113" i="8"/>
  <c r="H2" i="6"/>
  <c r="K69" i="7"/>
  <c r="K89" i="7" s="1"/>
  <c r="K35" i="2"/>
  <c r="K46" i="2" s="1"/>
  <c r="K2" i="9" s="1"/>
  <c r="K67" i="9" s="1"/>
  <c r="H164" i="9"/>
  <c r="H166" i="9" s="1"/>
  <c r="H167" i="9" s="1"/>
  <c r="H111" i="8" s="1"/>
  <c r="I127" i="9"/>
  <c r="H170" i="9"/>
  <c r="H86" i="9"/>
  <c r="H97" i="9" s="1"/>
  <c r="H171" i="9"/>
  <c r="J114" i="9"/>
  <c r="J118" i="9" s="1"/>
  <c r="J68" i="9"/>
  <c r="J81" i="9"/>
  <c r="J85" i="9" s="1"/>
  <c r="J96" i="9" s="1"/>
  <c r="I115" i="9"/>
  <c r="I119" i="9" s="1"/>
  <c r="I128" i="9" s="1"/>
  <c r="I82" i="9"/>
  <c r="C4" i="5" l="1"/>
  <c r="C100" i="8"/>
  <c r="F7" i="5"/>
  <c r="F12" i="5" s="1"/>
  <c r="F108" i="8" s="1"/>
  <c r="C5" i="5"/>
  <c r="E7" i="5"/>
  <c r="E12" i="5" s="1"/>
  <c r="E108" i="8" s="1"/>
  <c r="G91" i="8"/>
  <c r="G94" i="8" s="1"/>
  <c r="G100" i="8" s="1"/>
  <c r="D5" i="5"/>
  <c r="D3" i="5"/>
  <c r="I31" i="8"/>
  <c r="D4" i="5"/>
  <c r="H144" i="8"/>
  <c r="H87" i="8"/>
  <c r="I30" i="8"/>
  <c r="F114" i="8"/>
  <c r="H36" i="8"/>
  <c r="H86" i="8"/>
  <c r="H143" i="8"/>
  <c r="H148" i="8" s="1"/>
  <c r="H104" i="8" s="1"/>
  <c r="H35" i="8"/>
  <c r="C3" i="5"/>
  <c r="C7" i="5" s="1"/>
  <c r="C12" i="5" s="1"/>
  <c r="L69" i="7"/>
  <c r="L89" i="7" s="1"/>
  <c r="L35" i="2"/>
  <c r="L46" i="2" s="1"/>
  <c r="L2" i="9" s="1"/>
  <c r="L67" i="9" s="1"/>
  <c r="I164" i="9"/>
  <c r="I166" i="9" s="1"/>
  <c r="I167" i="9" s="1"/>
  <c r="I111" i="8" s="1"/>
  <c r="I2" i="6"/>
  <c r="K81" i="9"/>
  <c r="K85" i="9" s="1"/>
  <c r="K96" i="9" s="1"/>
  <c r="K114" i="9"/>
  <c r="K118" i="9" s="1"/>
  <c r="K68" i="9"/>
  <c r="J82" i="9"/>
  <c r="J115" i="9"/>
  <c r="J119" i="9" s="1"/>
  <c r="J128" i="9" s="1"/>
  <c r="I171" i="9"/>
  <c r="I86" i="9"/>
  <c r="I97" i="9" s="1"/>
  <c r="J127" i="9"/>
  <c r="I170" i="9"/>
  <c r="H3" i="6"/>
  <c r="H113" i="8"/>
  <c r="F117" i="8" l="1"/>
  <c r="F149" i="8" s="1"/>
  <c r="F150" i="8" s="1"/>
  <c r="C114" i="8"/>
  <c r="C108" i="8"/>
  <c r="G5" i="5"/>
  <c r="J31" i="8"/>
  <c r="J87" i="8" s="1"/>
  <c r="D7" i="5"/>
  <c r="D12" i="5" s="1"/>
  <c r="G4" i="5"/>
  <c r="G3" i="5"/>
  <c r="J2" i="6"/>
  <c r="J3" i="6" s="1"/>
  <c r="H91" i="8"/>
  <c r="I87" i="8"/>
  <c r="I144" i="8"/>
  <c r="J170" i="9"/>
  <c r="J164" i="9"/>
  <c r="J166" i="9" s="1"/>
  <c r="J167" i="9" s="1"/>
  <c r="J111" i="8" s="1"/>
  <c r="J30" i="8"/>
  <c r="I36" i="8"/>
  <c r="I143" i="8"/>
  <c r="I86" i="8"/>
  <c r="I35" i="8"/>
  <c r="J86" i="9"/>
  <c r="J97" i="9" s="1"/>
  <c r="J171" i="9"/>
  <c r="K82" i="9"/>
  <c r="K115" i="9"/>
  <c r="K119" i="9" s="1"/>
  <c r="K128" i="9" s="1"/>
  <c r="K127" i="9"/>
  <c r="J113" i="8"/>
  <c r="I3" i="6"/>
  <c r="I113" i="8"/>
  <c r="L68" i="9"/>
  <c r="L81" i="9"/>
  <c r="L85" i="9" s="1"/>
  <c r="L96" i="9" s="1"/>
  <c r="L114" i="9"/>
  <c r="L118" i="9" s="1"/>
  <c r="I148" i="8" l="1"/>
  <c r="I104" i="8" s="1"/>
  <c r="C117" i="8"/>
  <c r="C149" i="8" s="1"/>
  <c r="C150" i="8" s="1"/>
  <c r="J144" i="8"/>
  <c r="D114" i="8"/>
  <c r="D108" i="8"/>
  <c r="E114" i="8"/>
  <c r="E117" i="8" s="1"/>
  <c r="E149" i="8" s="1"/>
  <c r="E150" i="8" s="1"/>
  <c r="G7" i="5"/>
  <c r="G12" i="5" s="1"/>
  <c r="I91" i="8"/>
  <c r="K31" i="8"/>
  <c r="H94" i="8"/>
  <c r="H100" i="8" s="1"/>
  <c r="J36" i="8"/>
  <c r="J143" i="8"/>
  <c r="J148" i="8" s="1"/>
  <c r="J104" i="8" s="1"/>
  <c r="J86" i="8"/>
  <c r="J35" i="8"/>
  <c r="K30" i="8"/>
  <c r="K164" i="9"/>
  <c r="K166" i="9" s="1"/>
  <c r="K167" i="9" s="1"/>
  <c r="K111" i="8" s="1"/>
  <c r="K170" i="9"/>
  <c r="L115" i="9"/>
  <c r="L119" i="9" s="1"/>
  <c r="L128" i="9" s="1"/>
  <c r="L82" i="9"/>
  <c r="L127" i="9"/>
  <c r="K2" i="6"/>
  <c r="K171" i="9"/>
  <c r="K86" i="9"/>
  <c r="K97" i="9" s="1"/>
  <c r="D117" i="8" l="1"/>
  <c r="D149" i="8" s="1"/>
  <c r="D150" i="8" s="1"/>
  <c r="G114" i="8"/>
  <c r="G108" i="8"/>
  <c r="H3" i="5"/>
  <c r="H4" i="5"/>
  <c r="L31" i="8"/>
  <c r="H5" i="5"/>
  <c r="H7" i="5" s="1"/>
  <c r="H12" i="5" s="1"/>
  <c r="H108" i="8" s="1"/>
  <c r="K36" i="8"/>
  <c r="K86" i="8"/>
  <c r="K143" i="8"/>
  <c r="K35" i="8"/>
  <c r="K144" i="8"/>
  <c r="K87" i="8"/>
  <c r="K91" i="8" s="1"/>
  <c r="L30" i="8"/>
  <c r="J91" i="8"/>
  <c r="I94" i="8"/>
  <c r="L2" i="6"/>
  <c r="L3" i="6" s="1"/>
  <c r="L164" i="9"/>
  <c r="L166" i="9" s="1"/>
  <c r="L167" i="9" s="1"/>
  <c r="L111" i="8" s="1"/>
  <c r="L170" i="9"/>
  <c r="K3" i="6"/>
  <c r="K113" i="8"/>
  <c r="L171" i="9"/>
  <c r="L86" i="9"/>
  <c r="L97" i="9" s="1"/>
  <c r="I4" i="5" l="1"/>
  <c r="I100" i="8"/>
  <c r="K148" i="8"/>
  <c r="K104" i="8" s="1"/>
  <c r="G117" i="8"/>
  <c r="G149" i="8" s="1"/>
  <c r="G150" i="8" s="1"/>
  <c r="H117" i="8"/>
  <c r="H149" i="8" s="1"/>
  <c r="H150" i="8" s="1"/>
  <c r="I5" i="5"/>
  <c r="L113" i="8"/>
  <c r="L36" i="8"/>
  <c r="L86" i="8"/>
  <c r="L143" i="8"/>
  <c r="L35" i="8"/>
  <c r="H114" i="8"/>
  <c r="I3" i="5"/>
  <c r="I7" i="5" s="1"/>
  <c r="I12" i="5" s="1"/>
  <c r="I108" i="8" s="1"/>
  <c r="K94" i="8"/>
  <c r="K100" i="8" s="1"/>
  <c r="K5" i="5"/>
  <c r="K3" i="5"/>
  <c r="J94" i="8"/>
  <c r="J100" i="8" s="1"/>
  <c r="L87" i="8"/>
  <c r="L91" i="8" s="1"/>
  <c r="L144" i="8"/>
  <c r="L148" i="8" s="1"/>
  <c r="L104" i="8" s="1"/>
  <c r="L94" i="8" l="1"/>
  <c r="L100" i="8" s="1"/>
  <c r="L5" i="5"/>
  <c r="J4" i="5"/>
  <c r="J5" i="5"/>
  <c r="K4" i="5"/>
  <c r="K7" i="5" s="1"/>
  <c r="K12" i="5" s="1"/>
  <c r="K108" i="8" s="1"/>
  <c r="L3" i="5"/>
  <c r="I114" i="8"/>
  <c r="I117" i="8" s="1"/>
  <c r="I149" i="8" s="1"/>
  <c r="I150" i="8" s="1"/>
  <c r="J3" i="5"/>
  <c r="L4" i="5" l="1"/>
  <c r="L7" i="5" s="1"/>
  <c r="L12" i="5" s="1"/>
  <c r="J7" i="5"/>
  <c r="J12" i="5" s="1"/>
  <c r="J114" i="8" l="1"/>
  <c r="J108" i="8"/>
  <c r="L114" i="8"/>
  <c r="L108" i="8"/>
  <c r="K114" i="8"/>
  <c r="K117" i="8" s="1"/>
  <c r="K149" i="8" s="1"/>
  <c r="K150" i="8" s="1"/>
  <c r="L117" i="8" l="1"/>
  <c r="L149" i="8" s="1"/>
  <c r="L150" i="8" s="1"/>
  <c r="J117" i="8"/>
  <c r="J149" i="8" s="1"/>
  <c r="J150"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Robbie</author>
  </authors>
  <commentList>
    <comment ref="B5" authorId="0" shapeId="0" xr:uid="{00000000-0006-0000-0300-000001000000}">
      <text>
        <r>
          <rPr>
            <b/>
            <sz val="9"/>
            <color indexed="81"/>
            <rFont val="Tahoma"/>
            <family val="2"/>
          </rPr>
          <t>Robbie:</t>
        </r>
        <r>
          <rPr>
            <sz val="9"/>
            <color indexed="81"/>
            <rFont val="Tahoma"/>
            <family val="2"/>
          </rPr>
          <t xml:space="preserve">
stabilizes utility revenues but kills your efficiency and DER market; affects EE and DER additions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Robbie</author>
  </authors>
  <commentList>
    <comment ref="B9" authorId="0" shapeId="0" xr:uid="{00000000-0006-0000-0700-000001000000}">
      <text>
        <r>
          <rPr>
            <b/>
            <sz val="9"/>
            <color indexed="81"/>
            <rFont val="Tahoma"/>
            <family val="2"/>
          </rPr>
          <t>Robbie:</t>
        </r>
        <r>
          <rPr>
            <sz val="9"/>
            <color indexed="81"/>
            <rFont val="Tahoma"/>
            <family val="2"/>
          </rPr>
          <t xml:space="preserve">
how much do we change these?</t>
        </r>
      </text>
    </comment>
    <comment ref="A21" authorId="0" shapeId="0" xr:uid="{00000000-0006-0000-0700-000002000000}">
      <text>
        <r>
          <rPr>
            <b/>
            <sz val="9"/>
            <color indexed="81"/>
            <rFont val="Tahoma"/>
            <family val="2"/>
          </rPr>
          <t>Robbie:</t>
        </r>
        <r>
          <rPr>
            <sz val="9"/>
            <color indexed="81"/>
            <rFont val="Tahoma"/>
            <family val="2"/>
          </rPr>
          <t xml:space="preserve">
right now all types of utilities paying for all of this</t>
        </r>
      </text>
    </comment>
  </commentList>
</comments>
</file>

<file path=xl/sharedStrings.xml><?xml version="1.0" encoding="utf-8"?>
<sst xmlns="http://schemas.openxmlformats.org/spreadsheetml/2006/main" count="1068" uniqueCount="465">
  <si>
    <t>Additive Policies</t>
  </si>
  <si>
    <t>Time of Use Pricing</t>
  </si>
  <si>
    <t>Decoupling</t>
  </si>
  <si>
    <t>RPS</t>
  </si>
  <si>
    <t>Heat Wave</t>
  </si>
  <si>
    <t>CO2 Pricing</t>
  </si>
  <si>
    <t>Gas Price Spike</t>
  </si>
  <si>
    <t>coal</t>
  </si>
  <si>
    <t>natural gas</t>
  </si>
  <si>
    <t>solar</t>
  </si>
  <si>
    <t>wind</t>
  </si>
  <si>
    <t>hydro</t>
  </si>
  <si>
    <t>EE</t>
  </si>
  <si>
    <t>nuclear</t>
  </si>
  <si>
    <t>Revenue</t>
  </si>
  <si>
    <t>Round</t>
  </si>
  <si>
    <t>Coal</t>
  </si>
  <si>
    <t>Natural Gas</t>
  </si>
  <si>
    <t>Nuclear</t>
  </si>
  <si>
    <t>Round ($/MMBtu)</t>
  </si>
  <si>
    <t>Carbon Pricing</t>
  </si>
  <si>
    <t>$/ton CO2</t>
  </si>
  <si>
    <t>Carbon Adder by Plant Type ($/MWh)</t>
  </si>
  <si>
    <t>Source</t>
  </si>
  <si>
    <t>EIA</t>
  </si>
  <si>
    <t>Lazard</t>
  </si>
  <si>
    <t>Total Variable Costs ($/MWh)</t>
  </si>
  <si>
    <t>Potential Generation (MWh)</t>
  </si>
  <si>
    <t>Demand (MWh)</t>
  </si>
  <si>
    <t>Cost ($/MWh)</t>
  </si>
  <si>
    <t>Price (for graphing only)</t>
  </si>
  <si>
    <t>Cumulative Potential Generation (MWh)</t>
  </si>
  <si>
    <t>Demand and Load</t>
  </si>
  <si>
    <t>Events</t>
  </si>
  <si>
    <t>Level of Vertical Integration</t>
  </si>
  <si>
    <t>GTDR</t>
  </si>
  <si>
    <t>DR</t>
  </si>
  <si>
    <t>Round 1</t>
  </si>
  <si>
    <t>Recovery of Past Investments</t>
  </si>
  <si>
    <t>Revenue Requirement</t>
  </si>
  <si>
    <t xml:space="preserve">     New Coal Plants</t>
  </si>
  <si>
    <t xml:space="preserve">     New Nuclear Plants</t>
  </si>
  <si>
    <t xml:space="preserve">     New Hydro Plants</t>
  </si>
  <si>
    <t>Amortized Collection of New Investments</t>
  </si>
  <si>
    <t xml:space="preserve">     New Solar PV Plants</t>
  </si>
  <si>
    <t xml:space="preserve">     New Wind Plants</t>
  </si>
  <si>
    <t xml:space="preserve">     New Natural Gas Plants</t>
  </si>
  <si>
    <t xml:space="preserve">     New Energy Efficiency</t>
  </si>
  <si>
    <t>Power Plant Lifetime</t>
  </si>
  <si>
    <t>&lt;assumption</t>
  </si>
  <si>
    <t>Power Plant Construction Costs ($/MW)</t>
  </si>
  <si>
    <t>Power Plant Fixed Costs ($/MW-year)</t>
  </si>
  <si>
    <t>Added Capacity (MW)</t>
  </si>
  <si>
    <t>Retiring Capacity (MW)</t>
  </si>
  <si>
    <t>Total Capacity (MW)</t>
  </si>
  <si>
    <t xml:space="preserve">     Fixed O&amp;M</t>
  </si>
  <si>
    <t xml:space="preserve">     Variable O&amp;M</t>
  </si>
  <si>
    <t xml:space="preserve">     Fuel</t>
  </si>
  <si>
    <t>Power Plant Variable Costs ($/MWh)</t>
  </si>
  <si>
    <t>Power Plant Characteristics</t>
  </si>
  <si>
    <t>Power Plant Type</t>
  </si>
  <si>
    <t>Fuel Prices</t>
  </si>
  <si>
    <t>Forecast Demand (MWh)</t>
  </si>
  <si>
    <t>Power Plant Heat Rates (MMBtu/MWh)</t>
  </si>
  <si>
    <t xml:space="preserve">     Generation</t>
  </si>
  <si>
    <t xml:space="preserve">     Transmission</t>
  </si>
  <si>
    <t xml:space="preserve">     Distribution</t>
  </si>
  <si>
    <t xml:space="preserve">     New Transmission Infrastructure</t>
  </si>
  <si>
    <t xml:space="preserve">     New Distribution System Infrastructure</t>
  </si>
  <si>
    <t>Ready?</t>
  </si>
  <si>
    <t>Not yet.</t>
  </si>
  <si>
    <t>Take me to the next round!</t>
  </si>
  <si>
    <t>Round 2</t>
  </si>
  <si>
    <t>Round 3</t>
  </si>
  <si>
    <t>Round 4</t>
  </si>
  <si>
    <t>Round 5</t>
  </si>
  <si>
    <t>Current Round</t>
  </si>
  <si>
    <t>Utility Revenue</t>
  </si>
  <si>
    <t>Generation Operations and Maintenance Costs</t>
  </si>
  <si>
    <t>Customers</t>
  </si>
  <si>
    <t>Variable Costs</t>
  </si>
  <si>
    <t>Fixed Asset Costs</t>
  </si>
  <si>
    <t>Portion of Fixed Assets Assigned to Fixed Charges</t>
  </si>
  <si>
    <t>Fixed Charge Calculation</t>
  </si>
  <si>
    <t>Variable Charge Calculation</t>
  </si>
  <si>
    <t>Variable Charge per Customer ($/kWh)</t>
  </si>
  <si>
    <t>Fixed Charge per Customer ($)</t>
  </si>
  <si>
    <t>Forecast Load (MWh)</t>
  </si>
  <si>
    <t>Total Costs to Recover through Variable Charge</t>
  </si>
  <si>
    <t>Actual Load</t>
  </si>
  <si>
    <t>Demand and System Requirements</t>
  </si>
  <si>
    <t>Deviation from Forecast Load (+/-)</t>
  </si>
  <si>
    <t>System Load Factor</t>
  </si>
  <si>
    <t>Reserve Margin Requirement</t>
  </si>
  <si>
    <t>NERC (http://www.nerc.com/news/Headlines%20DL/2012%20Long%20Term%20Reliability%20Assessment.pdf)</t>
  </si>
  <si>
    <t>Actual Load (MWh)</t>
  </si>
  <si>
    <t>Average Demand (MW)</t>
  </si>
  <si>
    <t>Power Plant Capacity Factors</t>
  </si>
  <si>
    <t>Average</t>
  </si>
  <si>
    <t>Peak</t>
  </si>
  <si>
    <t>Revenue from Variable Charges</t>
  </si>
  <si>
    <t>Revenue from Fixed Charges</t>
  </si>
  <si>
    <t>Total Revenue Collected</t>
  </si>
  <si>
    <t>&lt;copy and paste values before running</t>
  </si>
  <si>
    <t>Average Customer Bill in Average Month</t>
  </si>
  <si>
    <t>Variable Component</t>
  </si>
  <si>
    <t xml:space="preserve">     Generation Charges ($/kWh)</t>
  </si>
  <si>
    <t xml:space="preserve">     Transmission Charges ($/kWh)</t>
  </si>
  <si>
    <t xml:space="preserve">     Distribution System Charges ($/kWh)</t>
  </si>
  <si>
    <t>Fixed Component</t>
  </si>
  <si>
    <t xml:space="preserve">     GTD Fixed Charge ($)</t>
  </si>
  <si>
    <t xml:space="preserve">     Customer Relationship ($)</t>
  </si>
  <si>
    <t>Total Variable Charges</t>
  </si>
  <si>
    <t>Total Fixed Charges</t>
  </si>
  <si>
    <t>Total Bill</t>
  </si>
  <si>
    <t>Customer Relationship Charge ($/Bill)</t>
  </si>
  <si>
    <t>Do we allow cost recovery for EE? Right now we are</t>
  </si>
  <si>
    <t>Monthly Use (kWh/customer)</t>
  </si>
  <si>
    <t>Historical Annualized Investment Recovery for Generation</t>
  </si>
  <si>
    <t>Historical Annualized Investment Recovery for Transmission</t>
  </si>
  <si>
    <t>Historical Annualized Investment Recovery for Distribution</t>
  </si>
  <si>
    <t>Round--&gt;</t>
  </si>
  <si>
    <t>Price Ranking</t>
  </si>
  <si>
    <t>Dispatch Order</t>
  </si>
  <si>
    <t>Cumulative Dispatch Potential</t>
  </si>
  <si>
    <t>Dispatch Amounts</t>
  </si>
  <si>
    <t>MWh</t>
  </si>
  <si>
    <t>Projected Dispatch Amounts</t>
  </si>
  <si>
    <t>Projected Dispatch by Plant Type</t>
  </si>
  <si>
    <t>Projected Fuel Use by Plant Type (MMBtu)</t>
  </si>
  <si>
    <t>Projected Load Estimates</t>
  </si>
  <si>
    <t>Actual Load Calculations</t>
  </si>
  <si>
    <t>Dispatch by Plant Type</t>
  </si>
  <si>
    <t>Fuel + Variable O&amp;M Costs ($/MWh)</t>
  </si>
  <si>
    <t>CO2 Emissions Rate (ton/MWh)</t>
  </si>
  <si>
    <t>In vertical market, are generators paid marginal value or bid value?</t>
  </si>
  <si>
    <t>Assumption used for dispatch</t>
  </si>
  <si>
    <t>This Year Dispatch Curve for Graphing</t>
  </si>
  <si>
    <t>This Year Generation (MWh)</t>
  </si>
  <si>
    <t>Carbon Emissions Performance</t>
  </si>
  <si>
    <t>Tons CO2</t>
  </si>
  <si>
    <t>Reliability</t>
  </si>
  <si>
    <t>Flexibility Points per Technology Type</t>
  </si>
  <si>
    <t>CT (natural gas combustion turbine)</t>
  </si>
  <si>
    <t>NaS or Li-ion (batteries)</t>
  </si>
  <si>
    <t>PH (pumped hydro, many mode changes)</t>
  </si>
  <si>
    <t>PH (pumped hydro, 2 mode changes)</t>
  </si>
  <si>
    <t>PH (pumped hydro, average)</t>
  </si>
  <si>
    <t>DR (demand response)</t>
  </si>
  <si>
    <t>http://energyenvironment.pnnl.gov/ei/pdf/NWPP%20report.pdf</t>
  </si>
  <si>
    <t>Transmission Connectivity Coefficient</t>
  </si>
  <si>
    <t>Ratio of Flexbility Points to Provided Flexibility</t>
  </si>
  <si>
    <t>Policy Solutions Model</t>
  </si>
  <si>
    <t>Initial Installed Peaking Resources (MW)</t>
  </si>
  <si>
    <t>Pumped Hydro</t>
  </si>
  <si>
    <t>Batteries</t>
  </si>
  <si>
    <t>Additional Installed Peaking Resources (MW)</t>
  </si>
  <si>
    <t>Total Installed Peaking Resources (MW)</t>
  </si>
  <si>
    <t>Flexibility Points Provided by Peaking Resource</t>
  </si>
  <si>
    <t>Installed Transmission capacity</t>
  </si>
  <si>
    <t>Circuit miles</t>
  </si>
  <si>
    <t>&lt;based on http://www.eia.gov/electricity/annual/html/epa_08_10_a.html</t>
  </si>
  <si>
    <t>Circuit*miles</t>
  </si>
  <si>
    <t>Initial Installed Transmission Capacity</t>
  </si>
  <si>
    <t>Additional Installed Transmission Capacity</t>
  </si>
  <si>
    <t>Total Installed Transmission Capacity</t>
  </si>
  <si>
    <t>Percent Increase in Transmission Capacity</t>
  </si>
  <si>
    <t>%</t>
  </si>
  <si>
    <t>Ratio of total points to available points</t>
  </si>
  <si>
    <t>Total Available Flexibility Points</t>
  </si>
  <si>
    <t>Total Required Flexibility Points</t>
  </si>
  <si>
    <t>Total Potential Generation Before Reliability Considerations (MWh)</t>
  </si>
  <si>
    <t>Total Potential Generation After Reliability Considerations (MWh)</t>
  </si>
  <si>
    <t>MW</t>
  </si>
  <si>
    <t>Forecast Peak Demand</t>
  </si>
  <si>
    <t>Actual Peak Demand</t>
  </si>
  <si>
    <t>CT</t>
  </si>
  <si>
    <t>New Transmission Cost</t>
  </si>
  <si>
    <t>$/circuit mile</t>
  </si>
  <si>
    <t>Transmission Infrastructure Lifetime</t>
  </si>
  <si>
    <t>years</t>
  </si>
  <si>
    <t>http://www.ct.gov/csc/lib/csc/lifecycle2011/life_cycle_final_report.pdf</t>
  </si>
  <si>
    <t>https://www.wecc.biz/Reliability/2014_TEPPC_Transmission_CapCost_Report_B+V.pdf</t>
  </si>
  <si>
    <t>Description:</t>
  </si>
  <si>
    <t>With your support, your state has decided to implement a Renewable Portfolio Standard. By the end of turn 10, at least 20% of your utility's generation must be derived from wind and/or solar.</t>
  </si>
  <si>
    <t>How it works:</t>
  </si>
  <si>
    <t>With your support, your state has decided to decouple utility revenues from the volume of electricity sold. The variable portion of your revenues will be automatically adjusted in each round to ensure you meet the revenue requirement of the variable portion of your income.</t>
  </si>
  <si>
    <t>Impact:</t>
  </si>
  <si>
    <t>Institutes an Alternative Compliance Payment if the minimum amount of renewables are not procured.</t>
  </si>
  <si>
    <t>Causes investment in renewables that might otherwise be foregone. Players that choose to invest in renewables early as replacements for retiring assets will be rewarded with lower overall costs and lower customer bills.</t>
  </si>
  <si>
    <t>Rates in each year will be adjusted so that the utility recovers the full amount of its variable-revenue. Fixed revenue will not be adjusted.</t>
  </si>
  <si>
    <t xml:space="preserve">Impact: </t>
  </si>
  <si>
    <t>Will provide more certainty for utilities when evaluating their revenue. For utilities shifting a large portion of revenue to fixed charges, they will continue to be exposed to defecting customers.</t>
  </si>
  <si>
    <t>Increase Demand Charges</t>
  </si>
  <si>
    <t>In response to an increasing number of customers leaving the utility and falling utility revenues, your state has decided to increase the share of revenues coming from fixed charges. The fixed charge per customer is determined once in the year this policy is enacted.</t>
  </si>
  <si>
    <t>Increases the proportion of revenue coming from fixed charges.</t>
  </si>
  <si>
    <t>Will help shield the utility from falling revenues due to load or customer loss. However, the amount is not adjusted after it is set, so the more customers that leave, the less revenue the utility will have. This will also impact the attractiveness of DERs and EE</t>
  </si>
  <si>
    <t>To better align rates with electricity costs, your state has decided to shift all customers to Time of Use (ToU pricing). This reduces your required reserve margin by 5% because customers are more responsive to reducing load during peak times.</t>
  </si>
  <si>
    <t>Will reduce the need for investment in peaking resources. Savings will flow through to customers through lower bills with fewer assets being needed.</t>
  </si>
  <si>
    <t>Performance Based Regulation</t>
  </si>
  <si>
    <t>To encourage your utility to align decision-making with public policy goals, your state has chosen to shift you to performance based regulation (PBR). Your RoR is reduced by 2%, but you are eligible to received bonus payments for reducing your emissions, minimizing curtailment, and lowering customer bills</t>
  </si>
  <si>
    <t>Reduces RoR by 2%, lowering the utility's revenue. Creates bonuses for environmental performance, reliability, and lowering customer bills.</t>
  </si>
  <si>
    <t>Will demonstrate how PBR works. Done well, even though it lowers RoR, PBR will reslut in increased utility revenue while improving the metrics that they are evaluated against.</t>
  </si>
  <si>
    <t>Policies Enabled</t>
  </si>
  <si>
    <t>Calamities</t>
  </si>
  <si>
    <t>RPS Compliance</t>
  </si>
  <si>
    <t>RPS Enabled</t>
  </si>
  <si>
    <t>Renewable Generation</t>
  </si>
  <si>
    <t>Renewable Requirement</t>
  </si>
  <si>
    <t>Renewable Shortage (MWh)</t>
  </si>
  <si>
    <t>Alternative Compliance Payment ($)</t>
  </si>
  <si>
    <t>Alternative Compliance Payment Amount ($/MWh)</t>
  </si>
  <si>
    <t>What should we set the ACP to?</t>
  </si>
  <si>
    <t>Policy Related Revenue</t>
  </si>
  <si>
    <t xml:space="preserve">     RPS ACP Penalties</t>
  </si>
  <si>
    <t>Decoupling Load Adjustment</t>
  </si>
  <si>
    <t>$/transmission mile</t>
  </si>
  <si>
    <t>Transmission and Distribution Operations and Maintenance Costs</t>
  </si>
  <si>
    <t xml:space="preserve">     Transmission O&amp;M</t>
  </si>
  <si>
    <t>http://www3.sce.com/sscc/law/dis/dbattach5e.nsf/0/BACF374E1EFE27CE88257C2100811E3D/$FILE/SCE-03%20Vol.%2008.pdf, p.2</t>
  </si>
  <si>
    <t xml:space="preserve">     Distribution O&amp;M</t>
  </si>
  <si>
    <t>Transmission O&amp;M Expenses</t>
  </si>
  <si>
    <t>Distribution O&amp;M Expenses</t>
  </si>
  <si>
    <t>How do we handle reliability from distribution system upgrades</t>
  </si>
  <si>
    <t>Number of Substations</t>
  </si>
  <si>
    <t>no.</t>
  </si>
  <si>
    <t>Estimated Number of Customers</t>
  </si>
  <si>
    <t>Actual Number of Customers</t>
  </si>
  <si>
    <t>New Investments</t>
  </si>
  <si>
    <t>Change in System Load Factor in Response to ToU</t>
  </si>
  <si>
    <t>&lt;update with elasticity values</t>
  </si>
  <si>
    <t xml:space="preserve">          Environment</t>
  </si>
  <si>
    <t xml:space="preserve">          Customer Bills</t>
  </si>
  <si>
    <t xml:space="preserve">          Reliability</t>
  </si>
  <si>
    <t>Change in RoR with PBR</t>
  </si>
  <si>
    <t>&lt;calibrate this</t>
  </si>
  <si>
    <t>https://www.smartgrid.gov/files/SMUD-CBS_Final_Evaluation_Submitted_DOE_9_9_2014.pdf, Table 4-1, Default TOU, IHD-Offer, average</t>
  </si>
  <si>
    <t>Residential Reduction in Peak Load with ToU</t>
  </si>
  <si>
    <t>Number of Customers</t>
  </si>
  <si>
    <t>No.</t>
  </si>
  <si>
    <t>Residential</t>
  </si>
  <si>
    <t>Commercial</t>
  </si>
  <si>
    <t>Industrial</t>
  </si>
  <si>
    <t>Sales by Customer Class, GWh</t>
  </si>
  <si>
    <t>Sales by Customer Class, %</t>
  </si>
  <si>
    <t>Pre-Policy Peak Demand (MW)</t>
  </si>
  <si>
    <t>ToU Peak Demand Reduction (MW)</t>
  </si>
  <si>
    <t>PIMs</t>
  </si>
  <si>
    <t>Increased Fixed Charges</t>
  </si>
  <si>
    <t>Time of Use Charge Flexibility Point Multiplier</t>
  </si>
  <si>
    <t>Multiplier</t>
  </si>
  <si>
    <t>Residential + Commercial</t>
  </si>
  <si>
    <t>Decreases peak load for commercial and residential customers and increases the total number of flexibility points available.</t>
  </si>
  <si>
    <t>Bonus Available for Environmental Goals (% of Revenue Requirement)</t>
  </si>
  <si>
    <t>Bonus Available for Customer Bill Goals (% of Revenue Requirement)</t>
  </si>
  <si>
    <t>Bonus Available for Reliability Goals (% of Revenue Requirement)</t>
  </si>
  <si>
    <t>Authorized Rate of Return (RoR)</t>
  </si>
  <si>
    <t>Total Costs</t>
  </si>
  <si>
    <t>Utility Costs and Expenses</t>
  </si>
  <si>
    <t>Net Income</t>
  </si>
  <si>
    <t>Need time for distribution assets (and plug into utility revenue)</t>
  </si>
  <si>
    <t>Utility EE</t>
  </si>
  <si>
    <t>Customer EE</t>
  </si>
  <si>
    <t>Start Year Capacities (MW)</t>
  </si>
  <si>
    <t>DER (solar PV)--&gt; can this be curtailed/does it require distribution system investment??</t>
  </si>
  <si>
    <t>Forecast Utility Demand (Load - DER - Customer EE)</t>
  </si>
  <si>
    <t>Actual Utility Demand (Load - DER - Customer EE)</t>
  </si>
  <si>
    <t>Projected Utility Load</t>
  </si>
  <si>
    <t>utility EE</t>
  </si>
  <si>
    <t>Generation Costs</t>
  </si>
  <si>
    <t>Round Names</t>
  </si>
  <si>
    <t>Game Setup</t>
  </si>
  <si>
    <t>Round 6</t>
  </si>
  <si>
    <t>Round 7</t>
  </si>
  <si>
    <t>Round 8</t>
  </si>
  <si>
    <t>Round 9</t>
  </si>
  <si>
    <t>Round 10</t>
  </si>
  <si>
    <t>Current Round:</t>
  </si>
  <si>
    <t>Select</t>
  </si>
  <si>
    <t>Let's go!</t>
  </si>
  <si>
    <t>Round Completion</t>
  </si>
  <si>
    <t>Utility Name:</t>
  </si>
  <si>
    <t>New Capacity to Add this Year</t>
  </si>
  <si>
    <t>Capacity Before Additions (MW)</t>
  </si>
  <si>
    <t>Electricity Capacity and Generation</t>
  </si>
  <si>
    <t>New Capacity to Add this Year (MW)</t>
  </si>
  <si>
    <t>Fuel Type</t>
  </si>
  <si>
    <t>Events and Policies</t>
  </si>
  <si>
    <t>None</t>
  </si>
  <si>
    <t>Nat Gas Price Spike</t>
  </si>
  <si>
    <t>$/MWh</t>
  </si>
  <si>
    <t>Natural Gas Price Spike Increase ($/MMBtu)</t>
  </si>
  <si>
    <t>Pre-Event Actual Load (MWh)</t>
  </si>
  <si>
    <t>Post-Event Actual Load (MWh)</t>
  </si>
  <si>
    <t>Event Impacts</t>
  </si>
  <si>
    <t>Heat Wave Load Increase (%)</t>
  </si>
  <si>
    <t>Policy Planning</t>
  </si>
  <si>
    <t>RPS Requirement</t>
  </si>
  <si>
    <t>should there be a one turn delay in policy/event cards? (specifically RPS, CO2 pricing, others?); right now there is a one year delay</t>
  </si>
  <si>
    <t>Unit Type</t>
  </si>
  <si>
    <t>Demand Response</t>
  </si>
  <si>
    <t>Widening Balancing Area</t>
  </si>
  <si>
    <t>Widening Balancing Areas</t>
  </si>
  <si>
    <t>Widened Balancing Area Multiplier</t>
  </si>
  <si>
    <t>Widened Balancing Areas</t>
  </si>
  <si>
    <t>Flexibility Multiplier Provided by Widening Balancing Areas</t>
  </si>
  <si>
    <t>To increase system flexibility and lower costs, your state has voted to allow market based exchages between your balancing area and others.</t>
  </si>
  <si>
    <t>Multiplies the amount of flexible resources by 10%. In the DR game mode, this policy is enabled from the start year.</t>
  </si>
  <si>
    <t>Reduces the need to build flexibility resources for integrating variable generating and for meeting peak demand. Saves money by avoiding capital investment.</t>
  </si>
  <si>
    <t>Weighted Average Cost of Capital (WACC)</t>
  </si>
  <si>
    <t>Debt Repayment Period for Capital Investments (years)</t>
  </si>
  <si>
    <t xml:space="preserve">     New NG Combustion Turbines</t>
  </si>
  <si>
    <t xml:space="preserve">     New Battery Storage</t>
  </si>
  <si>
    <t xml:space="preserve">     New Pumped Hydro</t>
  </si>
  <si>
    <t xml:space="preserve">     New Demand Response</t>
  </si>
  <si>
    <t>Past Investments</t>
  </si>
  <si>
    <t>NG Combustion Turbines</t>
  </si>
  <si>
    <t>Battery Storage</t>
  </si>
  <si>
    <t>http://www.eia.gov/forecasts/capitalcost/pdf/updated_capcost.pdf</t>
  </si>
  <si>
    <t>http://www.nwcouncil.org/media/7149235/drpotential_postaprcouncil_forwebsite_05042015.xlsx</t>
  </si>
  <si>
    <t>n/a</t>
  </si>
  <si>
    <t>&lt;use in construction costs</t>
  </si>
  <si>
    <t>http://aceee.org/sites/default/files/publications/researchreports/u1402.pdf</t>
  </si>
  <si>
    <t>EE is backcalculated based on $/kWh</t>
  </si>
  <si>
    <t>Background</t>
  </si>
  <si>
    <t>Here are some things to consider as you begin thinking about how you will manage your utility:</t>
  </si>
  <si>
    <t>2) Some of your nuclear and coal assets are planning to retire. What will you replace these with?</t>
  </si>
  <si>
    <t>1) Demand for electricity is expected to be stagnant, if not declining over the next 10 years. How will you increase your net income while sales continue to decline?</t>
  </si>
  <si>
    <t>Annual Reduction in Solar PV costs</t>
  </si>
  <si>
    <t>Annual Reduction in Wind Costs</t>
  </si>
  <si>
    <t>solar pv</t>
  </si>
  <si>
    <t>3) The cost of renewable energy technologies, like wind and solar, will continue to drop. This will provide you with cheap new sources of power, but flexibilty may become an issue if you build too much too quickly. How will you integrate these new cheap sources of power?</t>
  </si>
  <si>
    <t>Right now background page is based on GTDR… how would we change it for DR?</t>
  </si>
  <si>
    <t>can utilities earn a return for EE/DR?; right now, no RoR on EE but they have to pay the WACC when purchasing</t>
  </si>
  <si>
    <t>4) Distributed energy resources and customer energy efficiency are expected to grow over the next 10 years. How will you manage this growth while maximizing the performance of your utility?</t>
  </si>
  <si>
    <t>Questions</t>
  </si>
  <si>
    <t>Answers:</t>
  </si>
  <si>
    <t>With decoupling they get RoR</t>
  </si>
  <si>
    <t>see below</t>
  </si>
  <si>
    <t>Match DR generation recovery to GTDR revenue recovery</t>
  </si>
  <si>
    <t>Set it at 100 and could be randomized/test it</t>
  </si>
  <si>
    <t>Event: utility bond rating downgrade</t>
  </si>
  <si>
    <t>Delay construction times</t>
  </si>
  <si>
    <t>differentiated lead times based on resource type</t>
  </si>
  <si>
    <t>Forecast of things necessary for lead times (e.g. reliability)</t>
  </si>
  <si>
    <t>Random between 0.5 and 0.8</t>
  </si>
  <si>
    <t>Does partial fuel cost non-passthrough become a policy option?</t>
  </si>
  <si>
    <t>Compare assumptions to FINDER model (Mike will send it on)</t>
  </si>
  <si>
    <t>Earnings per share (check cost and value paper)</t>
  </si>
  <si>
    <t>Distribution paper (ERG paper on CA distribution system)</t>
  </si>
  <si>
    <t>&lt;rethink this</t>
  </si>
  <si>
    <t>Average Minutes per Year of Outages</t>
  </si>
  <si>
    <t>Minutes per Year Outages</t>
  </si>
  <si>
    <t>Minutes</t>
  </si>
  <si>
    <t>Congratulations! Your team has just been assigned the task of managing your utility's energy portfolio. Your goal over the next 10 years (rounds) will be to maximize your utility's performance across four areas: profitiability, customer bills, environmental performance, and realibility.  You will need to balance performance across these four areas in order to ensure your utility's maximum performance. Along the way you will make decisions about which assets to build and which policies to enact,  while adapting to long term trends in the electric sector. But be careful, your decisions will affect your performance down the road.... and you never know what environmental calamity or policy change might be lurking ahead.</t>
  </si>
  <si>
    <t xml:space="preserve">Current Round: </t>
  </si>
  <si>
    <t>Average Customer Bill</t>
  </si>
  <si>
    <t>Customer Bills</t>
  </si>
  <si>
    <t>Round 0</t>
  </si>
  <si>
    <t>Past Rounds</t>
  </si>
  <si>
    <t>Name</t>
  </si>
  <si>
    <t>Current Round + Past Round</t>
  </si>
  <si>
    <t>Round Number</t>
  </si>
  <si>
    <t>Distribution System Investment</t>
  </si>
  <si>
    <t>Environmental Performance</t>
  </si>
  <si>
    <t>lbs/kWh</t>
  </si>
  <si>
    <t>Round Event</t>
  </si>
  <si>
    <t>Round Policy</t>
  </si>
  <si>
    <t>Transformers and Substations</t>
  </si>
  <si>
    <t>Lines and Feeders</t>
  </si>
  <si>
    <t>http://www.nrel.gov/docs/fy03osti/32500.pdf, Table 3</t>
  </si>
  <si>
    <t>http://www.nrel.gov/docs/fy03osti/32500.pdf, Table 4</t>
  </si>
  <si>
    <t>http://www.nrel.gov/docs/fy03osti/32500.pdf, Table 5</t>
  </si>
  <si>
    <t>Transformers and Substations ($ per MW peak)</t>
  </si>
  <si>
    <t>Lines and Feeders ($ per MW peak)</t>
  </si>
  <si>
    <t>http://www.nrel.gov/docs/fy03osti/32500.pdf, Table 6</t>
  </si>
  <si>
    <t>Dollar per Marginal MW Distribution Investment</t>
  </si>
  <si>
    <t>http://www.nrel.gov/docs/fy03osti/32500.pdf, Table 7</t>
  </si>
  <si>
    <t>http://www.nrel.gov/docs/fy03osti/32500.pdf, Table 8</t>
  </si>
  <si>
    <t>Embedded Distribution Costs, $ per peak MW</t>
  </si>
  <si>
    <t>Transormer and Substations</t>
  </si>
  <si>
    <t>Transmission (circuit*miles)</t>
  </si>
  <si>
    <t>Available Peak Demand Generating Capacity (MW*PCF)</t>
  </si>
  <si>
    <t>Available Peak Demand Distribution Capacity</t>
  </si>
  <si>
    <t>Estimated Generation Reserve Margin</t>
  </si>
  <si>
    <t>Estimated Distribution Reserve Margin</t>
  </si>
  <si>
    <t>EIA Form 861, SAIDI*SAIFI</t>
  </si>
  <si>
    <t>Decrease in System Load Factor per Year</t>
  </si>
  <si>
    <t>[Insert Utility Name Here]</t>
  </si>
  <si>
    <t>Generation Mix</t>
  </si>
  <si>
    <t>Generation Reserve Margin</t>
  </si>
  <si>
    <t>NERC Standard</t>
  </si>
  <si>
    <t>Transmission, Distribution, and Flexibility Resources</t>
  </si>
  <si>
    <t>Transformers, Substations, Lines, and Feeders (MW)</t>
  </si>
  <si>
    <t>Distribution System Infrastructure</t>
  </si>
  <si>
    <t>Carbon Pricing ($/year)</t>
  </si>
  <si>
    <t>Solar</t>
  </si>
  <si>
    <t>Wind</t>
  </si>
  <si>
    <t>Hydro</t>
  </si>
  <si>
    <t>Distributed PV</t>
  </si>
  <si>
    <t>Total Number of Shares</t>
  </si>
  <si>
    <t>Earnings per Share</t>
  </si>
  <si>
    <t>Pop Up Round Information</t>
  </si>
  <si>
    <t>Here is your performance from the last round:</t>
  </si>
  <si>
    <t>(minutes of outages per year)</t>
  </si>
  <si>
    <t>(lbs/MWh)</t>
  </si>
  <si>
    <t>With your current mix of flexible resources, the most variable capacity you can support this turn is:</t>
  </si>
  <si>
    <t>Business Models</t>
  </si>
  <si>
    <t>ToU Pricing DR Addition (MW)</t>
  </si>
  <si>
    <t>Retirements  (MW)</t>
  </si>
  <si>
    <t>ToU Effects</t>
  </si>
  <si>
    <t>Increased DR (MW)</t>
  </si>
  <si>
    <t>Utility-Scale</t>
  </si>
  <si>
    <t>Distribution Scale</t>
  </si>
  <si>
    <t>Generation Capacity Buildout</t>
  </si>
  <si>
    <t>Utility Resources</t>
  </si>
  <si>
    <t>Installed Capacity (will not affect revenue requirement)</t>
  </si>
  <si>
    <t>Added Capacity (will affect revenue requirement)</t>
  </si>
  <si>
    <t>Load</t>
  </si>
  <si>
    <t>Transmission Capacity (Circuit*miles)</t>
  </si>
  <si>
    <t>Retiring Capacity</t>
  </si>
  <si>
    <t>Bonus/Penalties ($)</t>
  </si>
  <si>
    <t>Bonus/Penalties (% of Net Revenue)</t>
  </si>
  <si>
    <t>Use This Value?</t>
  </si>
  <si>
    <t>God Sheet</t>
  </si>
  <si>
    <t>Yes</t>
  </si>
  <si>
    <t>No</t>
  </si>
  <si>
    <t>Round to Apply Changes To</t>
  </si>
  <si>
    <t>Direct Changes from Override Sheet</t>
  </si>
  <si>
    <t xml:space="preserve">     New Distributed PV</t>
  </si>
  <si>
    <t>Restructured Performance Based Regulatory Model</t>
  </si>
  <si>
    <t>Vertically Integrated Cost of Service Model</t>
  </si>
  <si>
    <t>Restructured Cost of Service Model</t>
  </si>
  <si>
    <t>Restructured Transactive Model</t>
  </si>
  <si>
    <t>Business Model:</t>
  </si>
  <si>
    <t>Business Model Type</t>
  </si>
  <si>
    <t>Vertically Integrated Performanced Based Regulatory Model</t>
  </si>
  <si>
    <t>Types of Costs to Include</t>
  </si>
  <si>
    <t>Generation</t>
  </si>
  <si>
    <t>Transmission</t>
  </si>
  <si>
    <t>Distribution</t>
  </si>
  <si>
    <t>Total Vertically Integrated Utility Revenue Requirement</t>
  </si>
  <si>
    <t>Total Restructured Utility Revenue Requirement</t>
  </si>
  <si>
    <t xml:space="preserve">     Bonus from Performance Incentive Mechanism</t>
  </si>
  <si>
    <t>Revenue from Performance Based Regulation</t>
  </si>
  <si>
    <t>Distribution Only Charge per Customer ($)</t>
  </si>
  <si>
    <t>Distribution Only Charge per Customer ($/kWh)</t>
  </si>
  <si>
    <t xml:space="preserve">     Revenue at RoR</t>
  </si>
  <si>
    <t xml:space="preserve">     Revenue at WACC</t>
  </si>
  <si>
    <t xml:space="preserve">     Potential Revenue from PBR</t>
  </si>
  <si>
    <t xml:space="preserve">          Environmental Performance </t>
  </si>
  <si>
    <t xml:space="preserve">     Revenue from PBR</t>
  </si>
  <si>
    <t>Policy Targets</t>
  </si>
  <si>
    <t>CO2/MWh</t>
  </si>
  <si>
    <t>&lt;calibrate (20% improvement)</t>
  </si>
  <si>
    <t>Final Year Targets</t>
  </si>
  <si>
    <t>Carbon Emissions Targets</t>
  </si>
  <si>
    <t>lbs/MWh</t>
  </si>
  <si>
    <t>lbs/MWh (midway point)</t>
  </si>
  <si>
    <t>Customer Bill Targets</t>
  </si>
  <si>
    <t>Average Annual Bill</t>
  </si>
  <si>
    <t>Average Annual Bill (midpoint)</t>
  </si>
  <si>
    <t>Reliability Targets</t>
  </si>
  <si>
    <t>Minutes (midpoint)</t>
  </si>
  <si>
    <t>Version 1.06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</si>
</sst>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6" formatCode="&quot;$&quot;#,##0_);[Red]\(&quot;$&quot;#,##0\)"/>
    <numFmt numFmtId="8" formatCode="&quot;$&quot;#,##0.00_);[Red]\(&quot;$&quot;#,##0.00\)"/>
    <numFmt numFmtId="44" formatCode="_(&quot;$&quot;* #,##0.00_);_(&quot;$&quot;* \(#,##0.00\);_(&quot;$&quot;* &quot;-&quot;??_);_(@_)"/>
    <numFmt numFmtId="43" formatCode="_(* #,##0.00_);_(* \(#,##0.00\);_(* &quot;-&quot;??_);_(@_)"/>
    <numFmt numFmtId="164" formatCode="0.0"/>
    <numFmt numFmtId="165" formatCode="_(&quot;$&quot;* #,##0_);_(&quot;$&quot;* \(#,##0\);_(&quot;$&quot;* &quot;-&quot;??_);_(@_)"/>
    <numFmt numFmtId="166" formatCode="_(&quot;$&quot;* #,##0.000_);_(&quot;$&quot;* \(#,##0.000\);_(&quot;$&quot;* &quot;-&quot;??_);_(@_)"/>
    <numFmt numFmtId="167" formatCode="_(* #,##0_);_(* \(#,##0\);_(* &quot;-&quot;??_);_(@_)"/>
    <numFmt numFmtId="168" formatCode="_(&quot;$&quot;* #,##0.0_);_(&quot;$&quot;* \(#,##0.0\);_(&quot;$&quot;* &quot;-&quot;??_);_(@_)"/>
    <numFmt numFmtId="169" formatCode="0.0%"/>
    <numFmt numFmtId="170" formatCode="0.000"/>
    <numFmt numFmtId="171" formatCode="&quot;$&quot;#,##0.00"/>
    <numFmt numFmtId="172" formatCode="&quot;$&quot;#,##0"/>
  </numFmts>
  <fonts count="18"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b/>
      <sz val="14"/>
      <color theme="1"/>
      <name val="Calibri"/>
      <family val="2"/>
      <scheme val="minor"/>
    </font>
    <font>
      <b/>
      <i/>
      <sz val="11"/>
      <color theme="1"/>
      <name val="Calibri"/>
      <family val="2"/>
      <scheme val="minor"/>
    </font>
    <font>
      <u/>
      <sz val="11"/>
      <color theme="10"/>
      <name val="Calibri"/>
      <family val="2"/>
      <scheme val="minor"/>
    </font>
    <font>
      <sz val="9"/>
      <color indexed="81"/>
      <name val="Tahoma"/>
      <family val="2"/>
    </font>
    <font>
      <b/>
      <sz val="9"/>
      <color indexed="81"/>
      <name val="Tahoma"/>
      <family val="2"/>
    </font>
    <font>
      <sz val="20"/>
      <color theme="1"/>
      <name val="Calibri"/>
      <family val="2"/>
      <scheme val="minor"/>
    </font>
    <font>
      <b/>
      <sz val="20"/>
      <color theme="1"/>
      <name val="Calibri"/>
      <family val="2"/>
      <scheme val="minor"/>
    </font>
    <font>
      <sz val="14"/>
      <color theme="1"/>
      <name val="Calibri"/>
      <family val="2"/>
      <scheme val="minor"/>
    </font>
    <font>
      <sz val="24"/>
      <color theme="1"/>
      <name val="Calibri"/>
      <family val="2"/>
      <scheme val="minor"/>
    </font>
    <font>
      <b/>
      <sz val="12"/>
      <color theme="1"/>
      <name val="Calibri"/>
      <family val="2"/>
      <scheme val="minor"/>
    </font>
    <font>
      <sz val="11"/>
      <name val="Calibri"/>
      <family val="2"/>
      <scheme val="minor"/>
    </font>
    <font>
      <b/>
      <sz val="18"/>
      <color theme="1"/>
      <name val="Calibri"/>
      <family val="2"/>
      <scheme val="minor"/>
    </font>
    <font>
      <sz val="11"/>
      <color rgb="FF9C0006"/>
      <name val="Calibri"/>
      <family val="2"/>
      <scheme val="minor"/>
    </font>
    <font>
      <sz val="11"/>
      <color rgb="FFFF0000"/>
      <name val="Calibri"/>
      <family val="2"/>
      <scheme val="minor"/>
    </font>
  </fonts>
  <fills count="13">
    <fill>
      <patternFill patternType="none"/>
    </fill>
    <fill>
      <patternFill patternType="gray125"/>
    </fill>
    <fill>
      <patternFill patternType="solid">
        <fgColor theme="0" tint="-0.249977111117893"/>
        <bgColor indexed="64"/>
      </patternFill>
    </fill>
    <fill>
      <patternFill patternType="solid">
        <fgColor rgb="FFFFFF00"/>
        <bgColor indexed="64"/>
      </patternFill>
    </fill>
    <fill>
      <patternFill patternType="solid">
        <fgColor theme="8"/>
        <bgColor indexed="64"/>
      </patternFill>
    </fill>
    <fill>
      <patternFill patternType="solid">
        <fgColor theme="5" tint="0.59999389629810485"/>
        <bgColor indexed="64"/>
      </patternFill>
    </fill>
    <fill>
      <patternFill patternType="solid">
        <fgColor theme="6"/>
        <bgColor indexed="64"/>
      </patternFill>
    </fill>
    <fill>
      <patternFill patternType="solid">
        <fgColor theme="5"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theme="5" tint="0.39997558519241921"/>
        <bgColor indexed="64"/>
      </patternFill>
    </fill>
    <fill>
      <patternFill patternType="solid">
        <fgColor theme="7"/>
        <bgColor indexed="64"/>
      </patternFill>
    </fill>
    <fill>
      <patternFill patternType="solid">
        <fgColor rgb="FFFFC7CE"/>
      </patternFill>
    </fill>
  </fills>
  <borders count="22">
    <border>
      <left/>
      <right/>
      <top/>
      <bottom/>
      <diagonal/>
    </border>
    <border>
      <left style="medium">
        <color indexed="64"/>
      </left>
      <right style="medium">
        <color indexed="64"/>
      </right>
      <top style="medium">
        <color indexed="64"/>
      </top>
      <bottom style="medium">
        <color indexed="64"/>
      </bottom>
      <diagonal/>
    </border>
    <border>
      <left/>
      <right/>
      <top/>
      <bottom style="thin">
        <color indexed="64"/>
      </bottom>
      <diagonal/>
    </border>
    <border>
      <left/>
      <right/>
      <top style="thin">
        <color indexed="64"/>
      </top>
      <bottom style="thin">
        <color indexed="64"/>
      </bottom>
      <diagonal/>
    </border>
    <border>
      <left/>
      <right/>
      <top style="thin">
        <color indexed="64"/>
      </top>
      <bottom style="double">
        <color indexed="64"/>
      </bottom>
      <diagonal/>
    </border>
    <border>
      <left/>
      <right/>
      <top style="double">
        <color indexed="64"/>
      </top>
      <bottom style="thin">
        <color indexed="64"/>
      </bottom>
      <diagonal/>
    </border>
    <border>
      <left/>
      <right/>
      <top style="thin">
        <color indexed="64"/>
      </top>
      <bottom/>
      <diagonal/>
    </border>
    <border>
      <left/>
      <right/>
      <top style="double">
        <color indexed="64"/>
      </top>
      <bottom style="double">
        <color indexed="64"/>
      </bottom>
      <diagonal/>
    </border>
    <border>
      <left style="medium">
        <color indexed="64"/>
      </left>
      <right style="medium">
        <color indexed="64"/>
      </right>
      <top style="medium">
        <color indexed="64"/>
      </top>
      <bottom/>
      <diagonal/>
    </border>
    <border>
      <left/>
      <right/>
      <top/>
      <bottom style="double">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6">
    <xf numFmtId="0" fontId="0" fillId="0" borderId="0"/>
    <xf numFmtId="44"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0" fontId="6" fillId="0" borderId="0" applyNumberFormat="0" applyFill="0" applyBorder="0" applyAlignment="0" applyProtection="0"/>
    <xf numFmtId="0" fontId="16" fillId="12" borderId="0" applyNumberFormat="0" applyBorder="0" applyAlignment="0" applyProtection="0"/>
  </cellStyleXfs>
  <cellXfs count="206">
    <xf numFmtId="0" fontId="0" fillId="0" borderId="0" xfId="0"/>
    <xf numFmtId="0" fontId="2" fillId="0" borderId="0" xfId="0" applyFont="1"/>
    <xf numFmtId="164" fontId="0" fillId="0" borderId="0" xfId="0" applyNumberFormat="1"/>
    <xf numFmtId="0" fontId="0" fillId="2" borderId="0" xfId="0" applyFill="1"/>
    <xf numFmtId="0" fontId="3" fillId="0" borderId="0" xfId="0" applyFont="1"/>
    <xf numFmtId="9" fontId="0" fillId="0" borderId="0" xfId="2" applyFont="1"/>
    <xf numFmtId="6" fontId="0" fillId="0" borderId="0" xfId="0" applyNumberFormat="1"/>
    <xf numFmtId="165" fontId="0" fillId="0" borderId="0" xfId="1" applyNumberFormat="1" applyFont="1"/>
    <xf numFmtId="166" fontId="0" fillId="0" borderId="0" xfId="1" applyNumberFormat="1" applyFont="1"/>
    <xf numFmtId="0" fontId="2" fillId="2" borderId="0" xfId="0" applyFont="1" applyFill="1"/>
    <xf numFmtId="2" fontId="0" fillId="0" borderId="0" xfId="0" applyNumberFormat="1"/>
    <xf numFmtId="0" fontId="2" fillId="3" borderId="1" xfId="0" applyFont="1" applyFill="1" applyBorder="1"/>
    <xf numFmtId="0" fontId="0" fillId="0" borderId="0" xfId="0" applyBorder="1"/>
    <xf numFmtId="0" fontId="2" fillId="5" borderId="0" xfId="0" applyFont="1" applyFill="1"/>
    <xf numFmtId="0" fontId="0" fillId="5" borderId="0" xfId="0" applyFill="1"/>
    <xf numFmtId="44" fontId="0" fillId="0" borderId="0" xfId="1" applyFont="1"/>
    <xf numFmtId="1" fontId="0" fillId="0" borderId="0" xfId="0" applyNumberFormat="1"/>
    <xf numFmtId="0" fontId="0" fillId="0" borderId="0" xfId="0" applyFont="1"/>
    <xf numFmtId="9" fontId="0" fillId="0" borderId="0" xfId="0" applyNumberFormat="1"/>
    <xf numFmtId="165" fontId="0" fillId="0" borderId="0" xfId="1" applyNumberFormat="1" applyFont="1" applyFill="1"/>
    <xf numFmtId="0" fontId="4" fillId="4" borderId="0" xfId="0" applyFont="1" applyFill="1"/>
    <xf numFmtId="0" fontId="0" fillId="4" borderId="0" xfId="0" applyFill="1"/>
    <xf numFmtId="0" fontId="0" fillId="0" borderId="2" xfId="0" applyBorder="1"/>
    <xf numFmtId="165" fontId="0" fillId="0" borderId="2" xfId="1" applyNumberFormat="1" applyFont="1" applyBorder="1"/>
    <xf numFmtId="0" fontId="5" fillId="0" borderId="0" xfId="0" applyFont="1"/>
    <xf numFmtId="165" fontId="0" fillId="0" borderId="0" xfId="0" applyNumberFormat="1"/>
    <xf numFmtId="0" fontId="0" fillId="0" borderId="0" xfId="0" applyFill="1" applyBorder="1"/>
    <xf numFmtId="165" fontId="0" fillId="0" borderId="0" xfId="1" applyNumberFormat="1" applyFont="1" applyBorder="1"/>
    <xf numFmtId="0" fontId="3" fillId="0" borderId="0" xfId="0" applyFont="1" applyBorder="1"/>
    <xf numFmtId="0" fontId="0" fillId="0" borderId="2" xfId="0" applyFill="1" applyBorder="1"/>
    <xf numFmtId="0" fontId="0" fillId="3" borderId="1" xfId="0" applyFill="1" applyBorder="1"/>
    <xf numFmtId="44" fontId="0" fillId="0" borderId="0" xfId="1" applyFont="1" applyFill="1" applyBorder="1"/>
    <xf numFmtId="0" fontId="0" fillId="3" borderId="1" xfId="0" applyFill="1" applyBorder="1" applyAlignment="1">
      <alignment horizontal="right"/>
    </xf>
    <xf numFmtId="167" fontId="0" fillId="0" borderId="0" xfId="3" applyNumberFormat="1" applyFont="1"/>
    <xf numFmtId="0" fontId="5" fillId="0" borderId="3" xfId="0" applyFont="1" applyBorder="1"/>
    <xf numFmtId="165" fontId="0" fillId="0" borderId="2" xfId="0" applyNumberFormat="1" applyBorder="1"/>
    <xf numFmtId="0" fontId="0" fillId="0" borderId="4" xfId="0" applyBorder="1"/>
    <xf numFmtId="0" fontId="0" fillId="0" borderId="4" xfId="0" applyFill="1" applyBorder="1"/>
    <xf numFmtId="167" fontId="0" fillId="0" borderId="4" xfId="3" applyNumberFormat="1" applyFont="1" applyBorder="1"/>
    <xf numFmtId="0" fontId="2" fillId="0" borderId="5" xfId="0" applyFont="1" applyFill="1" applyBorder="1"/>
    <xf numFmtId="0" fontId="0" fillId="0" borderId="4" xfId="0" applyFont="1" applyBorder="1"/>
    <xf numFmtId="165" fontId="0" fillId="0" borderId="3" xfId="1" applyNumberFormat="1" applyFont="1" applyBorder="1"/>
    <xf numFmtId="0" fontId="0" fillId="0" borderId="0" xfId="0" quotePrefix="1" applyAlignment="1">
      <alignment horizontal="left"/>
    </xf>
    <xf numFmtId="0" fontId="0" fillId="0" borderId="0" xfId="0" applyAlignment="1">
      <alignment horizontal="left"/>
    </xf>
    <xf numFmtId="9" fontId="0" fillId="0" borderId="0" xfId="2" applyNumberFormat="1" applyFont="1"/>
    <xf numFmtId="0" fontId="0" fillId="0" borderId="3" xfId="0" applyBorder="1"/>
    <xf numFmtId="0" fontId="5" fillId="0" borderId="5" xfId="0" applyFont="1" applyBorder="1"/>
    <xf numFmtId="165" fontId="0" fillId="0" borderId="5" xfId="0" applyNumberFormat="1" applyBorder="1"/>
    <xf numFmtId="9" fontId="0" fillId="6" borderId="1" xfId="2" applyFont="1" applyFill="1" applyBorder="1"/>
    <xf numFmtId="44" fontId="0" fillId="0" borderId="0" xfId="0" applyNumberFormat="1"/>
    <xf numFmtId="168" fontId="0" fillId="0" borderId="5" xfId="0" applyNumberFormat="1" applyFont="1" applyBorder="1"/>
    <xf numFmtId="166" fontId="0" fillId="0" borderId="2" xfId="1" applyNumberFormat="1" applyFont="1" applyBorder="1"/>
    <xf numFmtId="0" fontId="3" fillId="0" borderId="3" xfId="0" applyFont="1" applyBorder="1"/>
    <xf numFmtId="0" fontId="3" fillId="0" borderId="6" xfId="0" applyFont="1" applyBorder="1"/>
    <xf numFmtId="1" fontId="0" fillId="0" borderId="6" xfId="0" applyNumberFormat="1" applyBorder="1"/>
    <xf numFmtId="0" fontId="2" fillId="0" borderId="4" xfId="0" applyFont="1" applyBorder="1"/>
    <xf numFmtId="44" fontId="0" fillId="0" borderId="4" xfId="0" applyNumberFormat="1" applyBorder="1"/>
    <xf numFmtId="0" fontId="3" fillId="0" borderId="5" xfId="0" applyFont="1" applyBorder="1"/>
    <xf numFmtId="0" fontId="0" fillId="0" borderId="5" xfId="0" applyBorder="1"/>
    <xf numFmtId="44" fontId="0" fillId="0" borderId="2" xfId="1" applyFont="1" applyBorder="1"/>
    <xf numFmtId="0" fontId="5" fillId="0" borderId="7" xfId="0" applyFont="1" applyBorder="1"/>
    <xf numFmtId="44" fontId="0" fillId="0" borderId="7" xfId="0" applyNumberFormat="1" applyBorder="1"/>
    <xf numFmtId="0" fontId="0" fillId="0" borderId="0" xfId="0" applyAlignment="1">
      <alignment horizontal="right"/>
    </xf>
    <xf numFmtId="44" fontId="0" fillId="6" borderId="1" xfId="1" applyFont="1" applyFill="1" applyBorder="1"/>
    <xf numFmtId="167" fontId="0" fillId="0" borderId="0" xfId="0" applyNumberFormat="1"/>
    <xf numFmtId="0" fontId="6" fillId="0" borderId="0" xfId="4"/>
    <xf numFmtId="0" fontId="0" fillId="0" borderId="0" xfId="0" applyAlignment="1">
      <alignment wrapText="1"/>
    </xf>
    <xf numFmtId="0" fontId="0" fillId="0" borderId="0" xfId="0" applyAlignment="1">
      <alignment vertical="center"/>
    </xf>
    <xf numFmtId="0" fontId="2" fillId="0" borderId="0" xfId="0" applyFont="1" applyFill="1"/>
    <xf numFmtId="0" fontId="0" fillId="0" borderId="0" xfId="0" applyFill="1"/>
    <xf numFmtId="0" fontId="0" fillId="0" borderId="0" xfId="0" applyAlignment="1">
      <alignment horizontal="left" vertical="center"/>
    </xf>
    <xf numFmtId="0" fontId="0" fillId="0" borderId="0" xfId="0" applyFont="1" applyFill="1" applyBorder="1"/>
    <xf numFmtId="0" fontId="0" fillId="0" borderId="0" xfId="0" applyFont="1" applyBorder="1"/>
    <xf numFmtId="167" fontId="0" fillId="0" borderId="0" xfId="3" applyNumberFormat="1" applyFont="1" applyBorder="1"/>
    <xf numFmtId="167" fontId="0" fillId="0" borderId="3" xfId="3" applyNumberFormat="1" applyFont="1" applyBorder="1"/>
    <xf numFmtId="0" fontId="3" fillId="0" borderId="4" xfId="0" applyFont="1" applyBorder="1"/>
    <xf numFmtId="166" fontId="0" fillId="0" borderId="5" xfId="1" applyNumberFormat="1" applyFont="1" applyBorder="1"/>
    <xf numFmtId="0" fontId="2" fillId="2" borderId="0" xfId="0" applyFont="1" applyFill="1" applyBorder="1"/>
    <xf numFmtId="0" fontId="0" fillId="0" borderId="0" xfId="0" applyBorder="1" applyAlignment="1">
      <alignment vertical="center"/>
    </xf>
    <xf numFmtId="0" fontId="0" fillId="0" borderId="0" xfId="0" applyBorder="1" applyAlignment="1">
      <alignment wrapText="1"/>
    </xf>
    <xf numFmtId="165" fontId="0" fillId="3" borderId="0" xfId="1" applyNumberFormat="1" applyFont="1" applyFill="1" applyBorder="1"/>
    <xf numFmtId="0" fontId="0" fillId="3" borderId="2" xfId="0" applyFill="1" applyBorder="1"/>
    <xf numFmtId="0" fontId="3" fillId="0" borderId="2" xfId="0" applyFont="1" applyBorder="1"/>
    <xf numFmtId="44" fontId="0" fillId="0" borderId="0" xfId="1" applyFont="1" applyBorder="1"/>
    <xf numFmtId="9" fontId="0" fillId="6" borderId="1" xfId="0" applyNumberFormat="1" applyFill="1" applyBorder="1"/>
    <xf numFmtId="44" fontId="0" fillId="3" borderId="0" xfId="1" applyFont="1" applyFill="1" applyBorder="1"/>
    <xf numFmtId="169" fontId="0" fillId="0" borderId="0" xfId="2" applyNumberFormat="1" applyFont="1"/>
    <xf numFmtId="1" fontId="2" fillId="2" borderId="0" xfId="0" applyNumberFormat="1" applyFont="1" applyFill="1"/>
    <xf numFmtId="3" fontId="0" fillId="0" borderId="0" xfId="0" applyNumberFormat="1"/>
    <xf numFmtId="3" fontId="0" fillId="0" borderId="0" xfId="0" applyNumberFormat="1" applyFont="1" applyBorder="1"/>
    <xf numFmtId="169" fontId="0" fillId="6" borderId="8" xfId="2" applyNumberFormat="1" applyFont="1" applyFill="1" applyBorder="1"/>
    <xf numFmtId="169" fontId="0" fillId="6" borderId="1" xfId="2" applyNumberFormat="1" applyFont="1" applyFill="1" applyBorder="1"/>
    <xf numFmtId="165" fontId="0" fillId="6" borderId="1" xfId="1" applyNumberFormat="1" applyFont="1" applyFill="1" applyBorder="1"/>
    <xf numFmtId="8" fontId="0" fillId="0" borderId="0" xfId="0" applyNumberFormat="1"/>
    <xf numFmtId="0" fontId="5" fillId="0" borderId="9" xfId="0" applyFont="1" applyFill="1" applyBorder="1"/>
    <xf numFmtId="0" fontId="5" fillId="0" borderId="4" xfId="0" applyFont="1" applyBorder="1"/>
    <xf numFmtId="165" fontId="0" fillId="0" borderId="4" xfId="0" applyNumberFormat="1" applyBorder="1"/>
    <xf numFmtId="165" fontId="0" fillId="0" borderId="9" xfId="0" applyNumberFormat="1" applyBorder="1"/>
    <xf numFmtId="165" fontId="0" fillId="0" borderId="3" xfId="0" applyNumberFormat="1" applyBorder="1"/>
    <xf numFmtId="165" fontId="0" fillId="0" borderId="0" xfId="0" applyNumberFormat="1" applyBorder="1"/>
    <xf numFmtId="0" fontId="0" fillId="8" borderId="0" xfId="0" applyFill="1"/>
    <xf numFmtId="169" fontId="4" fillId="4" borderId="0" xfId="2" applyNumberFormat="1" applyFont="1" applyFill="1"/>
    <xf numFmtId="10" fontId="0" fillId="0" borderId="0" xfId="2" applyNumberFormat="1" applyFont="1"/>
    <xf numFmtId="0" fontId="0" fillId="8" borderId="0" xfId="0" applyFill="1" applyAlignment="1">
      <alignment wrapText="1"/>
    </xf>
    <xf numFmtId="0" fontId="2" fillId="4" borderId="1" xfId="0" applyFont="1" applyFill="1" applyBorder="1"/>
    <xf numFmtId="0" fontId="0" fillId="6" borderId="1" xfId="0" applyFill="1" applyBorder="1"/>
    <xf numFmtId="1" fontId="0" fillId="0" borderId="0" xfId="2" applyNumberFormat="1" applyFont="1"/>
    <xf numFmtId="44" fontId="0" fillId="0" borderId="0" xfId="1" applyNumberFormat="1" applyFont="1"/>
    <xf numFmtId="9" fontId="0" fillId="6" borderId="16" xfId="0" applyNumberFormat="1" applyFill="1" applyBorder="1"/>
    <xf numFmtId="0" fontId="9" fillId="8" borderId="0" xfId="0" applyFont="1" applyFill="1"/>
    <xf numFmtId="0" fontId="11" fillId="8" borderId="0" xfId="0" applyFont="1" applyFill="1"/>
    <xf numFmtId="0" fontId="4" fillId="8" borderId="0" xfId="0" applyFont="1" applyFill="1"/>
    <xf numFmtId="170" fontId="0" fillId="8" borderId="0" xfId="0" applyNumberFormat="1" applyFill="1"/>
    <xf numFmtId="0" fontId="10" fillId="8" borderId="0" xfId="0" applyFont="1" applyFill="1" applyBorder="1" applyAlignment="1"/>
    <xf numFmtId="0" fontId="0" fillId="11" borderId="0" xfId="0" applyFill="1"/>
    <xf numFmtId="0" fontId="2" fillId="4" borderId="10" xfId="0" applyFont="1" applyFill="1" applyBorder="1"/>
    <xf numFmtId="0" fontId="0" fillId="4" borderId="10" xfId="0" applyFont="1" applyFill="1" applyBorder="1"/>
    <xf numFmtId="0" fontId="0" fillId="4" borderId="1" xfId="0" applyFill="1" applyBorder="1"/>
    <xf numFmtId="2" fontId="0" fillId="0" borderId="0" xfId="1" applyNumberFormat="1" applyFont="1"/>
    <xf numFmtId="0" fontId="4" fillId="2" borderId="1" xfId="0" applyFont="1" applyFill="1" applyBorder="1" applyAlignment="1">
      <alignment vertical="center" wrapText="1"/>
    </xf>
    <xf numFmtId="0" fontId="0" fillId="7" borderId="18" xfId="0" applyFill="1" applyBorder="1" applyAlignment="1">
      <alignment wrapText="1"/>
    </xf>
    <xf numFmtId="0" fontId="0" fillId="7" borderId="18" xfId="0" applyFill="1" applyBorder="1"/>
    <xf numFmtId="0" fontId="0" fillId="7" borderId="21" xfId="0" applyFill="1" applyBorder="1"/>
    <xf numFmtId="172" fontId="12" fillId="7" borderId="18" xfId="1" applyNumberFormat="1" applyFont="1" applyFill="1" applyBorder="1" applyAlignment="1">
      <alignment horizontal="center" vertical="center"/>
    </xf>
    <xf numFmtId="172" fontId="12" fillId="7" borderId="21" xfId="1" applyNumberFormat="1" applyFont="1" applyFill="1" applyBorder="1" applyAlignment="1">
      <alignment horizontal="center" vertical="center"/>
    </xf>
    <xf numFmtId="165" fontId="0" fillId="7" borderId="18" xfId="1" applyNumberFormat="1" applyFont="1" applyFill="1" applyBorder="1" applyAlignment="1">
      <alignment horizontal="left" wrapText="1"/>
    </xf>
    <xf numFmtId="1" fontId="0" fillId="7" borderId="18" xfId="2" applyNumberFormat="1" applyFont="1" applyFill="1" applyBorder="1"/>
    <xf numFmtId="1" fontId="0" fillId="7" borderId="21" xfId="2" applyNumberFormat="1" applyFont="1" applyFill="1" applyBorder="1"/>
    <xf numFmtId="0" fontId="0" fillId="8" borderId="0" xfId="0" applyFill="1" applyAlignment="1">
      <alignment vertical="center"/>
    </xf>
    <xf numFmtId="0" fontId="13" fillId="9" borderId="17" xfId="0" applyFont="1" applyFill="1" applyBorder="1" applyAlignment="1">
      <alignment vertical="center" wrapText="1"/>
    </xf>
    <xf numFmtId="0" fontId="13" fillId="9" borderId="0" xfId="0" applyFont="1" applyFill="1" applyBorder="1" applyAlignment="1">
      <alignment vertical="center" wrapText="1"/>
    </xf>
    <xf numFmtId="0" fontId="13" fillId="9" borderId="18" xfId="0" applyFont="1" applyFill="1" applyBorder="1" applyAlignment="1">
      <alignment vertical="center" wrapText="1"/>
    </xf>
    <xf numFmtId="0" fontId="13" fillId="9" borderId="17" xfId="0" applyFont="1" applyFill="1" applyBorder="1" applyAlignment="1">
      <alignment horizontal="left" vertical="center" wrapText="1"/>
    </xf>
    <xf numFmtId="0" fontId="11" fillId="9" borderId="17" xfId="0" applyFont="1" applyFill="1" applyBorder="1"/>
    <xf numFmtId="3" fontId="11" fillId="3" borderId="18" xfId="0" applyNumberFormat="1" applyFont="1" applyFill="1" applyBorder="1"/>
    <xf numFmtId="0" fontId="11" fillId="9" borderId="19" xfId="0" applyFont="1" applyFill="1" applyBorder="1"/>
    <xf numFmtId="3" fontId="11" fillId="9" borderId="0" xfId="0" applyNumberFormat="1" applyFont="1" applyFill="1" applyBorder="1"/>
    <xf numFmtId="3" fontId="11" fillId="2" borderId="18" xfId="0" applyNumberFormat="1" applyFont="1" applyFill="1" applyBorder="1"/>
    <xf numFmtId="3" fontId="11" fillId="9" borderId="20" xfId="0" applyNumberFormat="1" applyFont="1" applyFill="1" applyBorder="1"/>
    <xf numFmtId="3" fontId="11" fillId="2" borderId="21" xfId="0" applyNumberFormat="1" applyFont="1" applyFill="1" applyBorder="1"/>
    <xf numFmtId="0" fontId="11" fillId="9" borderId="18" xfId="0" applyFont="1" applyFill="1" applyBorder="1"/>
    <xf numFmtId="0" fontId="11" fillId="9" borderId="18" xfId="0" applyFont="1" applyFill="1" applyBorder="1" applyAlignment="1"/>
    <xf numFmtId="0" fontId="11" fillId="9" borderId="21" xfId="0" applyFont="1" applyFill="1" applyBorder="1"/>
    <xf numFmtId="0" fontId="11" fillId="3" borderId="1" xfId="0" applyFont="1" applyFill="1" applyBorder="1" applyAlignment="1"/>
    <xf numFmtId="3" fontId="11" fillId="3" borderId="18" xfId="0" applyNumberFormat="1" applyFont="1" applyFill="1" applyBorder="1" applyAlignment="1">
      <alignment vertical="center"/>
    </xf>
    <xf numFmtId="0" fontId="11" fillId="9" borderId="17" xfId="0" applyFont="1" applyFill="1" applyBorder="1" applyAlignment="1">
      <alignment vertical="center" wrapText="1"/>
    </xf>
    <xf numFmtId="169" fontId="0" fillId="6" borderId="1" xfId="0" applyNumberFormat="1" applyFill="1" applyBorder="1"/>
    <xf numFmtId="1" fontId="0" fillId="0" borderId="0" xfId="1" applyNumberFormat="1" applyFont="1"/>
    <xf numFmtId="165" fontId="0" fillId="0" borderId="0" xfId="1" applyNumberFormat="1" applyFont="1" applyFill="1" applyBorder="1"/>
    <xf numFmtId="0" fontId="14" fillId="0" borderId="0" xfId="0" applyFont="1"/>
    <xf numFmtId="165" fontId="14" fillId="0" borderId="0" xfId="1" applyNumberFormat="1" applyFont="1"/>
    <xf numFmtId="0" fontId="0" fillId="0" borderId="0" xfId="2" applyNumberFormat="1" applyFont="1"/>
    <xf numFmtId="44" fontId="0" fillId="0" borderId="9" xfId="0" applyNumberFormat="1" applyBorder="1"/>
    <xf numFmtId="171" fontId="0" fillId="0" borderId="0" xfId="0" applyNumberFormat="1"/>
    <xf numFmtId="171" fontId="0" fillId="0" borderId="0" xfId="1" applyNumberFormat="1" applyFont="1"/>
    <xf numFmtId="0" fontId="0" fillId="0" borderId="0" xfId="0" applyNumberFormat="1"/>
    <xf numFmtId="0" fontId="0" fillId="6" borderId="1" xfId="2" applyNumberFormat="1" applyFont="1" applyFill="1" applyBorder="1"/>
    <xf numFmtId="0" fontId="16" fillId="12" borderId="0" xfId="5"/>
    <xf numFmtId="0" fontId="3" fillId="0" borderId="4" xfId="0" applyFont="1" applyFill="1" applyBorder="1"/>
    <xf numFmtId="0" fontId="3" fillId="4" borderId="0" xfId="0" applyFont="1" applyFill="1"/>
    <xf numFmtId="0" fontId="2" fillId="10" borderId="0" xfId="0" applyFont="1" applyFill="1"/>
    <xf numFmtId="0" fontId="2" fillId="11" borderId="11" xfId="0" applyFont="1" applyFill="1" applyBorder="1"/>
    <xf numFmtId="0" fontId="2" fillId="11" borderId="1" xfId="0" applyFont="1" applyFill="1" applyBorder="1"/>
    <xf numFmtId="3" fontId="17" fillId="0" borderId="0" xfId="0" applyNumberFormat="1" applyFont="1"/>
    <xf numFmtId="3" fontId="14" fillId="0" borderId="0" xfId="0" applyNumberFormat="1" applyFont="1" applyBorder="1"/>
    <xf numFmtId="0" fontId="2" fillId="4" borderId="0" xfId="0" applyFont="1" applyFill="1"/>
    <xf numFmtId="44" fontId="0" fillId="0" borderId="3" xfId="1" applyFont="1" applyFill="1" applyBorder="1"/>
    <xf numFmtId="44" fontId="16" fillId="12" borderId="0" xfId="5" applyNumberFormat="1"/>
    <xf numFmtId="44" fontId="0" fillId="0" borderId="4" xfId="1" applyFont="1" applyFill="1" applyBorder="1"/>
    <xf numFmtId="0" fontId="4" fillId="2" borderId="0" xfId="0" applyFont="1" applyFill="1" applyAlignment="1">
      <alignment horizontal="left"/>
    </xf>
    <xf numFmtId="0" fontId="2" fillId="2" borderId="0" xfId="0" applyFont="1" applyFill="1" applyAlignment="1">
      <alignment horizontal="left"/>
    </xf>
    <xf numFmtId="165" fontId="3" fillId="0" borderId="3" xfId="0" applyNumberFormat="1" applyFont="1" applyBorder="1"/>
    <xf numFmtId="165" fontId="0" fillId="0" borderId="0" xfId="0" applyNumberFormat="1" applyFont="1"/>
    <xf numFmtId="0" fontId="16" fillId="12" borderId="0" xfId="5" applyBorder="1"/>
    <xf numFmtId="165" fontId="16" fillId="12" borderId="0" xfId="5" applyNumberFormat="1"/>
    <xf numFmtId="44" fontId="0" fillId="0" borderId="4" xfId="1" applyFont="1" applyBorder="1"/>
    <xf numFmtId="0" fontId="10" fillId="2" borderId="0" xfId="0" applyFont="1" applyFill="1" applyBorder="1" applyAlignment="1">
      <alignment horizontal="center"/>
    </xf>
    <xf numFmtId="0" fontId="11" fillId="8" borderId="0" xfId="0" applyFont="1" applyFill="1" applyAlignment="1">
      <alignment horizontal="left" wrapText="1"/>
    </xf>
    <xf numFmtId="0" fontId="4" fillId="8" borderId="0" xfId="0" applyFont="1" applyFill="1" applyAlignment="1">
      <alignment horizontal="left" wrapText="1"/>
    </xf>
    <xf numFmtId="0" fontId="9" fillId="3" borderId="10" xfId="0" applyFont="1" applyFill="1" applyBorder="1" applyAlignment="1">
      <alignment horizontal="center"/>
    </xf>
    <xf numFmtId="0" fontId="9" fillId="3" borderId="15" xfId="0" applyFont="1" applyFill="1" applyBorder="1" applyAlignment="1">
      <alignment horizontal="center"/>
    </xf>
    <xf numFmtId="0" fontId="9" fillId="3" borderId="11" xfId="0" applyFont="1" applyFill="1" applyBorder="1" applyAlignment="1">
      <alignment horizontal="center"/>
    </xf>
    <xf numFmtId="164" fontId="9" fillId="7" borderId="17" xfId="0" applyNumberFormat="1" applyFont="1" applyFill="1" applyBorder="1" applyAlignment="1">
      <alignment horizontal="center"/>
    </xf>
    <xf numFmtId="164" fontId="9" fillId="7" borderId="17" xfId="0" applyNumberFormat="1" applyFont="1" applyFill="1" applyBorder="1" applyAlignment="1">
      <alignment horizontal="center" vertical="top" wrapText="1"/>
    </xf>
    <xf numFmtId="164" fontId="9" fillId="7" borderId="19" xfId="0" applyNumberFormat="1" applyFont="1" applyFill="1" applyBorder="1" applyAlignment="1">
      <alignment horizontal="center" vertical="top" wrapText="1"/>
    </xf>
    <xf numFmtId="171" fontId="9" fillId="7" borderId="17" xfId="1" applyNumberFormat="1" applyFont="1" applyFill="1" applyBorder="1" applyAlignment="1">
      <alignment horizontal="center" vertical="center"/>
    </xf>
    <xf numFmtId="171" fontId="9" fillId="7" borderId="19" xfId="1" applyNumberFormat="1" applyFont="1" applyFill="1" applyBorder="1" applyAlignment="1">
      <alignment horizontal="center" vertical="center"/>
    </xf>
    <xf numFmtId="0" fontId="15" fillId="10" borderId="12" xfId="0" applyFont="1" applyFill="1" applyBorder="1" applyAlignment="1">
      <alignment horizontal="center" vertical="center"/>
    </xf>
    <xf numFmtId="0" fontId="15" fillId="10" borderId="14" xfId="0" applyFont="1" applyFill="1" applyBorder="1" applyAlignment="1">
      <alignment horizontal="center" vertical="center"/>
    </xf>
    <xf numFmtId="0" fontId="4" fillId="4" borderId="0" xfId="0" applyFont="1" applyFill="1" applyAlignment="1">
      <alignment horizontal="center"/>
    </xf>
    <xf numFmtId="0" fontId="4" fillId="2" borderId="12" xfId="0" applyFont="1" applyFill="1" applyBorder="1" applyAlignment="1">
      <alignment horizontal="center" vertical="center"/>
    </xf>
    <xf numFmtId="0" fontId="4" fillId="2" borderId="13" xfId="0" applyFont="1" applyFill="1" applyBorder="1" applyAlignment="1">
      <alignment horizontal="center" vertical="center"/>
    </xf>
    <xf numFmtId="0" fontId="4" fillId="2" borderId="14" xfId="0" applyFont="1" applyFill="1" applyBorder="1" applyAlignment="1">
      <alignment horizontal="center" vertical="center"/>
    </xf>
    <xf numFmtId="1" fontId="11" fillId="3" borderId="18" xfId="1" applyNumberFormat="1" applyFont="1" applyFill="1" applyBorder="1" applyAlignment="1">
      <alignment horizontal="right" vertical="center"/>
    </xf>
    <xf numFmtId="1" fontId="11" fillId="3" borderId="21" xfId="1" applyNumberFormat="1" applyFont="1" applyFill="1" applyBorder="1" applyAlignment="1">
      <alignment horizontal="right" vertical="center"/>
    </xf>
    <xf numFmtId="1" fontId="11" fillId="9" borderId="0" xfId="0" applyNumberFormat="1" applyFont="1" applyFill="1" applyBorder="1" applyAlignment="1">
      <alignment horizontal="right" vertical="center" wrapText="1"/>
    </xf>
    <xf numFmtId="1" fontId="11" fillId="9" borderId="20" xfId="0" applyNumberFormat="1" applyFont="1" applyFill="1" applyBorder="1" applyAlignment="1">
      <alignment horizontal="right" vertical="center" wrapText="1"/>
    </xf>
    <xf numFmtId="1" fontId="9" fillId="7" borderId="17" xfId="0" applyNumberFormat="1" applyFont="1" applyFill="1" applyBorder="1" applyAlignment="1">
      <alignment horizontal="center" wrapText="1"/>
    </xf>
    <xf numFmtId="0" fontId="4" fillId="2" borderId="12" xfId="0" applyFont="1" applyFill="1" applyBorder="1" applyAlignment="1">
      <alignment horizontal="center"/>
    </xf>
    <xf numFmtId="0" fontId="4" fillId="2" borderId="14" xfId="0" applyFont="1" applyFill="1" applyBorder="1" applyAlignment="1">
      <alignment horizontal="center"/>
    </xf>
    <xf numFmtId="0" fontId="13" fillId="9" borderId="0" xfId="0" applyFont="1" applyFill="1" applyBorder="1" applyAlignment="1">
      <alignment horizontal="center" vertical="center" wrapText="1"/>
    </xf>
    <xf numFmtId="0" fontId="11" fillId="9" borderId="0" xfId="0" applyFont="1" applyFill="1" applyBorder="1" applyAlignment="1">
      <alignment horizontal="right" wrapText="1"/>
    </xf>
    <xf numFmtId="0" fontId="11" fillId="9" borderId="0" xfId="0" applyFont="1" applyFill="1" applyBorder="1" applyAlignment="1">
      <alignment horizontal="right" vertical="center" wrapText="1"/>
    </xf>
    <xf numFmtId="0" fontId="11" fillId="9" borderId="17" xfId="0" applyFont="1" applyFill="1" applyBorder="1" applyAlignment="1">
      <alignment horizontal="left" wrapText="1"/>
    </xf>
    <xf numFmtId="0" fontId="11" fillId="9" borderId="19" xfId="0" applyFont="1" applyFill="1" applyBorder="1" applyAlignment="1">
      <alignment horizontal="left" wrapText="1"/>
    </xf>
    <xf numFmtId="0" fontId="4" fillId="4" borderId="0" xfId="0" applyFont="1" applyFill="1" applyAlignment="1">
      <alignment horizontal="left"/>
    </xf>
  </cellXfs>
  <cellStyles count="6">
    <cellStyle name="Bad" xfId="5" builtinId="27"/>
    <cellStyle name="Comma" xfId="3" builtinId="3"/>
    <cellStyle name="Currency" xfId="1" builtinId="4"/>
    <cellStyle name="Hyperlink" xfId="4" builtinId="8"/>
    <cellStyle name="Normal" xfId="0" builtinId="0"/>
    <cellStyle name="Percent" xfId="2" builtinId="5"/>
  </cellStyles>
  <dxfs count="13">
    <dxf>
      <font>
        <color rgb="FFC00000"/>
      </font>
      <fill>
        <patternFill>
          <bgColor theme="6" tint="0.79998168889431442"/>
        </patternFill>
      </fill>
    </dxf>
    <dxf>
      <font>
        <color rgb="FFC00000"/>
      </font>
      <fill>
        <patternFill>
          <bgColor theme="6" tint="0.79998168889431442"/>
        </patternFill>
      </fill>
    </dxf>
    <dxf>
      <font>
        <color theme="0" tint="-0.24994659260841701"/>
      </font>
      <fill>
        <patternFill>
          <bgColor theme="0" tint="-0.24994659260841701"/>
        </patternFill>
      </fill>
    </dxf>
    <dxf>
      <font>
        <color theme="0" tint="-0.24994659260841701"/>
      </font>
      <fill>
        <patternFill>
          <bgColor theme="0" tint="-0.24994659260841701"/>
        </patternFill>
      </fill>
      <border>
        <top style="thin">
          <color auto="1"/>
        </top>
        <vertical/>
        <horizontal/>
      </border>
    </dxf>
    <dxf>
      <font>
        <color theme="0" tint="-0.24994659260841701"/>
      </font>
      <fill>
        <patternFill>
          <bgColor theme="0" tint="-0.24994659260841701"/>
        </patternFill>
      </fill>
      <border>
        <left style="thin">
          <color auto="1"/>
        </left>
        <right style="thin">
          <color auto="1"/>
        </right>
        <top/>
        <bottom/>
        <vertical/>
        <horizontal/>
      </border>
    </dxf>
    <dxf>
      <font>
        <color theme="0" tint="-0.24994659260841701"/>
      </font>
      <fill>
        <patternFill>
          <bgColor theme="0" tint="-0.24994659260841701"/>
        </patternFill>
      </fill>
      <border>
        <top style="thin">
          <color auto="1"/>
        </top>
        <vertical/>
        <horizontal/>
      </border>
    </dxf>
    <dxf>
      <font>
        <color theme="0" tint="-0.24994659260841701"/>
      </font>
      <fill>
        <patternFill>
          <bgColor theme="0" tint="-0.24994659260841701"/>
        </patternFill>
      </fill>
      <border>
        <left style="thin">
          <color auto="1"/>
        </left>
        <right style="thin">
          <color auto="1"/>
        </right>
        <top/>
        <bottom/>
        <vertical/>
        <horizontal/>
      </border>
    </dxf>
    <dxf>
      <font>
        <color theme="0" tint="-0.24994659260841701"/>
      </font>
      <fill>
        <patternFill>
          <bgColor theme="0" tint="-0.24994659260841701"/>
        </patternFill>
      </fill>
      <border>
        <top style="thin">
          <color auto="1"/>
        </top>
        <vertical/>
        <horizontal/>
      </border>
    </dxf>
    <dxf>
      <font>
        <color theme="0" tint="-0.24994659260841701"/>
      </font>
      <fill>
        <patternFill>
          <bgColor theme="0" tint="-0.24994659260841701"/>
        </patternFill>
      </fill>
      <border>
        <bottom/>
        <vertical/>
        <horizontal/>
      </border>
    </dxf>
    <dxf>
      <font>
        <color theme="0" tint="-0.24994659260841701"/>
      </font>
      <fill>
        <patternFill>
          <bgColor theme="0" tint="-0.24994659260841701"/>
        </patternFill>
      </fill>
      <border>
        <bottom style="thin">
          <color auto="1"/>
        </bottom>
        <vertical/>
        <horizontal/>
      </border>
    </dxf>
    <dxf>
      <font>
        <color theme="0" tint="-0.24994659260841701"/>
      </font>
      <fill>
        <patternFill>
          <bgColor theme="0" tint="-0.24994659260841701"/>
        </patternFill>
      </fill>
      <border>
        <top style="thin">
          <color auto="1"/>
        </top>
        <vertical/>
        <horizontal/>
      </border>
    </dxf>
    <dxf>
      <font>
        <color theme="0" tint="-0.24994659260841701"/>
      </font>
      <fill>
        <patternFill>
          <bgColor theme="0" tint="-0.24994659260841701"/>
        </patternFill>
      </fill>
      <border>
        <left style="thin">
          <color auto="1"/>
        </left>
        <right style="thin">
          <color auto="1"/>
        </right>
        <top/>
        <bottom/>
        <vertical/>
        <horizontal/>
      </border>
    </dxf>
    <dxf>
      <font>
        <color theme="0" tint="-0.24994659260841701"/>
      </font>
      <fill>
        <patternFill>
          <bgColor theme="0" tint="-0.24994659260841701"/>
        </patternFill>
      </fill>
      <border>
        <left/>
        <right/>
        <top/>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Forecast Electricity Demand</c:v>
          </c:tx>
          <c:spPr>
            <a:ln w="28575" cap="rnd">
              <a:solidFill>
                <a:schemeClr val="accent1"/>
              </a:solidFill>
              <a:round/>
            </a:ln>
            <a:effectLst/>
          </c:spPr>
          <c:marker>
            <c:symbol val="none"/>
          </c:marker>
          <c:cat>
            <c:numRef>
              <c:f>'Resource Mix and Demand'!$B$56:$L$56</c:f>
              <c:numCache>
                <c:formatCode>General</c:formatCode>
                <c:ptCount val="11"/>
                <c:pt idx="0">
                  <c:v>0</c:v>
                </c:pt>
                <c:pt idx="1">
                  <c:v>1</c:v>
                </c:pt>
                <c:pt idx="2">
                  <c:v>2</c:v>
                </c:pt>
                <c:pt idx="3">
                  <c:v>3</c:v>
                </c:pt>
                <c:pt idx="4">
                  <c:v>4</c:v>
                </c:pt>
                <c:pt idx="5">
                  <c:v>5</c:v>
                </c:pt>
                <c:pt idx="6">
                  <c:v>6</c:v>
                </c:pt>
                <c:pt idx="7">
                  <c:v>7</c:v>
                </c:pt>
                <c:pt idx="8">
                  <c:v>8</c:v>
                </c:pt>
                <c:pt idx="9">
                  <c:v>9</c:v>
                </c:pt>
                <c:pt idx="10">
                  <c:v>10</c:v>
                </c:pt>
              </c:numCache>
            </c:numRef>
          </c:cat>
          <c:val>
            <c:numRef>
              <c:f>'Resource Mix and Demand'!$B$57:$L$57</c:f>
              <c:numCache>
                <c:formatCode>#,##0</c:formatCode>
                <c:ptCount val="11"/>
                <c:pt idx="0">
                  <c:v>9000000</c:v>
                </c:pt>
                <c:pt idx="1">
                  <c:v>8800000</c:v>
                </c:pt>
                <c:pt idx="2">
                  <c:v>8700000</c:v>
                </c:pt>
                <c:pt idx="3">
                  <c:v>8500000</c:v>
                </c:pt>
                <c:pt idx="4">
                  <c:v>8300000</c:v>
                </c:pt>
                <c:pt idx="5">
                  <c:v>8400000</c:v>
                </c:pt>
                <c:pt idx="6">
                  <c:v>8200000</c:v>
                </c:pt>
                <c:pt idx="7">
                  <c:v>8000000</c:v>
                </c:pt>
                <c:pt idx="8">
                  <c:v>8200000</c:v>
                </c:pt>
                <c:pt idx="9">
                  <c:v>8100000</c:v>
                </c:pt>
                <c:pt idx="10">
                  <c:v>8000000</c:v>
                </c:pt>
              </c:numCache>
            </c:numRef>
          </c:val>
          <c:smooth val="0"/>
          <c:extLst>
            <c:ext xmlns:c16="http://schemas.microsoft.com/office/drawing/2014/chart" uri="{C3380CC4-5D6E-409C-BE32-E72D297353CC}">
              <c16:uniqueId val="{00000000-D7E8-4573-9A80-BE87F3B373AD}"/>
            </c:ext>
          </c:extLst>
        </c:ser>
        <c:dLbls>
          <c:showLegendKey val="0"/>
          <c:showVal val="0"/>
          <c:showCatName val="0"/>
          <c:showSerName val="0"/>
          <c:showPercent val="0"/>
          <c:showBubbleSize val="0"/>
        </c:dLbls>
        <c:smooth val="0"/>
        <c:axId val="496221024"/>
        <c:axId val="496219064"/>
      </c:lineChart>
      <c:catAx>
        <c:axId val="496221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219064"/>
        <c:crosses val="autoZero"/>
        <c:auto val="1"/>
        <c:lblAlgn val="ctr"/>
        <c:lblOffset val="100"/>
        <c:noMultiLvlLbl val="0"/>
      </c:catAx>
      <c:valAx>
        <c:axId val="49621906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2210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Planned Retirements (MW)</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'Resource Mix and Demand'!$A$13</c:f>
              <c:strCache>
                <c:ptCount val="1"/>
                <c:pt idx="0">
                  <c:v>coal</c:v>
                </c:pt>
              </c:strCache>
            </c:strRef>
          </c:tx>
          <c:spPr>
            <a:solidFill>
              <a:schemeClr val="accent1"/>
            </a:solidFill>
            <a:ln>
              <a:noFill/>
            </a:ln>
            <a:effectLst/>
          </c:spPr>
          <c:invertIfNegative val="0"/>
          <c:val>
            <c:numRef>
              <c:f>'Resource Mix and Demand'!$B$13:$L$13</c:f>
              <c:numCache>
                <c:formatCode>#,##0</c:formatCode>
                <c:ptCount val="11"/>
                <c:pt idx="0">
                  <c:v>0</c:v>
                </c:pt>
                <c:pt idx="1">
                  <c:v>300</c:v>
                </c:pt>
                <c:pt idx="2">
                  <c:v>0</c:v>
                </c:pt>
                <c:pt idx="3">
                  <c:v>0</c:v>
                </c:pt>
                <c:pt idx="4">
                  <c:v>0</c:v>
                </c:pt>
                <c:pt idx="5">
                  <c:v>100</c:v>
                </c:pt>
                <c:pt idx="6">
                  <c:v>0</c:v>
                </c:pt>
                <c:pt idx="7">
                  <c:v>0</c:v>
                </c:pt>
                <c:pt idx="8">
                  <c:v>0</c:v>
                </c:pt>
                <c:pt idx="9">
                  <c:v>0</c:v>
                </c:pt>
                <c:pt idx="10">
                  <c:v>0</c:v>
                </c:pt>
              </c:numCache>
            </c:numRef>
          </c:val>
          <c:extLst>
            <c:ext xmlns:c16="http://schemas.microsoft.com/office/drawing/2014/chart" uri="{C3380CC4-5D6E-409C-BE32-E72D297353CC}">
              <c16:uniqueId val="{00000000-1A1F-49B5-B719-C4DFB76FD941}"/>
            </c:ext>
          </c:extLst>
        </c:ser>
        <c:ser>
          <c:idx val="1"/>
          <c:order val="1"/>
          <c:tx>
            <c:strRef>
              <c:f>'Resource Mix and Demand'!$A$15</c:f>
              <c:strCache>
                <c:ptCount val="1"/>
                <c:pt idx="0">
                  <c:v>nuclear</c:v>
                </c:pt>
              </c:strCache>
            </c:strRef>
          </c:tx>
          <c:spPr>
            <a:solidFill>
              <a:schemeClr val="accent2"/>
            </a:solidFill>
            <a:ln>
              <a:noFill/>
            </a:ln>
            <a:effectLst/>
          </c:spPr>
          <c:invertIfNegative val="0"/>
          <c:val>
            <c:numRef>
              <c:f>'Resource Mix and Demand'!$B$15:$L$15</c:f>
              <c:numCache>
                <c:formatCode>#,##0</c:formatCode>
                <c:ptCount val="11"/>
                <c:pt idx="0">
                  <c:v>0</c:v>
                </c:pt>
                <c:pt idx="1">
                  <c:v>0</c:v>
                </c:pt>
                <c:pt idx="2">
                  <c:v>0</c:v>
                </c:pt>
                <c:pt idx="3">
                  <c:v>500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1-1A1F-49B5-B719-C4DFB76FD941}"/>
            </c:ext>
          </c:extLst>
        </c:ser>
        <c:dLbls>
          <c:showLegendKey val="0"/>
          <c:showVal val="0"/>
          <c:showCatName val="0"/>
          <c:showSerName val="0"/>
          <c:showPercent val="0"/>
          <c:showBubbleSize val="0"/>
        </c:dLbls>
        <c:gapWidth val="219"/>
        <c:overlap val="-27"/>
        <c:axId val="496221416"/>
        <c:axId val="496224160"/>
      </c:barChart>
      <c:catAx>
        <c:axId val="4962214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224160"/>
        <c:crosses val="autoZero"/>
        <c:auto val="1"/>
        <c:lblAlgn val="ctr"/>
        <c:lblOffset val="100"/>
        <c:noMultiLvlLbl val="0"/>
      </c:catAx>
      <c:valAx>
        <c:axId val="4962241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2214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v>Start Year Capacity</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CD3-4BBE-9B41-0B899185009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CD3-4BBE-9B41-0B899185009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CD3-4BBE-9B41-0B899185009A}"/>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CD3-4BBE-9B41-0B899185009A}"/>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4CD3-4BBE-9B41-0B899185009A}"/>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4CD3-4BBE-9B41-0B899185009A}"/>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4CD3-4BBE-9B41-0B899185009A}"/>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'Game Assumptions'!$J$41:$J$47</c:f>
              <c:strCache>
                <c:ptCount val="7"/>
                <c:pt idx="0">
                  <c:v>coal</c:v>
                </c:pt>
                <c:pt idx="1">
                  <c:v>natural gas</c:v>
                </c:pt>
                <c:pt idx="2">
                  <c:v>nuclear</c:v>
                </c:pt>
                <c:pt idx="3">
                  <c:v>solar</c:v>
                </c:pt>
                <c:pt idx="4">
                  <c:v>wind</c:v>
                </c:pt>
                <c:pt idx="5">
                  <c:v>hydro</c:v>
                </c:pt>
                <c:pt idx="6">
                  <c:v>Utility EE</c:v>
                </c:pt>
              </c:strCache>
            </c:strRef>
          </c:cat>
          <c:val>
            <c:numRef>
              <c:f>'Game Assumptions'!$K$41:$K$47</c:f>
              <c:numCache>
                <c:formatCode>0</c:formatCode>
                <c:ptCount val="7"/>
                <c:pt idx="0">
                  <c:v>500</c:v>
                </c:pt>
                <c:pt idx="1">
                  <c:v>1200</c:v>
                </c:pt>
                <c:pt idx="2">
                  <c:v>500</c:v>
                </c:pt>
                <c:pt idx="3">
                  <c:v>30</c:v>
                </c:pt>
                <c:pt idx="4">
                  <c:v>30</c:v>
                </c:pt>
                <c:pt idx="5">
                  <c:v>30</c:v>
                </c:pt>
                <c:pt idx="6">
                  <c:v>10</c:v>
                </c:pt>
              </c:numCache>
            </c:numRef>
          </c:val>
          <c:extLst>
            <c:ext xmlns:c16="http://schemas.microsoft.com/office/drawing/2014/chart" uri="{C3380CC4-5D6E-409C-BE32-E72D297353CC}">
              <c16:uniqueId val="{0000000E-4CD3-4BBE-9B41-0B899185009A}"/>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Solar</a:t>
            </a:r>
            <a:r>
              <a:rPr lang="en-US" baseline="0"/>
              <a:t> and Wind Capital Costs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'Initial Setup'!$B$47</c:f>
              <c:strCache>
                <c:ptCount val="1"/>
                <c:pt idx="0">
                  <c:v>solar pv</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f>'Initial Setup'!$A$48:$A$58</c:f>
              <c:numCache>
                <c:formatCode>General</c:formatCode>
                <c:ptCount val="11"/>
                <c:pt idx="0">
                  <c:v>0</c:v>
                </c:pt>
                <c:pt idx="1">
                  <c:v>1</c:v>
                </c:pt>
                <c:pt idx="2">
                  <c:v>2</c:v>
                </c:pt>
                <c:pt idx="3">
                  <c:v>3</c:v>
                </c:pt>
                <c:pt idx="4">
                  <c:v>4</c:v>
                </c:pt>
                <c:pt idx="5">
                  <c:v>5</c:v>
                </c:pt>
                <c:pt idx="6">
                  <c:v>6</c:v>
                </c:pt>
                <c:pt idx="7">
                  <c:v>7</c:v>
                </c:pt>
                <c:pt idx="8">
                  <c:v>8</c:v>
                </c:pt>
                <c:pt idx="9">
                  <c:v>9</c:v>
                </c:pt>
                <c:pt idx="10">
                  <c:v>10</c:v>
                </c:pt>
              </c:numCache>
            </c:numRef>
          </c:cat>
          <c:val>
            <c:numRef>
              <c:f>'Initial Setup'!$B$48:$B$58</c:f>
              <c:numCache>
                <c:formatCode>0.000</c:formatCode>
                <c:ptCount val="11"/>
                <c:pt idx="0" formatCode="General">
                  <c:v>1.5625</c:v>
                </c:pt>
                <c:pt idx="1">
                  <c:v>1.40625</c:v>
                </c:pt>
                <c:pt idx="2">
                  <c:v>1.265625</c:v>
                </c:pt>
                <c:pt idx="3">
                  <c:v>1.1390625000000001</c:v>
                </c:pt>
                <c:pt idx="4">
                  <c:v>1.0251562500000002</c:v>
                </c:pt>
                <c:pt idx="5">
                  <c:v>0.92264062500000021</c:v>
                </c:pt>
                <c:pt idx="6">
                  <c:v>0.83037656250000025</c:v>
                </c:pt>
                <c:pt idx="7">
                  <c:v>0.74733890625000021</c:v>
                </c:pt>
                <c:pt idx="8">
                  <c:v>0.67260501562500019</c:v>
                </c:pt>
                <c:pt idx="9">
                  <c:v>0.60534451406250023</c:v>
                </c:pt>
                <c:pt idx="10">
                  <c:v>0.5448100626562502</c:v>
                </c:pt>
              </c:numCache>
            </c:numRef>
          </c:val>
          <c:smooth val="0"/>
          <c:extLst>
            <c:ext xmlns:c16="http://schemas.microsoft.com/office/drawing/2014/chart" uri="{C3380CC4-5D6E-409C-BE32-E72D297353CC}">
              <c16:uniqueId val="{00000000-C802-4B19-9FDF-41810A1217EE}"/>
            </c:ext>
          </c:extLst>
        </c:ser>
        <c:ser>
          <c:idx val="2"/>
          <c:order val="1"/>
          <c:tx>
            <c:strRef>
              <c:f>'Initial Setup'!$C$47</c:f>
              <c:strCache>
                <c:ptCount val="1"/>
                <c:pt idx="0">
                  <c:v>wind</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numRef>
              <c:f>'Initial Setup'!$A$48:$A$58</c:f>
              <c:numCache>
                <c:formatCode>General</c:formatCode>
                <c:ptCount val="11"/>
                <c:pt idx="0">
                  <c:v>0</c:v>
                </c:pt>
                <c:pt idx="1">
                  <c:v>1</c:v>
                </c:pt>
                <c:pt idx="2">
                  <c:v>2</c:v>
                </c:pt>
                <c:pt idx="3">
                  <c:v>3</c:v>
                </c:pt>
                <c:pt idx="4">
                  <c:v>4</c:v>
                </c:pt>
                <c:pt idx="5">
                  <c:v>5</c:v>
                </c:pt>
                <c:pt idx="6">
                  <c:v>6</c:v>
                </c:pt>
                <c:pt idx="7">
                  <c:v>7</c:v>
                </c:pt>
                <c:pt idx="8">
                  <c:v>8</c:v>
                </c:pt>
                <c:pt idx="9">
                  <c:v>9</c:v>
                </c:pt>
                <c:pt idx="10">
                  <c:v>10</c:v>
                </c:pt>
              </c:numCache>
            </c:numRef>
          </c:cat>
          <c:val>
            <c:numRef>
              <c:f>'Initial Setup'!$C$48:$C$58</c:f>
              <c:numCache>
                <c:formatCode>0.000</c:formatCode>
                <c:ptCount val="11"/>
                <c:pt idx="0" formatCode="General">
                  <c:v>1.4750000000000001</c:v>
                </c:pt>
                <c:pt idx="1">
                  <c:v>1.43075</c:v>
                </c:pt>
                <c:pt idx="2">
                  <c:v>1.3878275</c:v>
                </c:pt>
                <c:pt idx="3">
                  <c:v>1.3461926749999999</c:v>
                </c:pt>
                <c:pt idx="4">
                  <c:v>1.3058068947499999</c:v>
                </c:pt>
                <c:pt idx="5">
                  <c:v>1.2666326879074998</c:v>
                </c:pt>
                <c:pt idx="6">
                  <c:v>1.2286337072702749</c:v>
                </c:pt>
                <c:pt idx="7">
                  <c:v>1.1917746960521667</c:v>
                </c:pt>
                <c:pt idx="8">
                  <c:v>1.1560214551706016</c:v>
                </c:pt>
                <c:pt idx="9">
                  <c:v>1.1213408115154835</c:v>
                </c:pt>
                <c:pt idx="10">
                  <c:v>1.0877005871700189</c:v>
                </c:pt>
              </c:numCache>
            </c:numRef>
          </c:val>
          <c:smooth val="0"/>
          <c:extLst>
            <c:ext xmlns:c16="http://schemas.microsoft.com/office/drawing/2014/chart" uri="{C3380CC4-5D6E-409C-BE32-E72D297353CC}">
              <c16:uniqueId val="{00000001-C802-4B19-9FDF-41810A1217EE}"/>
            </c:ext>
          </c:extLst>
        </c:ser>
        <c:dLbls>
          <c:showLegendKey val="0"/>
          <c:showVal val="0"/>
          <c:showCatName val="0"/>
          <c:showSerName val="0"/>
          <c:showPercent val="0"/>
          <c:showBubbleSize val="0"/>
        </c:dLbls>
        <c:marker val="1"/>
        <c:smooth val="0"/>
        <c:axId val="425973632"/>
        <c:axId val="425974024"/>
      </c:lineChart>
      <c:catAx>
        <c:axId val="425973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974024"/>
        <c:crosses val="autoZero"/>
        <c:auto val="1"/>
        <c:lblAlgn val="ctr"/>
        <c:lblOffset val="100"/>
        <c:noMultiLvlLbl val="0"/>
      </c:catAx>
      <c:valAx>
        <c:axId val="4259740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$/W</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9736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Growth of Customer-Sited DERs and EE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Distributed PV</c:v>
          </c:tx>
          <c:spPr>
            <a:ln w="28575" cap="rnd">
              <a:solidFill>
                <a:schemeClr val="accent1"/>
              </a:solidFill>
              <a:round/>
            </a:ln>
            <a:effectLst/>
          </c:spPr>
          <c:marker>
            <c:symbol val="none"/>
          </c:marker>
          <c:cat>
            <c:numRef>
              <c:f>'Resource Mix and Demand'!$B$1:$L$1</c:f>
              <c:numCache>
                <c:formatCode>General</c:formatCode>
                <c:ptCount val="11"/>
                <c:pt idx="0">
                  <c:v>0</c:v>
                </c:pt>
                <c:pt idx="1">
                  <c:v>1</c:v>
                </c:pt>
                <c:pt idx="2">
                  <c:v>2</c:v>
                </c:pt>
                <c:pt idx="3">
                  <c:v>3</c:v>
                </c:pt>
                <c:pt idx="4">
                  <c:v>4</c:v>
                </c:pt>
                <c:pt idx="5">
                  <c:v>5</c:v>
                </c:pt>
                <c:pt idx="6">
                  <c:v>6</c:v>
                </c:pt>
                <c:pt idx="7">
                  <c:v>7</c:v>
                </c:pt>
                <c:pt idx="8">
                  <c:v>8</c:v>
                </c:pt>
                <c:pt idx="9">
                  <c:v>9</c:v>
                </c:pt>
                <c:pt idx="10">
                  <c:v>10</c:v>
                </c:pt>
              </c:numCache>
            </c:numRef>
          </c:cat>
          <c:val>
            <c:numRef>
              <c:f>'Resource Mix and Demand'!$B$32:$L$32</c:f>
              <c:numCache>
                <c:formatCode>#,##0</c:formatCode>
                <c:ptCount val="11"/>
                <c:pt idx="0">
                  <c:v>10</c:v>
                </c:pt>
                <c:pt idx="1">
                  <c:v>15</c:v>
                </c:pt>
                <c:pt idx="2">
                  <c:v>21</c:v>
                </c:pt>
                <c:pt idx="3">
                  <c:v>28</c:v>
                </c:pt>
                <c:pt idx="4">
                  <c:v>36</c:v>
                </c:pt>
                <c:pt idx="5">
                  <c:v>45</c:v>
                </c:pt>
                <c:pt idx="6">
                  <c:v>55</c:v>
                </c:pt>
                <c:pt idx="7">
                  <c:v>66</c:v>
                </c:pt>
                <c:pt idx="8">
                  <c:v>78</c:v>
                </c:pt>
                <c:pt idx="9">
                  <c:v>91</c:v>
                </c:pt>
                <c:pt idx="10">
                  <c:v>105</c:v>
                </c:pt>
              </c:numCache>
            </c:numRef>
          </c:val>
          <c:smooth val="0"/>
          <c:extLst>
            <c:ext xmlns:c16="http://schemas.microsoft.com/office/drawing/2014/chart" uri="{C3380CC4-5D6E-409C-BE32-E72D297353CC}">
              <c16:uniqueId val="{00000000-F0DB-47F7-9F70-B4933FAB947F}"/>
            </c:ext>
          </c:extLst>
        </c:ser>
        <c:ser>
          <c:idx val="1"/>
          <c:order val="1"/>
          <c:tx>
            <c:v>Customer Energy Efficiency</c:v>
          </c:tx>
          <c:spPr>
            <a:ln w="28575" cap="rnd">
              <a:solidFill>
                <a:schemeClr val="accent2"/>
              </a:solidFill>
              <a:round/>
            </a:ln>
            <a:effectLst/>
          </c:spPr>
          <c:marker>
            <c:symbol val="none"/>
          </c:marker>
          <c:val>
            <c:numRef>
              <c:f>'Resource Mix and Demand'!$B$31:$L$31</c:f>
              <c:numCache>
                <c:formatCode>#,##0</c:formatCode>
                <c:ptCount val="11"/>
                <c:pt idx="0">
                  <c:v>10</c:v>
                </c:pt>
                <c:pt idx="1">
                  <c:v>10.5</c:v>
                </c:pt>
                <c:pt idx="2">
                  <c:v>11.5</c:v>
                </c:pt>
                <c:pt idx="3">
                  <c:v>13</c:v>
                </c:pt>
                <c:pt idx="4">
                  <c:v>15</c:v>
                </c:pt>
                <c:pt idx="5">
                  <c:v>17.5</c:v>
                </c:pt>
                <c:pt idx="6">
                  <c:v>20.5</c:v>
                </c:pt>
                <c:pt idx="7">
                  <c:v>24</c:v>
                </c:pt>
                <c:pt idx="8">
                  <c:v>28</c:v>
                </c:pt>
                <c:pt idx="9">
                  <c:v>32.5</c:v>
                </c:pt>
                <c:pt idx="10">
                  <c:v>37.5</c:v>
                </c:pt>
              </c:numCache>
            </c:numRef>
          </c:val>
          <c:smooth val="0"/>
          <c:extLst>
            <c:ext xmlns:c16="http://schemas.microsoft.com/office/drawing/2014/chart" uri="{C3380CC4-5D6E-409C-BE32-E72D297353CC}">
              <c16:uniqueId val="{00000001-F0DB-47F7-9F70-B4933FAB947F}"/>
            </c:ext>
          </c:extLst>
        </c:ser>
        <c:dLbls>
          <c:showLegendKey val="0"/>
          <c:showVal val="0"/>
          <c:showCatName val="0"/>
          <c:showSerName val="0"/>
          <c:showPercent val="0"/>
          <c:showBubbleSize val="0"/>
        </c:dLbls>
        <c:smooth val="0"/>
        <c:axId val="425975200"/>
        <c:axId val="425975592"/>
      </c:lineChart>
      <c:catAx>
        <c:axId val="4259752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975592"/>
        <c:crosses val="autoZero"/>
        <c:auto val="1"/>
        <c:lblAlgn val="ctr"/>
        <c:lblOffset val="100"/>
        <c:noMultiLvlLbl val="0"/>
      </c:catAx>
      <c:valAx>
        <c:axId val="4259755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MW Capacity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9752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Graphs!$C$2</c:f>
              <c:strCache>
                <c:ptCount val="1"/>
                <c:pt idx="0">
                  <c:v>Past Rounds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Graphs!$A$3:$A$13</c:f>
              <c:strCache>
                <c:ptCount val="11"/>
                <c:pt idx="0">
                  <c:v>Round 0</c:v>
                </c:pt>
                <c:pt idx="1">
                  <c:v>Round 1</c:v>
                </c:pt>
                <c:pt idx="2">
                  <c:v>Round 2</c:v>
                </c:pt>
                <c:pt idx="3">
                  <c:v>Round 3</c:v>
                </c:pt>
                <c:pt idx="4">
                  <c:v>Round 4</c:v>
                </c:pt>
                <c:pt idx="5">
                  <c:v>Round 5</c:v>
                </c:pt>
                <c:pt idx="6">
                  <c:v>Round 6</c:v>
                </c:pt>
                <c:pt idx="7">
                  <c:v>Round 7</c:v>
                </c:pt>
                <c:pt idx="8">
                  <c:v>Round 8</c:v>
                </c:pt>
                <c:pt idx="9">
                  <c:v>Round 9</c:v>
                </c:pt>
                <c:pt idx="10">
                  <c:v>Round 10</c:v>
                </c:pt>
              </c:strCache>
            </c:strRef>
          </c:cat>
          <c:val>
            <c:numRef>
              <c:f>Graphs!$C$3:$C$13</c:f>
              <c:numCache>
                <c:formatCode>_("$"* #,##0.00_);_("$"* \(#,##0.00\);_("$"* "-"??_);_(@_)</c:formatCode>
                <c:ptCount val="11"/>
                <c:pt idx="0">
                  <c:v>81.049479225863763</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0-6E89-435C-8D3D-02CE956549BF}"/>
            </c:ext>
          </c:extLst>
        </c:ser>
        <c:ser>
          <c:idx val="1"/>
          <c:order val="1"/>
          <c:tx>
            <c:strRef>
              <c:f>Graphs!$D$2</c:f>
              <c:strCache>
                <c:ptCount val="1"/>
                <c:pt idx="0">
                  <c:v>Current Round + Past Round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Graphs!$A$3:$A$13</c:f>
              <c:strCache>
                <c:ptCount val="11"/>
                <c:pt idx="0">
                  <c:v>Round 0</c:v>
                </c:pt>
                <c:pt idx="1">
                  <c:v>Round 1</c:v>
                </c:pt>
                <c:pt idx="2">
                  <c:v>Round 2</c:v>
                </c:pt>
                <c:pt idx="3">
                  <c:v>Round 3</c:v>
                </c:pt>
                <c:pt idx="4">
                  <c:v>Round 4</c:v>
                </c:pt>
                <c:pt idx="5">
                  <c:v>Round 5</c:v>
                </c:pt>
                <c:pt idx="6">
                  <c:v>Round 6</c:v>
                </c:pt>
                <c:pt idx="7">
                  <c:v>Round 7</c:v>
                </c:pt>
                <c:pt idx="8">
                  <c:v>Round 8</c:v>
                </c:pt>
                <c:pt idx="9">
                  <c:v>Round 9</c:v>
                </c:pt>
                <c:pt idx="10">
                  <c:v>Round 10</c:v>
                </c:pt>
              </c:strCache>
            </c:strRef>
          </c:cat>
          <c:val>
            <c:numRef>
              <c:f>Graphs!$D$3:$D$13</c:f>
              <c:numCache>
                <c:formatCode>_("$"* #,##0.00_);_("$"* \(#,##0.00\);_("$"* "-"??_);_(@_)</c:formatCode>
                <c:ptCount val="11"/>
                <c:pt idx="0">
                  <c:v>81.049479225863763</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1-6E89-435C-8D3D-02CE956549BF}"/>
            </c:ext>
          </c:extLst>
        </c:ser>
        <c:dLbls>
          <c:showLegendKey val="0"/>
          <c:showVal val="0"/>
          <c:showCatName val="0"/>
          <c:showSerName val="0"/>
          <c:showPercent val="0"/>
          <c:showBubbleSize val="0"/>
        </c:dLbls>
        <c:marker val="1"/>
        <c:smooth val="0"/>
        <c:axId val="425976768"/>
        <c:axId val="425977160"/>
      </c:lineChart>
      <c:catAx>
        <c:axId val="4259767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425977160"/>
        <c:crosses val="autoZero"/>
        <c:auto val="1"/>
        <c:lblAlgn val="ctr"/>
        <c:lblOffset val="100"/>
        <c:noMultiLvlLbl val="0"/>
      </c:catAx>
      <c:valAx>
        <c:axId val="42597716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425976768"/>
        <c:crosses val="autoZero"/>
        <c:crossBetween val="between"/>
        <c:majorUnit val="20"/>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sz="1100"/>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Graphs!$C$2</c:f>
              <c:strCache>
                <c:ptCount val="1"/>
                <c:pt idx="0">
                  <c:v>Past Rounds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Graphs!$A$18:$A$28</c:f>
              <c:strCache>
                <c:ptCount val="11"/>
                <c:pt idx="0">
                  <c:v>Round 0</c:v>
                </c:pt>
                <c:pt idx="1">
                  <c:v>Round 1</c:v>
                </c:pt>
                <c:pt idx="2">
                  <c:v>Round 2</c:v>
                </c:pt>
                <c:pt idx="3">
                  <c:v>Round 3</c:v>
                </c:pt>
                <c:pt idx="4">
                  <c:v>Round 4</c:v>
                </c:pt>
                <c:pt idx="5">
                  <c:v>Round 5</c:v>
                </c:pt>
                <c:pt idx="6">
                  <c:v>Round 6</c:v>
                </c:pt>
                <c:pt idx="7">
                  <c:v>Round 7</c:v>
                </c:pt>
                <c:pt idx="8">
                  <c:v>Round 8</c:v>
                </c:pt>
                <c:pt idx="9">
                  <c:v>Round 9</c:v>
                </c:pt>
                <c:pt idx="10">
                  <c:v>Round 10</c:v>
                </c:pt>
              </c:strCache>
            </c:strRef>
          </c:cat>
          <c:val>
            <c:numRef>
              <c:f>Graphs!$C$18:$C$28</c:f>
              <c:numCache>
                <c:formatCode>0.00</c:formatCode>
                <c:ptCount val="11"/>
                <c:pt idx="0">
                  <c:v>898.29849839716553</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0-15A7-4084-BA25-E358998CC5E3}"/>
            </c:ext>
          </c:extLst>
        </c:ser>
        <c:ser>
          <c:idx val="1"/>
          <c:order val="1"/>
          <c:tx>
            <c:strRef>
              <c:f>Graphs!$D$2</c:f>
              <c:strCache>
                <c:ptCount val="1"/>
                <c:pt idx="0">
                  <c:v>Current Round + Past Round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Graphs!$A$18:$A$28</c:f>
              <c:strCache>
                <c:ptCount val="11"/>
                <c:pt idx="0">
                  <c:v>Round 0</c:v>
                </c:pt>
                <c:pt idx="1">
                  <c:v>Round 1</c:v>
                </c:pt>
                <c:pt idx="2">
                  <c:v>Round 2</c:v>
                </c:pt>
                <c:pt idx="3">
                  <c:v>Round 3</c:v>
                </c:pt>
                <c:pt idx="4">
                  <c:v>Round 4</c:v>
                </c:pt>
                <c:pt idx="5">
                  <c:v>Round 5</c:v>
                </c:pt>
                <c:pt idx="6">
                  <c:v>Round 6</c:v>
                </c:pt>
                <c:pt idx="7">
                  <c:v>Round 7</c:v>
                </c:pt>
                <c:pt idx="8">
                  <c:v>Round 8</c:v>
                </c:pt>
                <c:pt idx="9">
                  <c:v>Round 9</c:v>
                </c:pt>
                <c:pt idx="10">
                  <c:v>Round 10</c:v>
                </c:pt>
              </c:strCache>
            </c:strRef>
          </c:cat>
          <c:val>
            <c:numRef>
              <c:f>Graphs!$D$18:$D$28</c:f>
              <c:numCache>
                <c:formatCode>0.00</c:formatCode>
                <c:ptCount val="11"/>
                <c:pt idx="0">
                  <c:v>898.29849839716553</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1-15A7-4084-BA25-E358998CC5E3}"/>
            </c:ext>
          </c:extLst>
        </c:ser>
        <c:dLbls>
          <c:showLegendKey val="0"/>
          <c:showVal val="0"/>
          <c:showCatName val="0"/>
          <c:showSerName val="0"/>
          <c:showPercent val="0"/>
          <c:showBubbleSize val="0"/>
        </c:dLbls>
        <c:marker val="1"/>
        <c:smooth val="0"/>
        <c:axId val="132599800"/>
        <c:axId val="132600584"/>
      </c:lineChart>
      <c:catAx>
        <c:axId val="1325998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32600584"/>
        <c:crosses val="autoZero"/>
        <c:auto val="1"/>
        <c:lblAlgn val="ctr"/>
        <c:lblOffset val="100"/>
        <c:noMultiLvlLbl val="0"/>
      </c:catAx>
      <c:valAx>
        <c:axId val="13260058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32599800"/>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sz="1100"/>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Graphs!$C$2</c:f>
              <c:strCache>
                <c:ptCount val="1"/>
                <c:pt idx="0">
                  <c:v>Past Rounds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Graphs!$A$34:$A$44</c:f>
              <c:strCache>
                <c:ptCount val="11"/>
                <c:pt idx="0">
                  <c:v>Round 0</c:v>
                </c:pt>
                <c:pt idx="1">
                  <c:v>Round 1</c:v>
                </c:pt>
                <c:pt idx="2">
                  <c:v>Round 2</c:v>
                </c:pt>
                <c:pt idx="3">
                  <c:v>Round 3</c:v>
                </c:pt>
                <c:pt idx="4">
                  <c:v>Round 4</c:v>
                </c:pt>
                <c:pt idx="5">
                  <c:v>Round 5</c:v>
                </c:pt>
                <c:pt idx="6">
                  <c:v>Round 6</c:v>
                </c:pt>
                <c:pt idx="7">
                  <c:v>Round 7</c:v>
                </c:pt>
                <c:pt idx="8">
                  <c:v>Round 8</c:v>
                </c:pt>
                <c:pt idx="9">
                  <c:v>Round 9</c:v>
                </c:pt>
                <c:pt idx="10">
                  <c:v>Round 10</c:v>
                </c:pt>
              </c:strCache>
            </c:strRef>
          </c:cat>
          <c:val>
            <c:numRef>
              <c:f>Graphs!$C$34:$C$44</c:f>
              <c:numCache>
                <c:formatCode>"$"#,##0.00</c:formatCode>
                <c:ptCount val="11"/>
                <c:pt idx="0">
                  <c:v>4.2433290121337892</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0-F989-41A3-A70E-856049FA2E98}"/>
            </c:ext>
          </c:extLst>
        </c:ser>
        <c:ser>
          <c:idx val="1"/>
          <c:order val="1"/>
          <c:tx>
            <c:strRef>
              <c:f>Graphs!$D$2</c:f>
              <c:strCache>
                <c:ptCount val="1"/>
                <c:pt idx="0">
                  <c:v>Current Round + Past Round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Graphs!$A$34:$A$44</c:f>
              <c:strCache>
                <c:ptCount val="11"/>
                <c:pt idx="0">
                  <c:v>Round 0</c:v>
                </c:pt>
                <c:pt idx="1">
                  <c:v>Round 1</c:v>
                </c:pt>
                <c:pt idx="2">
                  <c:v>Round 2</c:v>
                </c:pt>
                <c:pt idx="3">
                  <c:v>Round 3</c:v>
                </c:pt>
                <c:pt idx="4">
                  <c:v>Round 4</c:v>
                </c:pt>
                <c:pt idx="5">
                  <c:v>Round 5</c:v>
                </c:pt>
                <c:pt idx="6">
                  <c:v>Round 6</c:v>
                </c:pt>
                <c:pt idx="7">
                  <c:v>Round 7</c:v>
                </c:pt>
                <c:pt idx="8">
                  <c:v>Round 8</c:v>
                </c:pt>
                <c:pt idx="9">
                  <c:v>Round 9</c:v>
                </c:pt>
                <c:pt idx="10">
                  <c:v>Round 10</c:v>
                </c:pt>
              </c:strCache>
            </c:strRef>
          </c:cat>
          <c:val>
            <c:numRef>
              <c:f>Graphs!$D$34:$D$44</c:f>
              <c:numCache>
                <c:formatCode>"$"#,##0.00</c:formatCode>
                <c:ptCount val="11"/>
                <c:pt idx="0">
                  <c:v>4.2433290121337892</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1-F989-41A3-A70E-856049FA2E98}"/>
            </c:ext>
          </c:extLst>
        </c:ser>
        <c:dLbls>
          <c:showLegendKey val="0"/>
          <c:showVal val="0"/>
          <c:showCatName val="0"/>
          <c:showSerName val="0"/>
          <c:showPercent val="0"/>
          <c:showBubbleSize val="0"/>
        </c:dLbls>
        <c:marker val="1"/>
        <c:smooth val="0"/>
        <c:axId val="421547456"/>
        <c:axId val="130965536"/>
      </c:lineChart>
      <c:catAx>
        <c:axId val="421547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30965536"/>
        <c:crosses val="autoZero"/>
        <c:auto val="1"/>
        <c:lblAlgn val="ctr"/>
        <c:lblOffset val="100"/>
        <c:noMultiLvlLbl val="0"/>
      </c:catAx>
      <c:valAx>
        <c:axId val="13096553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421547456"/>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sz="1100"/>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Graphs!$C$2</c:f>
              <c:strCache>
                <c:ptCount val="1"/>
                <c:pt idx="0">
                  <c:v>Past Rounds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Graphs!$A$51:$A$61</c:f>
              <c:strCache>
                <c:ptCount val="11"/>
                <c:pt idx="0">
                  <c:v>Round 0</c:v>
                </c:pt>
                <c:pt idx="1">
                  <c:v>Round 1</c:v>
                </c:pt>
                <c:pt idx="2">
                  <c:v>Round 2</c:v>
                </c:pt>
                <c:pt idx="3">
                  <c:v>Round 3</c:v>
                </c:pt>
                <c:pt idx="4">
                  <c:v>Round 4</c:v>
                </c:pt>
                <c:pt idx="5">
                  <c:v>Round 5</c:v>
                </c:pt>
                <c:pt idx="6">
                  <c:v>Round 6</c:v>
                </c:pt>
                <c:pt idx="7">
                  <c:v>Round 7</c:v>
                </c:pt>
                <c:pt idx="8">
                  <c:v>Round 8</c:v>
                </c:pt>
                <c:pt idx="9">
                  <c:v>Round 9</c:v>
                </c:pt>
                <c:pt idx="10">
                  <c:v>Round 10</c:v>
                </c:pt>
              </c:strCache>
            </c:strRef>
          </c:cat>
          <c:val>
            <c:numRef>
              <c:f>Graphs!$C$51:$C$61</c:f>
              <c:numCache>
                <c:formatCode>0</c:formatCode>
                <c:ptCount val="11"/>
                <c:pt idx="0">
                  <c:v>287</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0-5A25-41F6-9BDD-92650B29C42E}"/>
            </c:ext>
          </c:extLst>
        </c:ser>
        <c:ser>
          <c:idx val="1"/>
          <c:order val="1"/>
          <c:tx>
            <c:strRef>
              <c:f>Graphs!$D$2</c:f>
              <c:strCache>
                <c:ptCount val="1"/>
                <c:pt idx="0">
                  <c:v>Current Round + Past Round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Graphs!$A$51:$A$61</c:f>
              <c:strCache>
                <c:ptCount val="11"/>
                <c:pt idx="0">
                  <c:v>Round 0</c:v>
                </c:pt>
                <c:pt idx="1">
                  <c:v>Round 1</c:v>
                </c:pt>
                <c:pt idx="2">
                  <c:v>Round 2</c:v>
                </c:pt>
                <c:pt idx="3">
                  <c:v>Round 3</c:v>
                </c:pt>
                <c:pt idx="4">
                  <c:v>Round 4</c:v>
                </c:pt>
                <c:pt idx="5">
                  <c:v>Round 5</c:v>
                </c:pt>
                <c:pt idx="6">
                  <c:v>Round 6</c:v>
                </c:pt>
                <c:pt idx="7">
                  <c:v>Round 7</c:v>
                </c:pt>
                <c:pt idx="8">
                  <c:v>Round 8</c:v>
                </c:pt>
                <c:pt idx="9">
                  <c:v>Round 9</c:v>
                </c:pt>
                <c:pt idx="10">
                  <c:v>Round 10</c:v>
                </c:pt>
              </c:strCache>
            </c:strRef>
          </c:cat>
          <c:val>
            <c:numRef>
              <c:f>Graphs!$D$51:$D$61</c:f>
              <c:numCache>
                <c:formatCode>0</c:formatCode>
                <c:ptCount val="11"/>
                <c:pt idx="0">
                  <c:v>287</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1-5A25-41F6-9BDD-92650B29C42E}"/>
            </c:ext>
          </c:extLst>
        </c:ser>
        <c:dLbls>
          <c:showLegendKey val="0"/>
          <c:showVal val="0"/>
          <c:showCatName val="0"/>
          <c:showSerName val="0"/>
          <c:showPercent val="0"/>
          <c:showBubbleSize val="0"/>
        </c:dLbls>
        <c:marker val="1"/>
        <c:smooth val="0"/>
        <c:axId val="501281664"/>
        <c:axId val="501279312"/>
      </c:lineChart>
      <c:catAx>
        <c:axId val="501281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501279312"/>
        <c:crosses val="autoZero"/>
        <c:auto val="1"/>
        <c:lblAlgn val="ctr"/>
        <c:lblOffset val="100"/>
        <c:noMultiLvlLbl val="0"/>
      </c:catAx>
      <c:valAx>
        <c:axId val="50127931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501281664"/>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sz="1100"/>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12C-499E-BFF3-B9C29F83E58C}"/>
              </c:ext>
            </c:extLst>
          </c:dPt>
          <c:val>
            <c:numRef>
              <c:f>'Resource Mix and Demand'!#REF!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'Resource Mix and Demand'!#REF!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'Resource Mix and Demand'!#REF!</c15:sqref>
                        </c15:formulaRef>
                      </c:ext>
                    </c:extLst>
                  </c:multiLvlStrRef>
                </c15:cat>
              </c15:filteredCategoryTitle>
            </c:ext>
            <c:ext xmlns:c16="http://schemas.microsoft.com/office/drawing/2014/chart" uri="{C3380CC4-5D6E-409C-BE32-E72D297353CC}">
              <c16:uniqueId val="{00000002-112C-499E-BFF3-B9C29F83E58C}"/>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Forecasted Load vs.</a:t>
            </a:r>
            <a:r>
              <a:rPr lang="en-US" baseline="0"/>
              <a:t> Actual Load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'Resource Mix and Demand'!$A$57</c:f>
              <c:strCache>
                <c:ptCount val="1"/>
                <c:pt idx="0">
                  <c:v>Forecast Demand (MWh)</c:v>
                </c:pt>
              </c:strCache>
            </c:strRef>
          </c:tx>
          <c:spPr>
            <a:ln w="28575" cap="rnd">
              <a:solidFill>
                <a:schemeClr val="accent1"/>
              </a:solidFill>
              <a:round/>
            </a:ln>
            <a:effectLst/>
          </c:spPr>
          <c:marker>
            <c:symbol val="none"/>
          </c:marker>
          <c:cat>
            <c:numRef>
              <c:f>'Resource Mix and Demand'!$B$45:$L$45</c:f>
              <c:numCache>
                <c:formatCode>General</c:formatCode>
                <c:ptCount val="11"/>
                <c:pt idx="0">
                  <c:v>0</c:v>
                </c:pt>
                <c:pt idx="1">
                  <c:v>1</c:v>
                </c:pt>
                <c:pt idx="2">
                  <c:v>2</c:v>
                </c:pt>
                <c:pt idx="3">
                  <c:v>3</c:v>
                </c:pt>
                <c:pt idx="4">
                  <c:v>4</c:v>
                </c:pt>
                <c:pt idx="5">
                  <c:v>5</c:v>
                </c:pt>
                <c:pt idx="6">
                  <c:v>6</c:v>
                </c:pt>
                <c:pt idx="7">
                  <c:v>7</c:v>
                </c:pt>
                <c:pt idx="8">
                  <c:v>8</c:v>
                </c:pt>
                <c:pt idx="9">
                  <c:v>9</c:v>
                </c:pt>
                <c:pt idx="10">
                  <c:v>10</c:v>
                </c:pt>
              </c:numCache>
            </c:numRef>
          </c:cat>
          <c:val>
            <c:numRef>
              <c:f>'Resource Mix and Demand'!$B$57:$L$57</c:f>
              <c:numCache>
                <c:formatCode>#,##0</c:formatCode>
                <c:ptCount val="11"/>
                <c:pt idx="0">
                  <c:v>9000000</c:v>
                </c:pt>
                <c:pt idx="1">
                  <c:v>8800000</c:v>
                </c:pt>
                <c:pt idx="2">
                  <c:v>8700000</c:v>
                </c:pt>
                <c:pt idx="3">
                  <c:v>8500000</c:v>
                </c:pt>
                <c:pt idx="4">
                  <c:v>8300000</c:v>
                </c:pt>
                <c:pt idx="5">
                  <c:v>8400000</c:v>
                </c:pt>
                <c:pt idx="6">
                  <c:v>8200000</c:v>
                </c:pt>
                <c:pt idx="7">
                  <c:v>8000000</c:v>
                </c:pt>
                <c:pt idx="8">
                  <c:v>8200000</c:v>
                </c:pt>
                <c:pt idx="9">
                  <c:v>8100000</c:v>
                </c:pt>
                <c:pt idx="10">
                  <c:v>8000000</c:v>
                </c:pt>
              </c:numCache>
            </c:numRef>
          </c:val>
          <c:smooth val="0"/>
          <c:extLst>
            <c:ext xmlns:c16="http://schemas.microsoft.com/office/drawing/2014/chart" uri="{C3380CC4-5D6E-409C-BE32-E72D297353CC}">
              <c16:uniqueId val="{00000000-0D74-4A0B-8F2C-B813FD5D3CD5}"/>
            </c:ext>
          </c:extLst>
        </c:ser>
        <c:ser>
          <c:idx val="1"/>
          <c:order val="1"/>
          <c:spPr>
            <a:ln w="28575" cap="rnd">
              <a:solidFill>
                <a:schemeClr val="accent2"/>
              </a:solidFill>
              <a:round/>
            </a:ln>
            <a:effectLst/>
          </c:spPr>
          <c:marker>
            <c:symbol val="none"/>
          </c:marker>
          <c:cat>
            <c:numRef>
              <c:f>'Resource Mix and Demand'!$B$45:$L$45</c:f>
              <c:numCache>
                <c:formatCode>General</c:formatCode>
                <c:ptCount val="11"/>
                <c:pt idx="0">
                  <c:v>0</c:v>
                </c:pt>
                <c:pt idx="1">
                  <c:v>1</c:v>
                </c:pt>
                <c:pt idx="2">
                  <c:v>2</c:v>
                </c:pt>
                <c:pt idx="3">
                  <c:v>3</c:v>
                </c:pt>
                <c:pt idx="4">
                  <c:v>4</c:v>
                </c:pt>
                <c:pt idx="5">
                  <c:v>5</c:v>
                </c:pt>
                <c:pt idx="6">
                  <c:v>6</c:v>
                </c:pt>
                <c:pt idx="7">
                  <c:v>7</c:v>
                </c:pt>
                <c:pt idx="8">
                  <c:v>8</c:v>
                </c:pt>
                <c:pt idx="9">
                  <c:v>9</c:v>
                </c:pt>
                <c:pt idx="10">
                  <c:v>10</c:v>
                </c:pt>
              </c:numCache>
            </c:numRef>
          </c:cat>
          <c:val>
            <c:numRef>
              <c:f>'Resource Mix and Demand'!$B$59:$L$59</c:f>
              <c:numCache>
                <c:formatCode>#,##0</c:formatCode>
                <c:ptCount val="11"/>
                <c:pt idx="0">
                  <c:v>9000000</c:v>
                </c:pt>
                <c:pt idx="1">
                  <c:v>8448000</c:v>
                </c:pt>
                <c:pt idx="2">
                  <c:v>9135000</c:v>
                </c:pt>
                <c:pt idx="3">
                  <c:v>8840000</c:v>
                </c:pt>
                <c:pt idx="4">
                  <c:v>8715000</c:v>
                </c:pt>
                <c:pt idx="5">
                  <c:v>8568000</c:v>
                </c:pt>
                <c:pt idx="6">
                  <c:v>7954000</c:v>
                </c:pt>
                <c:pt idx="7">
                  <c:v>8400000</c:v>
                </c:pt>
                <c:pt idx="8">
                  <c:v>8118000</c:v>
                </c:pt>
                <c:pt idx="9">
                  <c:v>7776000</c:v>
                </c:pt>
                <c:pt idx="10">
                  <c:v>8000000</c:v>
                </c:pt>
              </c:numCache>
            </c:numRef>
          </c:val>
          <c:smooth val="0"/>
          <c:extLst>
            <c:ext xmlns:c16="http://schemas.microsoft.com/office/drawing/2014/chart" uri="{C3380CC4-5D6E-409C-BE32-E72D297353CC}">
              <c16:uniqueId val="{00000001-0D74-4A0B-8F2C-B813FD5D3CD5}"/>
            </c:ext>
          </c:extLst>
        </c:ser>
        <c:dLbls>
          <c:showLegendKey val="0"/>
          <c:showVal val="0"/>
          <c:showCatName val="0"/>
          <c:showSerName val="0"/>
          <c:showPercent val="0"/>
          <c:showBubbleSize val="0"/>
        </c:dLbls>
        <c:smooth val="0"/>
        <c:axId val="501282448"/>
        <c:axId val="501279704"/>
      </c:lineChart>
      <c:catAx>
        <c:axId val="501282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279704"/>
        <c:crosses val="autoZero"/>
        <c:auto val="1"/>
        <c:lblAlgn val="ctr"/>
        <c:lblOffset val="100"/>
        <c:noMultiLvlLbl val="0"/>
      </c:catAx>
      <c:valAx>
        <c:axId val="50127970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2824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Supply Curve</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Dispatch!$B$137:$B$150</c:f>
              <c:numCache>
                <c:formatCode>_(* #,##0_);_(* \(#,##0\);_(* "-"??_);_(@_)</c:formatCode>
                <c:ptCount val="14"/>
                <c:pt idx="0" formatCode="General">
                  <c:v>0</c:v>
                </c:pt>
                <c:pt idx="1">
                  <c:v>87600</c:v>
                </c:pt>
                <c:pt idx="2">
                  <c:v>87600</c:v>
                </c:pt>
                <c:pt idx="3">
                  <c:v>153300</c:v>
                </c:pt>
                <c:pt idx="4">
                  <c:v>153300</c:v>
                </c:pt>
                <c:pt idx="5">
                  <c:v>232140</c:v>
                </c:pt>
                <c:pt idx="6">
                  <c:v>232140</c:v>
                </c:pt>
                <c:pt idx="7">
                  <c:v>389820</c:v>
                </c:pt>
                <c:pt idx="8">
                  <c:v>389820</c:v>
                </c:pt>
                <c:pt idx="9">
                  <c:v>4331820</c:v>
                </c:pt>
                <c:pt idx="10">
                  <c:v>4331820</c:v>
                </c:pt>
                <c:pt idx="11">
                  <c:v>6959820</c:v>
                </c:pt>
                <c:pt idx="12">
                  <c:v>6959820</c:v>
                </c:pt>
                <c:pt idx="13">
                  <c:v>11164620</c:v>
                </c:pt>
              </c:numCache>
            </c:numRef>
          </c:xVal>
          <c:yVal>
            <c:numRef>
              <c:f>Dispatch!$C$137:$C$150</c:f>
              <c:numCache>
                <c:formatCode>_("$"* #,##0.00_);_("$"* \(#,##0.00\);_("$"* "-"??_);_(@_)</c:formatCode>
                <c:ptCount val="14"/>
                <c:pt idx="0">
                  <c:v>0</c:v>
                </c:pt>
                <c:pt idx="1">
                  <c:v>0</c:v>
                </c:pt>
                <c:pt idx="2">
                  <c:v>0.01</c:v>
                </c:pt>
                <c:pt idx="3">
                  <c:v>0.01</c:v>
                </c:pt>
                <c:pt idx="4">
                  <c:v>0.02</c:v>
                </c:pt>
                <c:pt idx="5">
                  <c:v>0.02</c:v>
                </c:pt>
                <c:pt idx="6">
                  <c:v>7</c:v>
                </c:pt>
                <c:pt idx="7">
                  <c:v>7</c:v>
                </c:pt>
                <c:pt idx="8">
                  <c:v>11.022499999999999</c:v>
                </c:pt>
                <c:pt idx="9">
                  <c:v>11.022499999999999</c:v>
                </c:pt>
                <c:pt idx="10">
                  <c:v>28.747499999999999</c:v>
                </c:pt>
                <c:pt idx="11">
                  <c:v>28.747499999999999</c:v>
                </c:pt>
                <c:pt idx="12">
                  <c:v>36.550000000000004</c:v>
                </c:pt>
                <c:pt idx="13">
                  <c:v>36.550000000000004</c:v>
                </c:pt>
              </c:numCache>
            </c:numRef>
          </c:yVal>
          <c:smooth val="0"/>
          <c:extLst>
            <c:ext xmlns:c16="http://schemas.microsoft.com/office/drawing/2014/chart" uri="{C3380CC4-5D6E-409C-BE32-E72D297353CC}">
              <c16:uniqueId val="{00000000-65C2-41FE-B917-9AEFB6AF1E42}"/>
            </c:ext>
          </c:extLst>
        </c:ser>
        <c:ser>
          <c:idx val="1"/>
          <c:order val="1"/>
          <c:tx>
            <c:v>Demand Curve</c:v>
          </c:tx>
          <c:spPr>
            <a:ln w="19050" cap="rnd">
              <a:solidFill>
                <a:schemeClr val="accent2"/>
              </a:solidFill>
              <a:round/>
            </a:ln>
            <a:effectLst/>
          </c:spPr>
          <c:marker>
            <c:symbol val="circle"/>
            <c:size val="5"/>
            <c:spPr>
              <a:noFill/>
              <a:ln w="9525">
                <a:noFill/>
              </a:ln>
              <a:effectLst/>
            </c:spPr>
          </c:marker>
          <c:xVal>
            <c:numRef>
              <c:f>Dispatch!$D$137:$D$150</c:f>
              <c:numCache>
                <c:formatCode>General</c:formatCode>
                <c:ptCount val="14"/>
                <c:pt idx="0">
                  <c:v>8890500</c:v>
                </c:pt>
                <c:pt idx="1">
                  <c:v>8890500</c:v>
                </c:pt>
                <c:pt idx="2">
                  <c:v>8890500</c:v>
                </c:pt>
                <c:pt idx="3">
                  <c:v>8890500</c:v>
                </c:pt>
                <c:pt idx="4">
                  <c:v>8890500</c:v>
                </c:pt>
                <c:pt idx="5">
                  <c:v>8890500</c:v>
                </c:pt>
                <c:pt idx="6">
                  <c:v>8890500</c:v>
                </c:pt>
                <c:pt idx="7">
                  <c:v>8890500</c:v>
                </c:pt>
                <c:pt idx="8">
                  <c:v>8890500</c:v>
                </c:pt>
                <c:pt idx="9">
                  <c:v>8890500</c:v>
                </c:pt>
                <c:pt idx="10">
                  <c:v>8890500</c:v>
                </c:pt>
                <c:pt idx="11">
                  <c:v>8890500</c:v>
                </c:pt>
                <c:pt idx="12">
                  <c:v>8890500</c:v>
                </c:pt>
                <c:pt idx="13">
                  <c:v>8890500</c:v>
                </c:pt>
              </c:numCache>
            </c:numRef>
          </c:xVal>
          <c:yVal>
            <c:numRef>
              <c:f>Dispatch!$E$137:$E$150</c:f>
              <c:numCache>
                <c:formatCode>General</c:formatCode>
                <c:ptCount val="14"/>
                <c:pt idx="0">
                  <c:v>0</c:v>
                </c:pt>
                <c:pt idx="1">
                  <c:v>0</c:v>
                </c:pt>
                <c:pt idx="2">
                  <c:v>0.01</c:v>
                </c:pt>
                <c:pt idx="3">
                  <c:v>0.01</c:v>
                </c:pt>
                <c:pt idx="4">
                  <c:v>0.02</c:v>
                </c:pt>
                <c:pt idx="5">
                  <c:v>0.02</c:v>
                </c:pt>
                <c:pt idx="6">
                  <c:v>7</c:v>
                </c:pt>
                <c:pt idx="7">
                  <c:v>7</c:v>
                </c:pt>
                <c:pt idx="8">
                  <c:v>11.022499999999999</c:v>
                </c:pt>
                <c:pt idx="9">
                  <c:v>11.022499999999999</c:v>
                </c:pt>
                <c:pt idx="10">
                  <c:v>28.747499999999999</c:v>
                </c:pt>
                <c:pt idx="11">
                  <c:v>28.747499999999999</c:v>
                </c:pt>
                <c:pt idx="12">
                  <c:v>36.550000000000004</c:v>
                </c:pt>
                <c:pt idx="13">
                  <c:v>36.550000000000004</c:v>
                </c:pt>
              </c:numCache>
            </c:numRef>
          </c:yVal>
          <c:smooth val="0"/>
          <c:extLst>
            <c:ext xmlns:c16="http://schemas.microsoft.com/office/drawing/2014/chart" uri="{C3380CC4-5D6E-409C-BE32-E72D297353CC}">
              <c16:uniqueId val="{00000001-65C2-41FE-B917-9AEFB6AF1E42}"/>
            </c:ext>
          </c:extLst>
        </c:ser>
        <c:dLbls>
          <c:showLegendKey val="0"/>
          <c:showVal val="0"/>
          <c:showCatName val="0"/>
          <c:showSerName val="0"/>
          <c:showPercent val="0"/>
          <c:showBubbleSize val="0"/>
        </c:dLbls>
        <c:axId val="501280096"/>
        <c:axId val="501280880"/>
      </c:scatterChart>
      <c:valAx>
        <c:axId val="50128009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280880"/>
        <c:crosses val="autoZero"/>
        <c:crossBetween val="midCat"/>
      </c:valAx>
      <c:valAx>
        <c:axId val="501280880"/>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2800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Generation Mix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56F-49B0-A217-6B3BAF66F16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56F-49B0-A217-6B3BAF66F16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356F-49B0-A217-6B3BAF66F16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356F-49B0-A217-6B3BAF66F16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356F-49B0-A217-6B3BAF66F16D}"/>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356F-49B0-A217-6B3BAF66F16D}"/>
              </c:ext>
            </c:extLst>
          </c:dPt>
          <c:dPt>
            <c:idx val="6"/>
            <c:bubble3D val="0"/>
            <c:spPr>
              <a:solidFill>
                <a:srgbClr val="00B050"/>
              </a:solidFill>
              <a:ln w="19050">
                <a:solidFill>
                  <a:schemeClr val="lt1"/>
                </a:solidFill>
              </a:ln>
              <a:effectLst/>
            </c:spPr>
            <c:extLst>
              <c:ext xmlns:c16="http://schemas.microsoft.com/office/drawing/2014/chart" uri="{C3380CC4-5D6E-409C-BE32-E72D297353CC}">
                <c16:uniqueId val="{0000000D-356F-49B0-A217-6B3BAF66F16D}"/>
              </c:ext>
            </c:extLst>
          </c:dPt>
          <c:cat>
            <c:strRef>
              <c:f>Dispatch!$A$153:$A$159</c:f>
              <c:strCache>
                <c:ptCount val="7"/>
                <c:pt idx="0">
                  <c:v>coal</c:v>
                </c:pt>
                <c:pt idx="1">
                  <c:v>natural gas</c:v>
                </c:pt>
                <c:pt idx="2">
                  <c:v>nuclear</c:v>
                </c:pt>
                <c:pt idx="3">
                  <c:v>solar</c:v>
                </c:pt>
                <c:pt idx="4">
                  <c:v>wind</c:v>
                </c:pt>
                <c:pt idx="5">
                  <c:v>hydro</c:v>
                </c:pt>
                <c:pt idx="6">
                  <c:v>utility EE</c:v>
                </c:pt>
              </c:strCache>
            </c:strRef>
          </c:cat>
          <c:val>
            <c:numRef>
              <c:f>Dispatch!$B$153:$B$159</c:f>
              <c:numCache>
                <c:formatCode>_(* #,##0_);_(* \(#,##0\);_(* "-"??_);_(@_)</c:formatCode>
                <c:ptCount val="7"/>
                <c:pt idx="0">
                  <c:v>2628000</c:v>
                </c:pt>
                <c:pt idx="1">
                  <c:v>1930680</c:v>
                </c:pt>
                <c:pt idx="2">
                  <c:v>3942000</c:v>
                </c:pt>
                <c:pt idx="3">
                  <c:v>65700</c:v>
                </c:pt>
                <c:pt idx="4">
                  <c:v>78840</c:v>
                </c:pt>
                <c:pt idx="5">
                  <c:v>157680</c:v>
                </c:pt>
                <c:pt idx="6">
                  <c:v>87600</c:v>
                </c:pt>
              </c:numCache>
            </c:numRef>
          </c:val>
          <c:extLst>
            <c:ext xmlns:c16="http://schemas.microsoft.com/office/drawing/2014/chart" uri="{C3380CC4-5D6E-409C-BE32-E72D297353CC}">
              <c16:uniqueId val="{0000000E-356F-49B0-A217-6B3BAF66F16D}"/>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Graphs!$C$2</c:f>
              <c:strCache>
                <c:ptCount val="1"/>
                <c:pt idx="0">
                  <c:v>Past Rounds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Graphs!$A$3:$A$13</c:f>
              <c:strCache>
                <c:ptCount val="11"/>
                <c:pt idx="0">
                  <c:v>Round 0</c:v>
                </c:pt>
                <c:pt idx="1">
                  <c:v>Round 1</c:v>
                </c:pt>
                <c:pt idx="2">
                  <c:v>Round 2</c:v>
                </c:pt>
                <c:pt idx="3">
                  <c:v>Round 3</c:v>
                </c:pt>
                <c:pt idx="4">
                  <c:v>Round 4</c:v>
                </c:pt>
                <c:pt idx="5">
                  <c:v>Round 5</c:v>
                </c:pt>
                <c:pt idx="6">
                  <c:v>Round 6</c:v>
                </c:pt>
                <c:pt idx="7">
                  <c:v>Round 7</c:v>
                </c:pt>
                <c:pt idx="8">
                  <c:v>Round 8</c:v>
                </c:pt>
                <c:pt idx="9">
                  <c:v>Round 9</c:v>
                </c:pt>
                <c:pt idx="10">
                  <c:v>Round 10</c:v>
                </c:pt>
              </c:strCache>
            </c:strRef>
          </c:cat>
          <c:val>
            <c:numRef>
              <c:f>Graphs!$C$3:$C$13</c:f>
              <c:numCache>
                <c:formatCode>_("$"* #,##0.00_);_("$"* \(#,##0.00\);_("$"* "-"??_);_(@_)</c:formatCode>
                <c:ptCount val="11"/>
                <c:pt idx="0">
                  <c:v>81.049479225863763</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0-3114-46EF-9C07-37E8A1259015}"/>
            </c:ext>
          </c:extLst>
        </c:ser>
        <c:ser>
          <c:idx val="1"/>
          <c:order val="1"/>
          <c:tx>
            <c:strRef>
              <c:f>Graphs!$D$2</c:f>
              <c:strCache>
                <c:ptCount val="1"/>
                <c:pt idx="0">
                  <c:v>Current Round + Past Round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Graphs!$A$3:$A$13</c:f>
              <c:strCache>
                <c:ptCount val="11"/>
                <c:pt idx="0">
                  <c:v>Round 0</c:v>
                </c:pt>
                <c:pt idx="1">
                  <c:v>Round 1</c:v>
                </c:pt>
                <c:pt idx="2">
                  <c:v>Round 2</c:v>
                </c:pt>
                <c:pt idx="3">
                  <c:v>Round 3</c:v>
                </c:pt>
                <c:pt idx="4">
                  <c:v>Round 4</c:v>
                </c:pt>
                <c:pt idx="5">
                  <c:v>Round 5</c:v>
                </c:pt>
                <c:pt idx="6">
                  <c:v>Round 6</c:v>
                </c:pt>
                <c:pt idx="7">
                  <c:v>Round 7</c:v>
                </c:pt>
                <c:pt idx="8">
                  <c:v>Round 8</c:v>
                </c:pt>
                <c:pt idx="9">
                  <c:v>Round 9</c:v>
                </c:pt>
                <c:pt idx="10">
                  <c:v>Round 10</c:v>
                </c:pt>
              </c:strCache>
            </c:strRef>
          </c:cat>
          <c:val>
            <c:numRef>
              <c:f>Graphs!$D$3:$D$13</c:f>
              <c:numCache>
                <c:formatCode>_("$"* #,##0.00_);_("$"* \(#,##0.00\);_("$"* "-"??_);_(@_)</c:formatCode>
                <c:ptCount val="11"/>
                <c:pt idx="0">
                  <c:v>81.049479225863763</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1-3114-46EF-9C07-37E8A1259015}"/>
            </c:ext>
          </c:extLst>
        </c:ser>
        <c:dLbls>
          <c:showLegendKey val="0"/>
          <c:showVal val="0"/>
          <c:showCatName val="0"/>
          <c:showSerName val="0"/>
          <c:showPercent val="0"/>
          <c:showBubbleSize val="0"/>
        </c:dLbls>
        <c:marker val="1"/>
        <c:smooth val="0"/>
        <c:axId val="502040320"/>
        <c:axId val="502039536"/>
      </c:lineChart>
      <c:catAx>
        <c:axId val="5020403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039536"/>
        <c:crosses val="autoZero"/>
        <c:auto val="1"/>
        <c:lblAlgn val="ctr"/>
        <c:lblOffset val="100"/>
        <c:noMultiLvlLbl val="0"/>
      </c:catAx>
      <c:valAx>
        <c:axId val="502039536"/>
        <c:scaling>
          <c:orientation val="minMax"/>
          <c:max val="100"/>
          <c:min val="0"/>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0403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Graphs!$C$2</c:f>
              <c:strCache>
                <c:ptCount val="1"/>
                <c:pt idx="0">
                  <c:v>Past Rounds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Graphs!$A$18:$A$28</c:f>
              <c:strCache>
                <c:ptCount val="11"/>
                <c:pt idx="0">
                  <c:v>Round 0</c:v>
                </c:pt>
                <c:pt idx="1">
                  <c:v>Round 1</c:v>
                </c:pt>
                <c:pt idx="2">
                  <c:v>Round 2</c:v>
                </c:pt>
                <c:pt idx="3">
                  <c:v>Round 3</c:v>
                </c:pt>
                <c:pt idx="4">
                  <c:v>Round 4</c:v>
                </c:pt>
                <c:pt idx="5">
                  <c:v>Round 5</c:v>
                </c:pt>
                <c:pt idx="6">
                  <c:v>Round 6</c:v>
                </c:pt>
                <c:pt idx="7">
                  <c:v>Round 7</c:v>
                </c:pt>
                <c:pt idx="8">
                  <c:v>Round 8</c:v>
                </c:pt>
                <c:pt idx="9">
                  <c:v>Round 9</c:v>
                </c:pt>
                <c:pt idx="10">
                  <c:v>Round 10</c:v>
                </c:pt>
              </c:strCache>
            </c:strRef>
          </c:cat>
          <c:val>
            <c:numRef>
              <c:f>Graphs!$C$18:$C$28</c:f>
              <c:numCache>
                <c:formatCode>0.00</c:formatCode>
                <c:ptCount val="11"/>
                <c:pt idx="0">
                  <c:v>898.29849839716553</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0-3633-47BD-9FAE-CFF6EF85086C}"/>
            </c:ext>
          </c:extLst>
        </c:ser>
        <c:ser>
          <c:idx val="1"/>
          <c:order val="1"/>
          <c:tx>
            <c:strRef>
              <c:f>Graphs!$D$2</c:f>
              <c:strCache>
                <c:ptCount val="1"/>
                <c:pt idx="0">
                  <c:v>Current Round + Past Round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Graphs!$A$18:$A$28</c:f>
              <c:strCache>
                <c:ptCount val="11"/>
                <c:pt idx="0">
                  <c:v>Round 0</c:v>
                </c:pt>
                <c:pt idx="1">
                  <c:v>Round 1</c:v>
                </c:pt>
                <c:pt idx="2">
                  <c:v>Round 2</c:v>
                </c:pt>
                <c:pt idx="3">
                  <c:v>Round 3</c:v>
                </c:pt>
                <c:pt idx="4">
                  <c:v>Round 4</c:v>
                </c:pt>
                <c:pt idx="5">
                  <c:v>Round 5</c:v>
                </c:pt>
                <c:pt idx="6">
                  <c:v>Round 6</c:v>
                </c:pt>
                <c:pt idx="7">
                  <c:v>Round 7</c:v>
                </c:pt>
                <c:pt idx="8">
                  <c:v>Round 8</c:v>
                </c:pt>
                <c:pt idx="9">
                  <c:v>Round 9</c:v>
                </c:pt>
                <c:pt idx="10">
                  <c:v>Round 10</c:v>
                </c:pt>
              </c:strCache>
            </c:strRef>
          </c:cat>
          <c:val>
            <c:numRef>
              <c:f>Graphs!$D$18:$D$28</c:f>
              <c:numCache>
                <c:formatCode>0.00</c:formatCode>
                <c:ptCount val="11"/>
                <c:pt idx="0">
                  <c:v>898.29849839716553</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1-3633-47BD-9FAE-CFF6EF85086C}"/>
            </c:ext>
          </c:extLst>
        </c:ser>
        <c:dLbls>
          <c:showLegendKey val="0"/>
          <c:showVal val="0"/>
          <c:showCatName val="0"/>
          <c:showSerName val="0"/>
          <c:showPercent val="0"/>
          <c:showBubbleSize val="0"/>
        </c:dLbls>
        <c:marker val="1"/>
        <c:smooth val="0"/>
        <c:axId val="502039144"/>
        <c:axId val="502041104"/>
      </c:lineChart>
      <c:catAx>
        <c:axId val="5020391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041104"/>
        <c:crosses val="autoZero"/>
        <c:auto val="1"/>
        <c:lblAlgn val="ctr"/>
        <c:lblOffset val="100"/>
        <c:noMultiLvlLbl val="0"/>
      </c:catAx>
      <c:valAx>
        <c:axId val="502041104"/>
        <c:scaling>
          <c:orientation val="minMax"/>
          <c:max val="1500"/>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0391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Graphs!$C$2</c:f>
              <c:strCache>
                <c:ptCount val="1"/>
                <c:pt idx="0">
                  <c:v>Past Rounds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Graphs!$A$34:$A$44</c:f>
              <c:strCache>
                <c:ptCount val="11"/>
                <c:pt idx="0">
                  <c:v>Round 0</c:v>
                </c:pt>
                <c:pt idx="1">
                  <c:v>Round 1</c:v>
                </c:pt>
                <c:pt idx="2">
                  <c:v>Round 2</c:v>
                </c:pt>
                <c:pt idx="3">
                  <c:v>Round 3</c:v>
                </c:pt>
                <c:pt idx="4">
                  <c:v>Round 4</c:v>
                </c:pt>
                <c:pt idx="5">
                  <c:v>Round 5</c:v>
                </c:pt>
                <c:pt idx="6">
                  <c:v>Round 6</c:v>
                </c:pt>
                <c:pt idx="7">
                  <c:v>Round 7</c:v>
                </c:pt>
                <c:pt idx="8">
                  <c:v>Round 8</c:v>
                </c:pt>
                <c:pt idx="9">
                  <c:v>Round 9</c:v>
                </c:pt>
                <c:pt idx="10">
                  <c:v>Round 10</c:v>
                </c:pt>
              </c:strCache>
            </c:strRef>
          </c:cat>
          <c:val>
            <c:numRef>
              <c:f>Graphs!$C$34:$C$44</c:f>
              <c:numCache>
                <c:formatCode>"$"#,##0.00</c:formatCode>
                <c:ptCount val="11"/>
                <c:pt idx="0">
                  <c:v>4.2433290121337892</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0-10A9-42C5-96B6-7CF57E644154}"/>
            </c:ext>
          </c:extLst>
        </c:ser>
        <c:ser>
          <c:idx val="1"/>
          <c:order val="1"/>
          <c:tx>
            <c:strRef>
              <c:f>Graphs!$D$2</c:f>
              <c:strCache>
                <c:ptCount val="1"/>
                <c:pt idx="0">
                  <c:v>Current Round + Past Round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Graphs!$A$34:$A$44</c:f>
              <c:strCache>
                <c:ptCount val="11"/>
                <c:pt idx="0">
                  <c:v>Round 0</c:v>
                </c:pt>
                <c:pt idx="1">
                  <c:v>Round 1</c:v>
                </c:pt>
                <c:pt idx="2">
                  <c:v>Round 2</c:v>
                </c:pt>
                <c:pt idx="3">
                  <c:v>Round 3</c:v>
                </c:pt>
                <c:pt idx="4">
                  <c:v>Round 4</c:v>
                </c:pt>
                <c:pt idx="5">
                  <c:v>Round 5</c:v>
                </c:pt>
                <c:pt idx="6">
                  <c:v>Round 6</c:v>
                </c:pt>
                <c:pt idx="7">
                  <c:v>Round 7</c:v>
                </c:pt>
                <c:pt idx="8">
                  <c:v>Round 8</c:v>
                </c:pt>
                <c:pt idx="9">
                  <c:v>Round 9</c:v>
                </c:pt>
                <c:pt idx="10">
                  <c:v>Round 10</c:v>
                </c:pt>
              </c:strCache>
            </c:strRef>
          </c:cat>
          <c:val>
            <c:numRef>
              <c:f>Graphs!$D$34:$D$44</c:f>
              <c:numCache>
                <c:formatCode>"$"#,##0.00</c:formatCode>
                <c:ptCount val="11"/>
                <c:pt idx="0">
                  <c:v>4.2433290121337892</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1-10A9-42C5-96B6-7CF57E644154}"/>
            </c:ext>
          </c:extLst>
        </c:ser>
        <c:dLbls>
          <c:showLegendKey val="0"/>
          <c:showVal val="0"/>
          <c:showCatName val="0"/>
          <c:showSerName val="0"/>
          <c:showPercent val="0"/>
          <c:showBubbleSize val="0"/>
        </c:dLbls>
        <c:marker val="1"/>
        <c:smooth val="0"/>
        <c:axId val="502040712"/>
        <c:axId val="502041888"/>
      </c:lineChart>
      <c:catAx>
        <c:axId val="502040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041888"/>
        <c:crosses val="autoZero"/>
        <c:auto val="1"/>
        <c:lblAlgn val="ctr"/>
        <c:lblOffset val="100"/>
        <c:noMultiLvlLbl val="0"/>
      </c:catAx>
      <c:valAx>
        <c:axId val="50204188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040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Graphs!$C$2</c:f>
              <c:strCache>
                <c:ptCount val="1"/>
                <c:pt idx="0">
                  <c:v>Past Rounds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Graphs!$A$51:$A$61</c:f>
              <c:strCache>
                <c:ptCount val="11"/>
                <c:pt idx="0">
                  <c:v>Round 0</c:v>
                </c:pt>
                <c:pt idx="1">
                  <c:v>Round 1</c:v>
                </c:pt>
                <c:pt idx="2">
                  <c:v>Round 2</c:v>
                </c:pt>
                <c:pt idx="3">
                  <c:v>Round 3</c:v>
                </c:pt>
                <c:pt idx="4">
                  <c:v>Round 4</c:v>
                </c:pt>
                <c:pt idx="5">
                  <c:v>Round 5</c:v>
                </c:pt>
                <c:pt idx="6">
                  <c:v>Round 6</c:v>
                </c:pt>
                <c:pt idx="7">
                  <c:v>Round 7</c:v>
                </c:pt>
                <c:pt idx="8">
                  <c:v>Round 8</c:v>
                </c:pt>
                <c:pt idx="9">
                  <c:v>Round 9</c:v>
                </c:pt>
                <c:pt idx="10">
                  <c:v>Round 10</c:v>
                </c:pt>
              </c:strCache>
            </c:strRef>
          </c:cat>
          <c:val>
            <c:numRef>
              <c:f>Graphs!$C$51:$C$61</c:f>
              <c:numCache>
                <c:formatCode>0</c:formatCode>
                <c:ptCount val="11"/>
                <c:pt idx="0">
                  <c:v>287</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0-ADC1-4089-8A3E-32613DA2F360}"/>
            </c:ext>
          </c:extLst>
        </c:ser>
        <c:ser>
          <c:idx val="1"/>
          <c:order val="1"/>
          <c:tx>
            <c:strRef>
              <c:f>Graphs!$D$2</c:f>
              <c:strCache>
                <c:ptCount val="1"/>
                <c:pt idx="0">
                  <c:v>Current Round + Past Round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Graphs!$A$51:$A$61</c:f>
              <c:strCache>
                <c:ptCount val="11"/>
                <c:pt idx="0">
                  <c:v>Round 0</c:v>
                </c:pt>
                <c:pt idx="1">
                  <c:v>Round 1</c:v>
                </c:pt>
                <c:pt idx="2">
                  <c:v>Round 2</c:v>
                </c:pt>
                <c:pt idx="3">
                  <c:v>Round 3</c:v>
                </c:pt>
                <c:pt idx="4">
                  <c:v>Round 4</c:v>
                </c:pt>
                <c:pt idx="5">
                  <c:v>Round 5</c:v>
                </c:pt>
                <c:pt idx="6">
                  <c:v>Round 6</c:v>
                </c:pt>
                <c:pt idx="7">
                  <c:v>Round 7</c:v>
                </c:pt>
                <c:pt idx="8">
                  <c:v>Round 8</c:v>
                </c:pt>
                <c:pt idx="9">
                  <c:v>Round 9</c:v>
                </c:pt>
                <c:pt idx="10">
                  <c:v>Round 10</c:v>
                </c:pt>
              </c:strCache>
            </c:strRef>
          </c:cat>
          <c:val>
            <c:numRef>
              <c:f>Graphs!$D$51:$D$61</c:f>
              <c:numCache>
                <c:formatCode>0</c:formatCode>
                <c:ptCount val="11"/>
                <c:pt idx="0">
                  <c:v>287</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1-ADC1-4089-8A3E-32613DA2F360}"/>
            </c:ext>
          </c:extLst>
        </c:ser>
        <c:dLbls>
          <c:showLegendKey val="0"/>
          <c:showVal val="0"/>
          <c:showCatName val="0"/>
          <c:showSerName val="0"/>
          <c:showPercent val="0"/>
          <c:showBubbleSize val="0"/>
        </c:dLbls>
        <c:marker val="1"/>
        <c:smooth val="0"/>
        <c:axId val="502042280"/>
        <c:axId val="502887552"/>
      </c:lineChart>
      <c:catAx>
        <c:axId val="502042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887552"/>
        <c:crosses val="autoZero"/>
        <c:auto val="1"/>
        <c:lblAlgn val="ctr"/>
        <c:lblOffset val="100"/>
        <c:noMultiLvlLbl val="0"/>
      </c:catAx>
      <c:valAx>
        <c:axId val="502887552"/>
        <c:scaling>
          <c:orientation val="minMax"/>
          <c:max val="500"/>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0422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Generation Mix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Graphs!$B$2</c:f>
              <c:strCache>
                <c:ptCount val="1"/>
                <c:pt idx="0">
                  <c:v>Round Number</c:v>
                </c:pt>
              </c:strCache>
            </c:strRef>
          </c:tx>
          <c:dPt>
            <c:idx val="0"/>
            <c:bubble3D val="0"/>
            <c:spPr>
              <a:solidFill>
                <a:schemeClr val="accent1"/>
              </a:solidFill>
              <a:ln>
                <a:noFill/>
              </a:ln>
              <a:effectLst/>
            </c:spPr>
            <c:extLst>
              <c:ext xmlns:c16="http://schemas.microsoft.com/office/drawing/2014/chart" uri="{C3380CC4-5D6E-409C-BE32-E72D297353CC}">
                <c16:uniqueId val="{00000001-078E-4FAF-90EB-AEA8D3173F13}"/>
              </c:ext>
            </c:extLst>
          </c:dPt>
          <c:dPt>
            <c:idx val="1"/>
            <c:bubble3D val="0"/>
            <c:spPr>
              <a:solidFill>
                <a:schemeClr val="accent2"/>
              </a:solidFill>
              <a:ln>
                <a:noFill/>
              </a:ln>
              <a:effectLst/>
            </c:spPr>
            <c:extLst>
              <c:ext xmlns:c16="http://schemas.microsoft.com/office/drawing/2014/chart" uri="{C3380CC4-5D6E-409C-BE32-E72D297353CC}">
                <c16:uniqueId val="{00000003-078E-4FAF-90EB-AEA8D3173F13}"/>
              </c:ext>
            </c:extLst>
          </c:dPt>
          <c:dPt>
            <c:idx val="2"/>
            <c:bubble3D val="0"/>
            <c:spPr>
              <a:solidFill>
                <a:schemeClr val="accent3"/>
              </a:solidFill>
              <a:ln>
                <a:noFill/>
              </a:ln>
              <a:effectLst/>
            </c:spPr>
            <c:extLst>
              <c:ext xmlns:c16="http://schemas.microsoft.com/office/drawing/2014/chart" uri="{C3380CC4-5D6E-409C-BE32-E72D297353CC}">
                <c16:uniqueId val="{00000005-078E-4FAF-90EB-AEA8D3173F13}"/>
              </c:ext>
            </c:extLst>
          </c:dPt>
          <c:dPt>
            <c:idx val="3"/>
            <c:bubble3D val="0"/>
            <c:spPr>
              <a:solidFill>
                <a:schemeClr val="accent4"/>
              </a:solidFill>
              <a:ln>
                <a:noFill/>
              </a:ln>
              <a:effectLst/>
            </c:spPr>
            <c:extLst>
              <c:ext xmlns:c16="http://schemas.microsoft.com/office/drawing/2014/chart" uri="{C3380CC4-5D6E-409C-BE32-E72D297353CC}">
                <c16:uniqueId val="{00000007-078E-4FAF-90EB-AEA8D3173F13}"/>
              </c:ext>
            </c:extLst>
          </c:dPt>
          <c:dPt>
            <c:idx val="4"/>
            <c:bubble3D val="0"/>
            <c:spPr>
              <a:solidFill>
                <a:schemeClr val="accent5"/>
              </a:solidFill>
              <a:ln>
                <a:noFill/>
              </a:ln>
              <a:effectLst/>
            </c:spPr>
            <c:extLst>
              <c:ext xmlns:c16="http://schemas.microsoft.com/office/drawing/2014/chart" uri="{C3380CC4-5D6E-409C-BE32-E72D297353CC}">
                <c16:uniqueId val="{00000009-078E-4FAF-90EB-AEA8D3173F13}"/>
              </c:ext>
            </c:extLst>
          </c:dPt>
          <c:dPt>
            <c:idx val="5"/>
            <c:bubble3D val="0"/>
            <c:spPr>
              <a:solidFill>
                <a:schemeClr val="accent6"/>
              </a:solidFill>
              <a:ln>
                <a:noFill/>
              </a:ln>
              <a:effectLst/>
            </c:spPr>
            <c:extLst>
              <c:ext xmlns:c16="http://schemas.microsoft.com/office/drawing/2014/chart" uri="{C3380CC4-5D6E-409C-BE32-E72D297353CC}">
                <c16:uniqueId val="{0000000B-078E-4FAF-90EB-AEA8D3173F1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Graphs!$A$66:$A$71</c:f>
              <c:strCache>
                <c:ptCount val="6"/>
                <c:pt idx="0">
                  <c:v>coal</c:v>
                </c:pt>
                <c:pt idx="1">
                  <c:v>natural gas</c:v>
                </c:pt>
                <c:pt idx="2">
                  <c:v>nuclear</c:v>
                </c:pt>
                <c:pt idx="3">
                  <c:v>solar</c:v>
                </c:pt>
                <c:pt idx="4">
                  <c:v>wind</c:v>
                </c:pt>
                <c:pt idx="5">
                  <c:v>hydro</c:v>
                </c:pt>
              </c:strCache>
            </c:strRef>
          </c:cat>
          <c:val>
            <c:numRef>
              <c:f>Graphs!$B$66:$B$71</c:f>
              <c:numCache>
                <c:formatCode>General</c:formatCode>
                <c:ptCount val="6"/>
                <c:pt idx="0">
                  <c:v>2628000</c:v>
                </c:pt>
                <c:pt idx="1">
                  <c:v>1930680</c:v>
                </c:pt>
                <c:pt idx="2">
                  <c:v>3942000</c:v>
                </c:pt>
                <c:pt idx="3">
                  <c:v>65700</c:v>
                </c:pt>
                <c:pt idx="4">
                  <c:v>78840</c:v>
                </c:pt>
                <c:pt idx="5">
                  <c:v>157680</c:v>
                </c:pt>
              </c:numCache>
            </c:numRef>
          </c:val>
          <c:extLst>
            <c:ext xmlns:c16="http://schemas.microsoft.com/office/drawing/2014/chart" uri="{C3380CC4-5D6E-409C-BE32-E72D297353CC}">
              <c16:uniqueId val="{0000000C-078E-4FAF-90EB-AEA8D3173F13}"/>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Graphs!$C$2</c:f>
              <c:strCache>
                <c:ptCount val="1"/>
                <c:pt idx="0">
                  <c:v>Past Rounds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Graphs!$A$83:$A$93</c:f>
              <c:strCache>
                <c:ptCount val="11"/>
                <c:pt idx="0">
                  <c:v>Round 0</c:v>
                </c:pt>
                <c:pt idx="1">
                  <c:v>Round 1</c:v>
                </c:pt>
                <c:pt idx="2">
                  <c:v>Round 2</c:v>
                </c:pt>
                <c:pt idx="3">
                  <c:v>Round 3</c:v>
                </c:pt>
                <c:pt idx="4">
                  <c:v>Round 4</c:v>
                </c:pt>
                <c:pt idx="5">
                  <c:v>Round 5</c:v>
                </c:pt>
                <c:pt idx="6">
                  <c:v>Round 6</c:v>
                </c:pt>
                <c:pt idx="7">
                  <c:v>Round 7</c:v>
                </c:pt>
                <c:pt idx="8">
                  <c:v>Round 8</c:v>
                </c:pt>
                <c:pt idx="9">
                  <c:v>Round 9</c:v>
                </c:pt>
                <c:pt idx="10">
                  <c:v>Round 10</c:v>
                </c:pt>
              </c:strCache>
            </c:strRef>
          </c:cat>
          <c:val>
            <c:numRef>
              <c:f>Graphs!$C$83:$C$93</c:f>
              <c:numCache>
                <c:formatCode>0%</c:formatCode>
                <c:ptCount val="11"/>
                <c:pt idx="0">
                  <c:v>0.17384000000000022</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0-3A8D-4B33-8E38-9C8C3C824C14}"/>
            </c:ext>
          </c:extLst>
        </c:ser>
        <c:ser>
          <c:idx val="1"/>
          <c:order val="1"/>
          <c:tx>
            <c:strRef>
              <c:f>Graphs!$D$2</c:f>
              <c:strCache>
                <c:ptCount val="1"/>
                <c:pt idx="0">
                  <c:v>Current Round + Past Round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Graphs!$A$83:$A$93</c:f>
              <c:strCache>
                <c:ptCount val="11"/>
                <c:pt idx="0">
                  <c:v>Round 0</c:v>
                </c:pt>
                <c:pt idx="1">
                  <c:v>Round 1</c:v>
                </c:pt>
                <c:pt idx="2">
                  <c:v>Round 2</c:v>
                </c:pt>
                <c:pt idx="3">
                  <c:v>Round 3</c:v>
                </c:pt>
                <c:pt idx="4">
                  <c:v>Round 4</c:v>
                </c:pt>
                <c:pt idx="5">
                  <c:v>Round 5</c:v>
                </c:pt>
                <c:pt idx="6">
                  <c:v>Round 6</c:v>
                </c:pt>
                <c:pt idx="7">
                  <c:v>Round 7</c:v>
                </c:pt>
                <c:pt idx="8">
                  <c:v>Round 8</c:v>
                </c:pt>
                <c:pt idx="9">
                  <c:v>Round 9</c:v>
                </c:pt>
                <c:pt idx="10">
                  <c:v>Round 10</c:v>
                </c:pt>
              </c:strCache>
            </c:strRef>
          </c:cat>
          <c:val>
            <c:numRef>
              <c:f>Graphs!$D$83:$D$93</c:f>
              <c:numCache>
                <c:formatCode>0%</c:formatCode>
                <c:ptCount val="11"/>
                <c:pt idx="0">
                  <c:v>0.17384000000000022</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1-3A8D-4B33-8E38-9C8C3C824C14}"/>
            </c:ext>
          </c:extLst>
        </c:ser>
        <c:ser>
          <c:idx val="2"/>
          <c:order val="2"/>
          <c:tx>
            <c:strRef>
              <c:f>Graphs!$E$82</c:f>
              <c:strCache>
                <c:ptCount val="1"/>
                <c:pt idx="0">
                  <c:v>NERC Standard</c:v>
                </c:pt>
              </c:strCache>
            </c:strRef>
          </c:tx>
          <c:spPr>
            <a:ln w="28575" cap="rnd">
              <a:solidFill>
                <a:schemeClr val="tx1"/>
              </a:solidFill>
              <a:prstDash val="dash"/>
              <a:round/>
            </a:ln>
            <a:effectLst/>
          </c:spPr>
          <c:marker>
            <c:symbol val="none"/>
          </c:marker>
          <c:val>
            <c:numRef>
              <c:f>Graphs!$E$83:$E$93</c:f>
              <c:numCache>
                <c:formatCode>0%</c:formatCode>
                <c:ptCount val="11"/>
                <c:pt idx="0">
                  <c:v>0.15</c:v>
                </c:pt>
                <c:pt idx="1">
                  <c:v>0.15</c:v>
                </c:pt>
                <c:pt idx="2">
                  <c:v>0.15</c:v>
                </c:pt>
                <c:pt idx="3">
                  <c:v>0.15</c:v>
                </c:pt>
                <c:pt idx="4">
                  <c:v>0.15</c:v>
                </c:pt>
                <c:pt idx="5">
                  <c:v>0.15</c:v>
                </c:pt>
                <c:pt idx="6">
                  <c:v>0.15</c:v>
                </c:pt>
                <c:pt idx="7">
                  <c:v>0.15</c:v>
                </c:pt>
                <c:pt idx="8">
                  <c:v>0.15</c:v>
                </c:pt>
                <c:pt idx="9">
                  <c:v>0.15</c:v>
                </c:pt>
                <c:pt idx="10">
                  <c:v>0.15</c:v>
                </c:pt>
              </c:numCache>
            </c:numRef>
          </c:val>
          <c:smooth val="0"/>
          <c:extLst>
            <c:ext xmlns:c16="http://schemas.microsoft.com/office/drawing/2014/chart" uri="{C3380CC4-5D6E-409C-BE32-E72D297353CC}">
              <c16:uniqueId val="{00000002-3A8D-4B33-8E38-9C8C3C824C14}"/>
            </c:ext>
          </c:extLst>
        </c:ser>
        <c:dLbls>
          <c:showLegendKey val="0"/>
          <c:showVal val="0"/>
          <c:showCatName val="0"/>
          <c:showSerName val="0"/>
          <c:showPercent val="0"/>
          <c:showBubbleSize val="0"/>
        </c:dLbls>
        <c:marker val="1"/>
        <c:smooth val="0"/>
        <c:axId val="502887944"/>
        <c:axId val="502888728"/>
      </c:lineChart>
      <c:catAx>
        <c:axId val="5028879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888728"/>
        <c:crosses val="autoZero"/>
        <c:auto val="1"/>
        <c:lblAlgn val="ctr"/>
        <c:lblOffset val="100"/>
        <c:noMultiLvlLbl val="0"/>
      </c:catAx>
      <c:valAx>
        <c:axId val="502888728"/>
        <c:scaling>
          <c:orientation val="minMax"/>
          <c:max val="0.30000000000000004"/>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8879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4" Type="http://schemas.openxmlformats.org/officeDocument/2006/relationships/chart" Target="../charts/chart9.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1.xml"/><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6.xml"/><Relationship Id="rId2" Type="http://schemas.openxmlformats.org/officeDocument/2006/relationships/chart" Target="../charts/chart15.xml"/><Relationship Id="rId1" Type="http://schemas.openxmlformats.org/officeDocument/2006/relationships/chart" Target="../charts/chart14.xml"/><Relationship Id="rId6" Type="http://schemas.openxmlformats.org/officeDocument/2006/relationships/chart" Target="../charts/chart19.xml"/><Relationship Id="rId5" Type="http://schemas.openxmlformats.org/officeDocument/2006/relationships/chart" Target="../charts/chart18.xml"/><Relationship Id="rId4" Type="http://schemas.openxmlformats.org/officeDocument/2006/relationships/chart" Target="../charts/chart17.xml"/></Relationships>
</file>

<file path=xl/drawings/drawing1.xml><?xml version="1.0" encoding="utf-8"?>
<xdr:wsDr xmlns:xdr="http://schemas.openxmlformats.org/drawingml/2006/spreadsheetDrawing" xmlns:a="http://schemas.openxmlformats.org/drawingml/2006/main">
  <xdr:twoCellAnchor>
    <xdr:from>
      <xdr:col>0</xdr:col>
      <xdr:colOff>95249</xdr:colOff>
      <xdr:row>10</xdr:row>
      <xdr:rowOff>157162</xdr:rowOff>
    </xdr:from>
    <xdr:to>
      <xdr:col>4</xdr:col>
      <xdr:colOff>1228724</xdr:colOff>
      <xdr:row>25</xdr:row>
      <xdr:rowOff>42862</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552450</xdr:colOff>
      <xdr:row>28</xdr:row>
      <xdr:rowOff>80962</xdr:rowOff>
    </xdr:from>
    <xdr:to>
      <xdr:col>6</xdr:col>
      <xdr:colOff>342900</xdr:colOff>
      <xdr:row>42</xdr:row>
      <xdr:rowOff>157162</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123825</xdr:colOff>
      <xdr:row>28</xdr:row>
      <xdr:rowOff>33337</xdr:rowOff>
    </xdr:from>
    <xdr:to>
      <xdr:col>3</xdr:col>
      <xdr:colOff>228600</xdr:colOff>
      <xdr:row>42</xdr:row>
      <xdr:rowOff>109537</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19050</xdr:colOff>
      <xdr:row>45</xdr:row>
      <xdr:rowOff>128587</xdr:rowOff>
    </xdr:from>
    <xdr:to>
      <xdr:col>3</xdr:col>
      <xdr:colOff>457200</xdr:colOff>
      <xdr:row>60</xdr:row>
      <xdr:rowOff>14287</xdr:rowOff>
    </xdr:to>
    <xdr:graphicFrame macro="">
      <xdr:nvGraphicFramePr>
        <xdr:cNvPr id="5" name="Chart 4">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85725</xdr:colOff>
      <xdr:row>63</xdr:row>
      <xdr:rowOff>88900</xdr:rowOff>
    </xdr:from>
    <xdr:to>
      <xdr:col>3</xdr:col>
      <xdr:colOff>327025</xdr:colOff>
      <xdr:row>78</xdr:row>
      <xdr:rowOff>69850</xdr:rowOff>
    </xdr:to>
    <xdr:graphicFrame macro="">
      <xdr:nvGraphicFramePr>
        <xdr:cNvPr id="6" name="Chart 5">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387350</xdr:colOff>
      <xdr:row>80</xdr:row>
      <xdr:rowOff>69850</xdr:rowOff>
    </xdr:from>
    <xdr:to>
      <xdr:col>6</xdr:col>
      <xdr:colOff>298450</xdr:colOff>
      <xdr:row>85</xdr:row>
      <xdr:rowOff>133350</xdr:rowOff>
    </xdr:to>
    <xdr:sp macro="[0]!Get_Started.Get_Started" textlink="">
      <xdr:nvSpPr>
        <xdr:cNvPr id="7" name="Rounded Rectangle 6">
          <a:extLst>
            <a:ext uri="{FF2B5EF4-FFF2-40B4-BE49-F238E27FC236}">
              <a16:creationId xmlns:a16="http://schemas.microsoft.com/office/drawing/2014/main" id="{00000000-0008-0000-0000-000007000000}"/>
            </a:ext>
          </a:extLst>
        </xdr:cNvPr>
        <xdr:cNvSpPr/>
      </xdr:nvSpPr>
      <xdr:spPr>
        <a:xfrm>
          <a:off x="4718050" y="17659350"/>
          <a:ext cx="4921250" cy="984250"/>
        </a:xfrm>
        <a:prstGeom prst="round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2000"/>
            <a:t>Get started!</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1427949</xdr:colOff>
      <xdr:row>28</xdr:row>
      <xdr:rowOff>45535</xdr:rowOff>
    </xdr:from>
    <xdr:to>
      <xdr:col>9</xdr:col>
      <xdr:colOff>1271066</xdr:colOff>
      <xdr:row>31</xdr:row>
      <xdr:rowOff>341454</xdr:rowOff>
    </xdr:to>
    <xdr:sp macro="[0]!Advance_Round.Advance_Round" textlink="">
      <xdr:nvSpPr>
        <xdr:cNvPr id="2" name="Rounded Rectangle 1">
          <a:extLst>
            <a:ext uri="{FF2B5EF4-FFF2-40B4-BE49-F238E27FC236}">
              <a16:creationId xmlns:a16="http://schemas.microsoft.com/office/drawing/2014/main" id="{00000000-0008-0000-0100-000002000000}"/>
            </a:ext>
          </a:extLst>
        </xdr:cNvPr>
        <xdr:cNvSpPr/>
      </xdr:nvSpPr>
      <xdr:spPr>
        <a:xfrm>
          <a:off x="9292878" y="7184749"/>
          <a:ext cx="5748617" cy="912776"/>
        </a:xfrm>
        <a:prstGeom prst="round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2000"/>
            <a:t>Advance to Next Round</a:t>
          </a:r>
        </a:p>
      </xdr:txBody>
    </xdr:sp>
    <xdr:clientData/>
  </xdr:twoCellAnchor>
  <xdr:twoCellAnchor>
    <xdr:from>
      <xdr:col>6</xdr:col>
      <xdr:colOff>1</xdr:colOff>
      <xdr:row>3</xdr:row>
      <xdr:rowOff>69849</xdr:rowOff>
    </xdr:from>
    <xdr:to>
      <xdr:col>6</xdr:col>
      <xdr:colOff>4000501</xdr:colOff>
      <xdr:row>12</xdr:row>
      <xdr:rowOff>172357</xdr:rowOff>
    </xdr:to>
    <xdr:graphicFrame macro="">
      <xdr:nvGraphicFramePr>
        <xdr:cNvPr id="12" name="Chart 11">
          <a:extLst>
            <a:ext uri="{FF2B5EF4-FFF2-40B4-BE49-F238E27FC236}">
              <a16:creationId xmlns:a16="http://schemas.microsoft.com/office/drawing/2014/main" id="{00000000-0008-0000-0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100895</xdr:colOff>
      <xdr:row>15</xdr:row>
      <xdr:rowOff>72572</xdr:rowOff>
    </xdr:from>
    <xdr:to>
      <xdr:col>6</xdr:col>
      <xdr:colOff>4000500</xdr:colOff>
      <xdr:row>26</xdr:row>
      <xdr:rowOff>171098</xdr:rowOff>
    </xdr:to>
    <xdr:graphicFrame macro="">
      <xdr:nvGraphicFramePr>
        <xdr:cNvPr id="13" name="Chart 12">
          <a:extLst>
            <a:ext uri="{FF2B5EF4-FFF2-40B4-BE49-F238E27FC236}">
              <a16:creationId xmlns:a16="http://schemas.microsoft.com/office/drawing/2014/main" id="{00000000-0008-0000-0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1768930</xdr:colOff>
      <xdr:row>3</xdr:row>
      <xdr:rowOff>69850</xdr:rowOff>
    </xdr:from>
    <xdr:to>
      <xdr:col>9</xdr:col>
      <xdr:colOff>3592286</xdr:colOff>
      <xdr:row>12</xdr:row>
      <xdr:rowOff>158750</xdr:rowOff>
    </xdr:to>
    <xdr:graphicFrame macro="">
      <xdr:nvGraphicFramePr>
        <xdr:cNvPr id="14" name="Chart 13">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9071</xdr:colOff>
      <xdr:row>15</xdr:row>
      <xdr:rowOff>54429</xdr:rowOff>
    </xdr:from>
    <xdr:to>
      <xdr:col>9</xdr:col>
      <xdr:colOff>3605892</xdr:colOff>
      <xdr:row>26</xdr:row>
      <xdr:rowOff>149678</xdr:rowOff>
    </xdr:to>
    <xdr:graphicFrame macro="">
      <xdr:nvGraphicFramePr>
        <xdr:cNvPr id="15" name="Chart 14">
          <a:extLst>
            <a:ext uri="{FF2B5EF4-FFF2-40B4-BE49-F238E27FC236}">
              <a16:creationId xmlns:a16="http://schemas.microsoft.com/office/drawing/2014/main" id="{00000000-0008-0000-0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14</xdr:col>
      <xdr:colOff>215900</xdr:colOff>
      <xdr:row>3</xdr:row>
      <xdr:rowOff>76200</xdr:rowOff>
    </xdr:from>
    <xdr:to>
      <xdr:col>17</xdr:col>
      <xdr:colOff>533400</xdr:colOff>
      <xdr:row>9</xdr:row>
      <xdr:rowOff>31750</xdr:rowOff>
    </xdr:to>
    <xdr:sp macro="[0]!Reset_All.Reset_All" textlink="">
      <xdr:nvSpPr>
        <xdr:cNvPr id="2" name="Rounded Rectangle 1">
          <a:extLst>
            <a:ext uri="{FF2B5EF4-FFF2-40B4-BE49-F238E27FC236}">
              <a16:creationId xmlns:a16="http://schemas.microsoft.com/office/drawing/2014/main" id="{00000000-0008-0000-0200-000002000000}"/>
            </a:ext>
          </a:extLst>
        </xdr:cNvPr>
        <xdr:cNvSpPr/>
      </xdr:nvSpPr>
      <xdr:spPr>
        <a:xfrm>
          <a:off x="9886950" y="635000"/>
          <a:ext cx="2552700" cy="1060450"/>
        </a:xfrm>
        <a:prstGeom prst="round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2000"/>
            <a:t>Reset</a:t>
          </a:r>
          <a:r>
            <a:rPr lang="en-US" sz="2000" baseline="0"/>
            <a:t> All</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1133475</xdr:colOff>
      <xdr:row>69</xdr:row>
      <xdr:rowOff>157162</xdr:rowOff>
    </xdr:from>
    <xdr:to>
      <xdr:col>8</xdr:col>
      <xdr:colOff>47625</xdr:colOff>
      <xdr:row>84</xdr:row>
      <xdr:rowOff>42862</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219075</xdr:colOff>
      <xdr:row>69</xdr:row>
      <xdr:rowOff>157162</xdr:rowOff>
    </xdr:from>
    <xdr:to>
      <xdr:col>4</xdr:col>
      <xdr:colOff>552450</xdr:colOff>
      <xdr:row>84</xdr:row>
      <xdr:rowOff>42862</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5</xdr:col>
      <xdr:colOff>304558</xdr:colOff>
      <xdr:row>135</xdr:row>
      <xdr:rowOff>59522</xdr:rowOff>
    </xdr:from>
    <xdr:to>
      <xdr:col>8</xdr:col>
      <xdr:colOff>981982</xdr:colOff>
      <xdr:row>149</xdr:row>
      <xdr:rowOff>135722</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22703</xdr:colOff>
      <xdr:row>135</xdr:row>
      <xdr:rowOff>67180</xdr:rowOff>
    </xdr:from>
    <xdr:to>
      <xdr:col>14</xdr:col>
      <xdr:colOff>637720</xdr:colOff>
      <xdr:row>149</xdr:row>
      <xdr:rowOff>134308</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5</xdr:col>
      <xdr:colOff>66675</xdr:colOff>
      <xdr:row>1</xdr:row>
      <xdr:rowOff>66675</xdr:rowOff>
    </xdr:from>
    <xdr:to>
      <xdr:col>10</xdr:col>
      <xdr:colOff>400050</xdr:colOff>
      <xdr:row>13</xdr:row>
      <xdr:rowOff>95250</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53975</xdr:colOff>
      <xdr:row>16</xdr:row>
      <xdr:rowOff>155575</xdr:rowOff>
    </xdr:from>
    <xdr:to>
      <xdr:col>10</xdr:col>
      <xdr:colOff>387350</xdr:colOff>
      <xdr:row>28</xdr:row>
      <xdr:rowOff>177800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53975</xdr:colOff>
      <xdr:row>32</xdr:row>
      <xdr:rowOff>155575</xdr:rowOff>
    </xdr:from>
    <xdr:to>
      <xdr:col>10</xdr:col>
      <xdr:colOff>387350</xdr:colOff>
      <xdr:row>44</xdr:row>
      <xdr:rowOff>177800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53975</xdr:colOff>
      <xdr:row>49</xdr:row>
      <xdr:rowOff>155575</xdr:rowOff>
    </xdr:from>
    <xdr:to>
      <xdr:col>10</xdr:col>
      <xdr:colOff>387350</xdr:colOff>
      <xdr:row>61</xdr:row>
      <xdr:rowOff>177800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568325</xdr:colOff>
      <xdr:row>65</xdr:row>
      <xdr:rowOff>47625</xdr:rowOff>
    </xdr:from>
    <xdr:to>
      <xdr:col>10</xdr:col>
      <xdr:colOff>292100</xdr:colOff>
      <xdr:row>77</xdr:row>
      <xdr:rowOff>69850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53975</xdr:colOff>
      <xdr:row>81</xdr:row>
      <xdr:rowOff>155575</xdr:rowOff>
    </xdr:from>
    <xdr:to>
      <xdr:col>10</xdr:col>
      <xdr:colOff>387350</xdr:colOff>
      <xdr:row>93</xdr:row>
      <xdr:rowOff>177800</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4</xdr:col>
      <xdr:colOff>781049</xdr:colOff>
      <xdr:row>10</xdr:row>
      <xdr:rowOff>57150</xdr:rowOff>
    </xdr:from>
    <xdr:to>
      <xdr:col>9</xdr:col>
      <xdr:colOff>247649</xdr:colOff>
      <xdr:row>22</xdr:row>
      <xdr:rowOff>66675</xdr:rowOff>
    </xdr:to>
    <xdr:sp macro="" textlink="">
      <xdr:nvSpPr>
        <xdr:cNvPr id="2" name="Rounded Rectangle 1">
          <a:extLst>
            <a:ext uri="{FF2B5EF4-FFF2-40B4-BE49-F238E27FC236}">
              <a16:creationId xmlns:a16="http://schemas.microsoft.com/office/drawing/2014/main" id="{00000000-0008-0000-0D00-000002000000}"/>
            </a:ext>
          </a:extLst>
        </xdr:cNvPr>
        <xdr:cNvSpPr/>
      </xdr:nvSpPr>
      <xdr:spPr>
        <a:xfrm>
          <a:off x="6467474" y="1981200"/>
          <a:ext cx="3609975" cy="2295525"/>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2000"/>
            <a:t>Note: If you use this sheet, you must restart Excel before beginning</a:t>
          </a:r>
          <a:r>
            <a:rPr lang="en-US" sz="2000" baseline="0"/>
            <a:t> the next game.</a:t>
          </a:r>
          <a:endParaRPr lang="en-US" sz="2000"/>
        </a:p>
      </xdr:txBody>
    </xdr:sp>
    <xdr:clientData/>
  </xdr:twoCellAnchor>
</xdr:wsDr>
</file>

<file path=xl/theme/theme1.xml><?xml version="1.0" encoding="utf-8"?>
<a:theme xmlns:a="http://schemas.openxmlformats.org/drawingml/2006/main" name="Office Theme">
  <a:themeElements>
    <a:clrScheme name="Rainbow">
      <a:dk1>
        <a:sysClr val="windowText" lastClr="000000"/>
      </a:dk1>
      <a:lt1>
        <a:sysClr val="window" lastClr="FFFFFF"/>
      </a:lt1>
      <a:dk2>
        <a:srgbClr val="44546A"/>
      </a:dk2>
      <a:lt2>
        <a:srgbClr val="E7E6E6"/>
      </a:lt2>
      <a:accent1>
        <a:srgbClr val="8496B0"/>
      </a:accent1>
      <a:accent2>
        <a:srgbClr val="C01B00"/>
      </a:accent2>
      <a:accent3>
        <a:srgbClr val="F593E0"/>
      </a:accent3>
      <a:accent4>
        <a:srgbClr val="FFFF00"/>
      </a:accent4>
      <a:accent5>
        <a:srgbClr val="C2DFFD"/>
      </a:accent5>
      <a:accent6>
        <a:srgbClr val="0563C1"/>
      </a:accent6>
      <a:hlink>
        <a:srgbClr val="00B050"/>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8" Type="http://schemas.openxmlformats.org/officeDocument/2006/relationships/hyperlink" Target="http://www.nrel.gov/docs/fy03osti/32500.pdf,%20Table%206" TargetMode="External"/><Relationship Id="rId3" Type="http://schemas.openxmlformats.org/officeDocument/2006/relationships/hyperlink" Target="http://www3.sce.com/sscc/law/dis/dbattach5e.nsf/0/BACF374E1EFE27CE88257C2100811E3D/$FILE/SCE-03%20Vol.%2008.pdf,%20p.2" TargetMode="External"/><Relationship Id="rId7" Type="http://schemas.openxmlformats.org/officeDocument/2006/relationships/hyperlink" Target="http://www.nrel.gov/docs/fy03osti/32500.pdf,%20Table%205" TargetMode="External"/><Relationship Id="rId2" Type="http://schemas.openxmlformats.org/officeDocument/2006/relationships/hyperlink" Target="http://energyenvironment.pnnl.gov/ei/pdf/NWPP%20report.pdf" TargetMode="External"/><Relationship Id="rId1" Type="http://schemas.openxmlformats.org/officeDocument/2006/relationships/hyperlink" Target="http://energyenvironment.pnnl.gov/ei/pdf/NWPP%20report.pdf" TargetMode="External"/><Relationship Id="rId6" Type="http://schemas.openxmlformats.org/officeDocument/2006/relationships/hyperlink" Target="http://www.nrel.gov/docs/fy03osti/32500.pdf,%20Table%208" TargetMode="External"/><Relationship Id="rId11" Type="http://schemas.openxmlformats.org/officeDocument/2006/relationships/printerSettings" Target="../printerSettings/printerSettings6.bin"/><Relationship Id="rId5" Type="http://schemas.openxmlformats.org/officeDocument/2006/relationships/hyperlink" Target="http://www.nrel.gov/docs/fy03osti/32500.pdf,%20Table%207" TargetMode="External"/><Relationship Id="rId10" Type="http://schemas.openxmlformats.org/officeDocument/2006/relationships/hyperlink" Target="http://www.nrel.gov/docs/fy03osti/32500.pdf,%20Table%204" TargetMode="External"/><Relationship Id="rId4" Type="http://schemas.openxmlformats.org/officeDocument/2006/relationships/hyperlink" Target="https://www.smartgrid.gov/files/SMUD-CBS_Final_Evaluation_Submitted_DOE_9_9_2014.pdf,%20Table%204-1,%20Default%20TOU,%20IHD-Offer,%20average" TargetMode="External"/><Relationship Id="rId9" Type="http://schemas.openxmlformats.org/officeDocument/2006/relationships/hyperlink" Target="http://www.nrel.gov/docs/fy03osti/32500.pdf,%20Table%203" TargetMode="Externa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R91"/>
  <sheetViews>
    <sheetView zoomScaleNormal="100" workbookViewId="0">
      <selection activeCell="B3" sqref="B3:F3"/>
    </sheetView>
  </sheetViews>
  <sheetFormatPr defaultRowHeight="15" x14ac:dyDescent="0.25"/>
  <cols>
    <col min="1" max="1" width="27.28515625" customWidth="1"/>
    <col min="2" max="2" width="21.140625" customWidth="1"/>
    <col min="3" max="3" width="13.5703125" bestFit="1" customWidth="1"/>
    <col min="4" max="4" width="30.28515625" bestFit="1" customWidth="1"/>
    <col min="5" max="6" width="20.7109375" bestFit="1" customWidth="1"/>
    <col min="7" max="7" width="34" bestFit="1" customWidth="1"/>
  </cols>
  <sheetData>
    <row r="1" spans="1:18" ht="27" thickBot="1" x14ac:dyDescent="0.45">
      <c r="A1" s="176" t="s">
        <v>271</v>
      </c>
      <c r="B1" s="176"/>
      <c r="C1" s="176"/>
      <c r="D1" s="176"/>
      <c r="E1" s="176"/>
      <c r="F1" s="176"/>
      <c r="G1" s="176"/>
      <c r="H1" s="176"/>
      <c r="I1" s="176"/>
      <c r="J1" s="176"/>
      <c r="K1" s="176"/>
      <c r="L1" s="176"/>
      <c r="M1" s="176"/>
      <c r="N1" s="176"/>
      <c r="O1" s="100"/>
      <c r="P1" s="100"/>
      <c r="Q1" s="100"/>
      <c r="R1" s="100"/>
    </row>
    <row r="2" spans="1:18" ht="27" thickBot="1" x14ac:dyDescent="0.45">
      <c r="A2" s="109" t="s">
        <v>281</v>
      </c>
      <c r="B2" s="179" t="s">
        <v>388</v>
      </c>
      <c r="C2" s="180"/>
      <c r="D2" s="180"/>
      <c r="E2" s="180"/>
      <c r="F2" s="181"/>
      <c r="G2" s="100"/>
      <c r="H2" s="100"/>
      <c r="I2" s="100"/>
      <c r="J2" s="100"/>
      <c r="K2" s="100"/>
      <c r="L2" s="100"/>
      <c r="M2" s="100"/>
      <c r="N2" s="100"/>
      <c r="O2" s="100"/>
      <c r="P2" s="100"/>
      <c r="Q2" s="100"/>
      <c r="R2" s="100"/>
    </row>
    <row r="3" spans="1:18" ht="27" thickBot="1" x14ac:dyDescent="0.45">
      <c r="A3" s="109" t="s">
        <v>434</v>
      </c>
      <c r="B3" s="179" t="s">
        <v>431</v>
      </c>
      <c r="C3" s="180"/>
      <c r="D3" s="180"/>
      <c r="E3" s="180"/>
      <c r="F3" s="181"/>
      <c r="G3" s="100"/>
      <c r="H3" s="100"/>
      <c r="I3" s="100"/>
      <c r="J3" s="100"/>
      <c r="K3" s="100"/>
      <c r="L3" s="100"/>
      <c r="M3" s="100"/>
      <c r="N3" s="100"/>
      <c r="O3" s="100"/>
      <c r="P3" s="100"/>
      <c r="Q3" s="100"/>
      <c r="R3" s="100"/>
    </row>
    <row r="4" spans="1:18" x14ac:dyDescent="0.25">
      <c r="A4" s="100"/>
      <c r="B4" s="100"/>
      <c r="C4" s="100"/>
      <c r="D4" s="100"/>
      <c r="E4" s="100"/>
      <c r="F4" s="100"/>
      <c r="G4" s="100"/>
      <c r="H4" s="100"/>
      <c r="I4" s="100"/>
      <c r="J4" s="100"/>
      <c r="K4" s="100"/>
      <c r="L4" s="100"/>
      <c r="M4" s="100"/>
      <c r="N4" s="100"/>
      <c r="O4" s="100"/>
      <c r="P4" s="100"/>
      <c r="Q4" s="100"/>
      <c r="R4" s="100"/>
    </row>
    <row r="5" spans="1:18" ht="26.25" x14ac:dyDescent="0.4">
      <c r="A5" s="176" t="s">
        <v>324</v>
      </c>
      <c r="B5" s="176"/>
      <c r="C5" s="176"/>
      <c r="D5" s="176"/>
      <c r="E5" s="176"/>
      <c r="F5" s="176"/>
      <c r="G5" s="176"/>
      <c r="H5" s="176"/>
      <c r="I5" s="176"/>
      <c r="J5" s="176"/>
      <c r="K5" s="176"/>
      <c r="L5" s="176"/>
      <c r="M5" s="176"/>
      <c r="N5" s="176"/>
      <c r="O5" s="113"/>
      <c r="P5" s="100"/>
      <c r="Q5" s="100"/>
      <c r="R5" s="100"/>
    </row>
    <row r="6" spans="1:18" ht="132" customHeight="1" x14ac:dyDescent="0.3">
      <c r="A6" s="177" t="s">
        <v>354</v>
      </c>
      <c r="B6" s="177"/>
      <c r="C6" s="177"/>
      <c r="D6" s="177"/>
      <c r="E6" s="177"/>
      <c r="F6" s="177"/>
      <c r="G6" s="100"/>
      <c r="H6" s="100"/>
      <c r="I6" s="100"/>
      <c r="J6" s="100"/>
      <c r="K6" s="100"/>
      <c r="L6" s="100"/>
      <c r="M6" s="100"/>
      <c r="N6" s="100"/>
      <c r="O6" s="100"/>
      <c r="P6" s="100"/>
      <c r="Q6" s="100"/>
      <c r="R6" s="100"/>
    </row>
    <row r="7" spans="1:18" x14ac:dyDescent="0.25">
      <c r="A7" s="100"/>
      <c r="B7" s="100"/>
      <c r="C7" s="100"/>
      <c r="D7" s="100"/>
      <c r="E7" s="100"/>
      <c r="F7" s="100"/>
      <c r="G7" s="100"/>
      <c r="H7" s="100"/>
      <c r="I7" s="100"/>
      <c r="J7" s="100"/>
      <c r="K7" s="100"/>
      <c r="L7" s="100"/>
      <c r="M7" s="100"/>
      <c r="N7" s="100"/>
      <c r="O7" s="100"/>
      <c r="P7" s="100"/>
      <c r="Q7" s="100"/>
      <c r="R7" s="100"/>
    </row>
    <row r="8" spans="1:18" ht="18.75" x14ac:dyDescent="0.3">
      <c r="A8" s="110" t="s">
        <v>325</v>
      </c>
      <c r="B8" s="100"/>
      <c r="C8" s="100"/>
      <c r="D8" s="100"/>
      <c r="E8" s="100"/>
      <c r="F8" s="100"/>
      <c r="G8" s="100"/>
      <c r="H8" s="100"/>
      <c r="I8" s="100"/>
      <c r="J8" s="100"/>
      <c r="K8" s="100"/>
      <c r="L8" s="100"/>
      <c r="M8" s="100"/>
      <c r="N8" s="100"/>
      <c r="O8" s="100"/>
      <c r="P8" s="100"/>
      <c r="Q8" s="100"/>
      <c r="R8" s="100"/>
    </row>
    <row r="9" spans="1:18" x14ac:dyDescent="0.25">
      <c r="A9" s="100"/>
      <c r="B9" s="100"/>
      <c r="C9" s="100"/>
      <c r="D9" s="100"/>
      <c r="E9" s="100"/>
      <c r="F9" s="100"/>
      <c r="G9" s="100"/>
      <c r="H9" s="100"/>
      <c r="I9" s="100"/>
      <c r="J9" s="100"/>
      <c r="K9" s="100"/>
      <c r="L9" s="100"/>
      <c r="M9" s="100"/>
      <c r="N9" s="100"/>
      <c r="O9" s="100"/>
      <c r="P9" s="100"/>
      <c r="Q9" s="100"/>
      <c r="R9" s="100"/>
    </row>
    <row r="10" spans="1:18" ht="18.75" x14ac:dyDescent="0.3">
      <c r="A10" s="111" t="s">
        <v>327</v>
      </c>
      <c r="B10" s="100"/>
      <c r="C10" s="100"/>
      <c r="D10" s="100"/>
      <c r="E10" s="100"/>
      <c r="F10" s="100"/>
      <c r="G10" s="100"/>
      <c r="H10" s="100"/>
      <c r="I10" s="100"/>
      <c r="J10" s="100"/>
      <c r="K10" s="100"/>
      <c r="L10" s="100"/>
      <c r="M10" s="100"/>
      <c r="N10" s="100"/>
      <c r="O10" s="100"/>
      <c r="P10" s="100"/>
      <c r="Q10" s="100"/>
      <c r="R10" s="100"/>
    </row>
    <row r="11" spans="1:18" x14ac:dyDescent="0.25">
      <c r="A11" s="100"/>
      <c r="B11" s="100"/>
      <c r="C11" s="100"/>
      <c r="D11" s="100"/>
      <c r="E11" s="100"/>
      <c r="F11" s="100"/>
      <c r="G11" s="100"/>
      <c r="H11" s="100"/>
      <c r="I11" s="100"/>
      <c r="J11" s="100"/>
      <c r="K11" s="100"/>
      <c r="L11" s="100"/>
      <c r="M11" s="100"/>
      <c r="N11" s="100"/>
      <c r="O11" s="100"/>
      <c r="P11" s="100"/>
      <c r="Q11" s="100"/>
      <c r="R11" s="100"/>
    </row>
    <row r="12" spans="1:18" x14ac:dyDescent="0.25">
      <c r="A12" s="100"/>
      <c r="B12" s="100"/>
      <c r="C12" s="100"/>
      <c r="D12" s="100"/>
      <c r="E12" s="100"/>
      <c r="F12" s="100"/>
      <c r="G12" s="100"/>
      <c r="H12" s="100"/>
      <c r="I12" s="100"/>
      <c r="J12" s="100"/>
      <c r="K12" s="100"/>
      <c r="L12" s="100"/>
      <c r="M12" s="100"/>
      <c r="N12" s="100"/>
      <c r="O12" s="100"/>
      <c r="P12" s="100"/>
      <c r="Q12" s="100"/>
      <c r="R12" s="100"/>
    </row>
    <row r="13" spans="1:18" x14ac:dyDescent="0.25">
      <c r="A13" s="100"/>
      <c r="B13" s="100"/>
      <c r="C13" s="100"/>
      <c r="D13" s="100"/>
      <c r="E13" s="100"/>
      <c r="F13" s="100"/>
      <c r="G13" s="100"/>
      <c r="H13" s="100"/>
      <c r="I13" s="100"/>
      <c r="J13" s="100"/>
      <c r="K13" s="100"/>
      <c r="L13" s="100"/>
      <c r="M13" s="100"/>
      <c r="N13" s="100"/>
      <c r="O13" s="100"/>
      <c r="P13" s="100"/>
      <c r="Q13" s="100"/>
      <c r="R13" s="100"/>
    </row>
    <row r="14" spans="1:18" x14ac:dyDescent="0.25">
      <c r="A14" s="100"/>
      <c r="B14" s="100"/>
      <c r="C14" s="100"/>
      <c r="D14" s="100"/>
      <c r="E14" s="100"/>
      <c r="F14" s="100"/>
      <c r="G14" s="100"/>
      <c r="H14" s="100"/>
      <c r="I14" s="100"/>
      <c r="J14" s="100"/>
      <c r="K14" s="100"/>
      <c r="L14" s="100"/>
      <c r="M14" s="100"/>
      <c r="N14" s="100"/>
      <c r="O14" s="100"/>
      <c r="P14" s="100"/>
      <c r="Q14" s="100"/>
      <c r="R14" s="100"/>
    </row>
    <row r="15" spans="1:18" x14ac:dyDescent="0.25">
      <c r="A15" s="100"/>
      <c r="B15" s="100"/>
      <c r="C15" s="100"/>
      <c r="D15" s="100"/>
      <c r="E15" s="100"/>
      <c r="F15" s="100"/>
      <c r="G15" s="100"/>
      <c r="H15" s="100"/>
      <c r="I15" s="100"/>
      <c r="J15" s="100"/>
      <c r="K15" s="100"/>
      <c r="L15" s="100"/>
      <c r="M15" s="100"/>
      <c r="N15" s="100"/>
      <c r="O15" s="100"/>
      <c r="P15" s="100"/>
      <c r="Q15" s="100"/>
      <c r="R15" s="100"/>
    </row>
    <row r="16" spans="1:18" x14ac:dyDescent="0.25">
      <c r="A16" s="100"/>
      <c r="B16" s="100"/>
      <c r="C16" s="100"/>
      <c r="D16" s="100"/>
      <c r="E16" s="100"/>
      <c r="F16" s="100"/>
      <c r="G16" s="100"/>
      <c r="H16" s="100"/>
      <c r="I16" s="100"/>
      <c r="J16" s="100"/>
      <c r="K16" s="100"/>
      <c r="L16" s="100"/>
      <c r="M16" s="100"/>
      <c r="N16" s="100"/>
      <c r="O16" s="100"/>
      <c r="P16" s="100"/>
      <c r="Q16" s="100"/>
      <c r="R16" s="100"/>
    </row>
    <row r="17" spans="1:18" x14ac:dyDescent="0.25">
      <c r="A17" s="100"/>
      <c r="B17" s="100"/>
      <c r="C17" s="100"/>
      <c r="D17" s="100"/>
      <c r="E17" s="100"/>
      <c r="F17" s="100"/>
      <c r="G17" s="100"/>
      <c r="H17" s="100"/>
      <c r="I17" s="100"/>
      <c r="J17" s="100"/>
      <c r="K17" s="100"/>
      <c r="L17" s="100"/>
      <c r="M17" s="100"/>
      <c r="N17" s="100"/>
      <c r="O17" s="100"/>
      <c r="P17" s="100"/>
      <c r="Q17" s="100"/>
      <c r="R17" s="100"/>
    </row>
    <row r="18" spans="1:18" x14ac:dyDescent="0.25">
      <c r="A18" s="100"/>
      <c r="B18" s="100"/>
      <c r="C18" s="100"/>
      <c r="D18" s="100"/>
      <c r="E18" s="100"/>
      <c r="F18" s="100"/>
      <c r="G18" s="100"/>
      <c r="H18" s="100"/>
      <c r="I18" s="100"/>
      <c r="J18" s="100"/>
      <c r="K18" s="100"/>
      <c r="L18" s="100"/>
      <c r="M18" s="100"/>
      <c r="N18" s="100"/>
      <c r="O18" s="100"/>
      <c r="P18" s="100"/>
      <c r="Q18" s="100"/>
      <c r="R18" s="100"/>
    </row>
    <row r="19" spans="1:18" x14ac:dyDescent="0.25">
      <c r="A19" s="100"/>
      <c r="B19" s="100"/>
      <c r="C19" s="100"/>
      <c r="D19" s="100"/>
      <c r="E19" s="100"/>
      <c r="F19" s="100"/>
      <c r="G19" s="100"/>
      <c r="H19" s="100"/>
      <c r="I19" s="100"/>
      <c r="J19" s="100"/>
      <c r="K19" s="100"/>
      <c r="L19" s="100"/>
      <c r="M19" s="100"/>
      <c r="N19" s="100"/>
      <c r="O19" s="100"/>
      <c r="P19" s="100"/>
      <c r="Q19" s="100"/>
      <c r="R19" s="100"/>
    </row>
    <row r="20" spans="1:18" x14ac:dyDescent="0.25">
      <c r="A20" s="100"/>
      <c r="B20" s="100"/>
      <c r="C20" s="100"/>
      <c r="D20" s="100"/>
      <c r="E20" s="100"/>
      <c r="F20" s="100"/>
      <c r="G20" s="100"/>
      <c r="H20" s="100"/>
      <c r="I20" s="100"/>
      <c r="J20" s="100"/>
      <c r="K20" s="100"/>
      <c r="L20" s="100"/>
      <c r="M20" s="100"/>
      <c r="N20" s="100"/>
      <c r="O20" s="100"/>
      <c r="P20" s="100"/>
      <c r="Q20" s="100"/>
      <c r="R20" s="100"/>
    </row>
    <row r="21" spans="1:18" x14ac:dyDescent="0.25">
      <c r="A21" s="100"/>
      <c r="B21" s="100"/>
      <c r="C21" s="100"/>
      <c r="D21" s="100"/>
      <c r="E21" s="100"/>
      <c r="F21" s="100"/>
      <c r="G21" s="100"/>
      <c r="H21" s="100"/>
      <c r="I21" s="100"/>
      <c r="J21" s="100"/>
      <c r="K21" s="100"/>
      <c r="L21" s="100"/>
      <c r="M21" s="100"/>
      <c r="N21" s="100"/>
      <c r="O21" s="100"/>
      <c r="P21" s="100"/>
      <c r="Q21" s="100"/>
      <c r="R21" s="100"/>
    </row>
    <row r="22" spans="1:18" x14ac:dyDescent="0.25">
      <c r="A22" s="100"/>
      <c r="B22" s="100"/>
      <c r="C22" s="100"/>
      <c r="D22" s="100"/>
      <c r="E22" s="100"/>
      <c r="F22" s="100"/>
      <c r="G22" s="100"/>
      <c r="H22" s="100"/>
      <c r="I22" s="100"/>
      <c r="J22" s="100"/>
      <c r="K22" s="100"/>
      <c r="L22" s="100"/>
      <c r="M22" s="100"/>
      <c r="N22" s="100"/>
      <c r="O22" s="100"/>
      <c r="P22" s="100"/>
      <c r="Q22" s="100"/>
      <c r="R22" s="100"/>
    </row>
    <row r="23" spans="1:18" x14ac:dyDescent="0.25">
      <c r="A23" s="100"/>
      <c r="B23" s="100"/>
      <c r="C23" s="100"/>
      <c r="D23" s="100"/>
      <c r="E23" s="100"/>
      <c r="F23" s="100"/>
      <c r="G23" s="100"/>
      <c r="H23" s="100"/>
      <c r="I23" s="100"/>
      <c r="J23" s="100"/>
      <c r="K23" s="100"/>
      <c r="L23" s="100"/>
      <c r="M23" s="100"/>
      <c r="N23" s="100"/>
      <c r="O23" s="100"/>
      <c r="P23" s="100"/>
      <c r="Q23" s="100"/>
      <c r="R23" s="100"/>
    </row>
    <row r="24" spans="1:18" x14ac:dyDescent="0.25">
      <c r="A24" s="100"/>
      <c r="B24" s="100"/>
      <c r="C24" s="100"/>
      <c r="D24" s="100"/>
      <c r="E24" s="100"/>
      <c r="F24" s="100"/>
      <c r="G24" s="100"/>
      <c r="H24" s="100"/>
      <c r="I24" s="100"/>
      <c r="J24" s="100"/>
      <c r="K24" s="100"/>
      <c r="L24" s="100"/>
      <c r="M24" s="100"/>
      <c r="N24" s="100"/>
      <c r="O24" s="100"/>
      <c r="P24" s="100"/>
      <c r="Q24" s="100"/>
      <c r="R24" s="100"/>
    </row>
    <row r="25" spans="1:18" x14ac:dyDescent="0.25">
      <c r="A25" s="100"/>
      <c r="B25" s="100"/>
      <c r="C25" s="100"/>
      <c r="D25" s="100"/>
      <c r="E25" s="100"/>
      <c r="F25" s="100"/>
      <c r="G25" s="100"/>
      <c r="H25" s="100"/>
      <c r="I25" s="100"/>
      <c r="J25" s="100"/>
      <c r="K25" s="100"/>
      <c r="L25" s="100"/>
      <c r="M25" s="100"/>
      <c r="N25" s="100"/>
      <c r="O25" s="100"/>
      <c r="P25" s="100"/>
      <c r="Q25" s="100"/>
      <c r="R25" s="100"/>
    </row>
    <row r="26" spans="1:18" x14ac:dyDescent="0.25">
      <c r="A26" s="100"/>
      <c r="B26" s="100"/>
      <c r="C26" s="100"/>
      <c r="D26" s="100"/>
      <c r="E26" s="100"/>
      <c r="F26" s="100"/>
      <c r="G26" s="100"/>
      <c r="H26" s="100"/>
      <c r="I26" s="100"/>
      <c r="J26" s="100"/>
      <c r="K26" s="100"/>
      <c r="L26" s="100"/>
      <c r="M26" s="100"/>
      <c r="N26" s="100"/>
      <c r="O26" s="100"/>
      <c r="P26" s="100"/>
      <c r="Q26" s="100"/>
      <c r="R26" s="100"/>
    </row>
    <row r="27" spans="1:18" ht="18.75" x14ac:dyDescent="0.3">
      <c r="A27" s="111" t="s">
        <v>326</v>
      </c>
      <c r="B27" s="100"/>
      <c r="C27" s="100"/>
      <c r="D27" s="100"/>
      <c r="E27" s="100"/>
      <c r="F27" s="100"/>
      <c r="G27" s="100"/>
      <c r="H27" s="100"/>
      <c r="I27" s="100"/>
      <c r="J27" s="100"/>
      <c r="K27" s="100"/>
      <c r="L27" s="100"/>
      <c r="M27" s="100"/>
      <c r="N27" s="100"/>
      <c r="O27" s="100"/>
      <c r="P27" s="100"/>
      <c r="Q27" s="100"/>
      <c r="R27" s="100"/>
    </row>
    <row r="28" spans="1:18" x14ac:dyDescent="0.25">
      <c r="A28" s="100"/>
      <c r="B28" s="100"/>
      <c r="C28" s="100"/>
      <c r="D28" s="100"/>
      <c r="E28" s="100"/>
      <c r="F28" s="100"/>
      <c r="G28" s="100"/>
      <c r="H28" s="100"/>
      <c r="I28" s="100"/>
      <c r="J28" s="100"/>
      <c r="K28" s="100"/>
      <c r="L28" s="100"/>
      <c r="M28" s="100"/>
      <c r="N28" s="100"/>
      <c r="O28" s="100"/>
      <c r="P28" s="100"/>
      <c r="Q28" s="100"/>
      <c r="R28" s="100"/>
    </row>
    <row r="29" spans="1:18" x14ac:dyDescent="0.25">
      <c r="A29" s="100"/>
      <c r="B29" s="100"/>
      <c r="C29" s="100"/>
      <c r="D29" s="100"/>
      <c r="E29" s="100"/>
      <c r="F29" s="100"/>
      <c r="G29" s="100"/>
      <c r="H29" s="100"/>
      <c r="I29" s="100"/>
      <c r="J29" s="100"/>
      <c r="K29" s="100"/>
      <c r="L29" s="100"/>
      <c r="M29" s="100"/>
      <c r="N29" s="100"/>
      <c r="O29" s="100"/>
      <c r="P29" s="100"/>
      <c r="Q29" s="100"/>
      <c r="R29" s="100"/>
    </row>
    <row r="30" spans="1:18" x14ac:dyDescent="0.25">
      <c r="A30" s="100"/>
      <c r="B30" s="100"/>
      <c r="C30" s="100"/>
      <c r="D30" s="100"/>
      <c r="E30" s="100"/>
      <c r="F30" s="100"/>
      <c r="G30" s="100"/>
      <c r="H30" s="100"/>
      <c r="I30" s="100"/>
      <c r="J30" s="100"/>
      <c r="K30" s="100"/>
      <c r="L30" s="100"/>
      <c r="M30" s="100"/>
      <c r="N30" s="100"/>
      <c r="O30" s="100"/>
      <c r="P30" s="100"/>
      <c r="Q30" s="100"/>
      <c r="R30" s="100"/>
    </row>
    <row r="31" spans="1:18" x14ac:dyDescent="0.25">
      <c r="A31" s="100"/>
      <c r="B31" s="100"/>
      <c r="C31" s="100"/>
      <c r="D31" s="100"/>
      <c r="E31" s="100"/>
      <c r="F31" s="100"/>
      <c r="G31" s="100"/>
      <c r="H31" s="100"/>
      <c r="I31" s="100"/>
      <c r="J31" s="100"/>
      <c r="K31" s="100"/>
      <c r="L31" s="100"/>
      <c r="M31" s="100"/>
      <c r="N31" s="100"/>
      <c r="O31" s="100"/>
      <c r="P31" s="100"/>
      <c r="Q31" s="100"/>
      <c r="R31" s="100"/>
    </row>
    <row r="32" spans="1:18" x14ac:dyDescent="0.25">
      <c r="A32" s="100"/>
      <c r="B32" s="100"/>
      <c r="C32" s="100"/>
      <c r="D32" s="100"/>
      <c r="E32" s="100"/>
      <c r="F32" s="100"/>
      <c r="G32" s="100"/>
      <c r="H32" s="100"/>
      <c r="I32" s="100"/>
      <c r="J32" s="100"/>
      <c r="K32" s="100"/>
      <c r="L32" s="100"/>
      <c r="M32" s="100"/>
      <c r="N32" s="100"/>
      <c r="O32" s="100"/>
      <c r="P32" s="100"/>
      <c r="Q32" s="100"/>
      <c r="R32" s="100"/>
    </row>
    <row r="33" spans="1:18" x14ac:dyDescent="0.25">
      <c r="A33" s="100"/>
      <c r="B33" s="100"/>
      <c r="C33" s="100"/>
      <c r="D33" s="100"/>
      <c r="E33" s="100"/>
      <c r="F33" s="100"/>
      <c r="G33" s="100"/>
      <c r="H33" s="100"/>
      <c r="I33" s="100"/>
      <c r="J33" s="100"/>
      <c r="K33" s="100"/>
      <c r="L33" s="100"/>
      <c r="M33" s="100"/>
      <c r="N33" s="100"/>
      <c r="O33" s="100"/>
      <c r="P33" s="100"/>
      <c r="Q33" s="100"/>
      <c r="R33" s="100"/>
    </row>
    <row r="34" spans="1:18" x14ac:dyDescent="0.25">
      <c r="A34" s="100"/>
      <c r="B34" s="100"/>
      <c r="C34" s="100"/>
      <c r="D34" s="100"/>
      <c r="E34" s="100"/>
      <c r="F34" s="100"/>
      <c r="G34" s="100"/>
      <c r="H34" s="100"/>
      <c r="I34" s="100"/>
      <c r="J34" s="100"/>
      <c r="K34" s="100"/>
      <c r="L34" s="100"/>
      <c r="M34" s="100"/>
      <c r="N34" s="100"/>
      <c r="O34" s="100"/>
      <c r="P34" s="100"/>
      <c r="Q34" s="100"/>
      <c r="R34" s="100"/>
    </row>
    <row r="35" spans="1:18" x14ac:dyDescent="0.25">
      <c r="A35" s="100"/>
      <c r="B35" s="100"/>
      <c r="C35" s="100"/>
      <c r="D35" s="100"/>
      <c r="E35" s="100"/>
      <c r="F35" s="100"/>
      <c r="G35" s="100"/>
      <c r="H35" s="100"/>
      <c r="I35" s="100"/>
      <c r="J35" s="100"/>
      <c r="K35" s="100"/>
      <c r="L35" s="100"/>
      <c r="M35" s="100"/>
      <c r="N35" s="100"/>
      <c r="O35" s="100"/>
      <c r="P35" s="100"/>
      <c r="Q35" s="100"/>
      <c r="R35" s="100"/>
    </row>
    <row r="36" spans="1:18" x14ac:dyDescent="0.25">
      <c r="A36" s="100"/>
      <c r="B36" s="100"/>
      <c r="C36" s="100"/>
      <c r="D36" s="100"/>
      <c r="E36" s="100"/>
      <c r="F36" s="100"/>
      <c r="G36" s="100"/>
      <c r="H36" s="100"/>
      <c r="I36" s="100"/>
      <c r="J36" s="100"/>
      <c r="K36" s="100"/>
      <c r="L36" s="100"/>
      <c r="M36" s="100"/>
      <c r="N36" s="100"/>
      <c r="O36" s="100"/>
      <c r="P36" s="100"/>
      <c r="Q36" s="100"/>
      <c r="R36" s="100"/>
    </row>
    <row r="37" spans="1:18" x14ac:dyDescent="0.25">
      <c r="A37" s="100"/>
      <c r="B37" s="100"/>
      <c r="C37" s="100"/>
      <c r="D37" s="100"/>
      <c r="E37" s="100"/>
      <c r="F37" s="100"/>
      <c r="G37" s="100"/>
      <c r="H37" s="100"/>
      <c r="I37" s="100"/>
      <c r="J37" s="100"/>
      <c r="K37" s="100"/>
      <c r="L37" s="100"/>
      <c r="M37" s="100"/>
      <c r="N37" s="100"/>
      <c r="O37" s="100"/>
      <c r="P37" s="100"/>
      <c r="Q37" s="100"/>
      <c r="R37" s="100"/>
    </row>
    <row r="38" spans="1:18" x14ac:dyDescent="0.25">
      <c r="A38" s="100"/>
      <c r="B38" s="100"/>
      <c r="C38" s="100"/>
      <c r="D38" s="100"/>
      <c r="E38" s="100"/>
      <c r="F38" s="100"/>
      <c r="G38" s="100"/>
      <c r="H38" s="100"/>
      <c r="I38" s="100"/>
      <c r="J38" s="100"/>
      <c r="K38" s="100"/>
      <c r="L38" s="100"/>
      <c r="M38" s="100"/>
      <c r="N38" s="100"/>
      <c r="O38" s="100"/>
      <c r="P38" s="100"/>
      <c r="Q38" s="100"/>
      <c r="R38" s="100"/>
    </row>
    <row r="39" spans="1:18" x14ac:dyDescent="0.25">
      <c r="A39" s="100"/>
      <c r="B39" s="100"/>
      <c r="C39" s="100"/>
      <c r="D39" s="100"/>
      <c r="E39" s="100"/>
      <c r="F39" s="100"/>
      <c r="G39" s="100"/>
      <c r="H39" s="100"/>
      <c r="I39" s="100"/>
      <c r="J39" s="100"/>
      <c r="K39" s="100"/>
      <c r="L39" s="100"/>
      <c r="M39" s="100"/>
      <c r="N39" s="100"/>
      <c r="O39" s="100"/>
      <c r="P39" s="100"/>
      <c r="Q39" s="100"/>
      <c r="R39" s="100"/>
    </row>
    <row r="40" spans="1:18" x14ac:dyDescent="0.25">
      <c r="A40" s="100"/>
      <c r="B40" s="100"/>
      <c r="C40" s="100"/>
      <c r="D40" s="100"/>
      <c r="E40" s="100"/>
      <c r="F40" s="100"/>
      <c r="G40" s="100"/>
      <c r="H40" s="100"/>
      <c r="I40" s="100"/>
      <c r="J40" s="100"/>
      <c r="K40" s="100"/>
      <c r="L40" s="100"/>
      <c r="M40" s="100"/>
      <c r="N40" s="100"/>
      <c r="O40" s="100"/>
      <c r="P40" s="100"/>
      <c r="Q40" s="100"/>
      <c r="R40" s="100"/>
    </row>
    <row r="41" spans="1:18" x14ac:dyDescent="0.25">
      <c r="A41" s="100"/>
      <c r="B41" s="100"/>
      <c r="C41" s="100"/>
      <c r="D41" s="100"/>
      <c r="E41" s="100"/>
      <c r="F41" s="100"/>
      <c r="G41" s="100"/>
      <c r="H41" s="100"/>
      <c r="I41" s="100"/>
      <c r="J41" s="100"/>
      <c r="K41" s="100"/>
      <c r="L41" s="100"/>
      <c r="M41" s="100"/>
      <c r="N41" s="100"/>
      <c r="O41" s="100"/>
      <c r="P41" s="100"/>
      <c r="Q41" s="100"/>
      <c r="R41" s="100"/>
    </row>
    <row r="42" spans="1:18" x14ac:dyDescent="0.25">
      <c r="A42" s="100"/>
      <c r="B42" s="100"/>
      <c r="C42" s="100"/>
      <c r="D42" s="100"/>
      <c r="E42" s="100"/>
      <c r="F42" s="100"/>
      <c r="G42" s="100"/>
      <c r="H42" s="100"/>
      <c r="I42" s="100"/>
      <c r="J42" s="100"/>
      <c r="K42" s="100"/>
      <c r="L42" s="100"/>
      <c r="M42" s="100"/>
      <c r="N42" s="100"/>
      <c r="O42" s="100"/>
      <c r="P42" s="100"/>
      <c r="Q42" s="100"/>
      <c r="R42" s="100"/>
    </row>
    <row r="43" spans="1:18" x14ac:dyDescent="0.25">
      <c r="A43" s="100"/>
      <c r="B43" s="100"/>
      <c r="C43" s="100"/>
      <c r="D43" s="100"/>
      <c r="E43" s="100"/>
      <c r="F43" s="100"/>
      <c r="G43" s="100"/>
      <c r="H43" s="100"/>
      <c r="I43" s="100"/>
      <c r="J43" s="100"/>
      <c r="K43" s="100"/>
      <c r="L43" s="100"/>
      <c r="M43" s="100"/>
      <c r="N43" s="100"/>
      <c r="O43" s="100"/>
      <c r="P43" s="100"/>
      <c r="Q43" s="100"/>
      <c r="R43" s="100"/>
    </row>
    <row r="44" spans="1:18" x14ac:dyDescent="0.25">
      <c r="A44" s="100"/>
      <c r="B44" s="100"/>
      <c r="C44" s="100"/>
      <c r="D44" s="100"/>
      <c r="E44" s="100"/>
      <c r="F44" s="100"/>
      <c r="G44" s="100"/>
      <c r="H44" s="100"/>
      <c r="I44" s="100"/>
      <c r="J44" s="100"/>
      <c r="K44" s="100"/>
      <c r="L44" s="100"/>
      <c r="M44" s="100"/>
      <c r="N44" s="100"/>
      <c r="O44" s="100"/>
      <c r="P44" s="100"/>
      <c r="Q44" s="100"/>
      <c r="R44" s="100"/>
    </row>
    <row r="45" spans="1:18" ht="58.5" customHeight="1" x14ac:dyDescent="0.3">
      <c r="A45" s="178" t="s">
        <v>331</v>
      </c>
      <c r="B45" s="178"/>
      <c r="C45" s="178"/>
      <c r="D45" s="178"/>
      <c r="E45" s="178"/>
      <c r="F45" s="178"/>
      <c r="G45" s="103"/>
      <c r="H45" s="100"/>
      <c r="I45" s="100"/>
      <c r="J45" s="100"/>
      <c r="K45" s="100"/>
      <c r="L45" s="100"/>
      <c r="M45" s="100"/>
      <c r="N45" s="100"/>
      <c r="O45" s="100"/>
      <c r="P45" s="100"/>
      <c r="Q45" s="100"/>
      <c r="R45" s="100"/>
    </row>
    <row r="46" spans="1:18" x14ac:dyDescent="0.25">
      <c r="A46" s="100"/>
      <c r="B46" s="100"/>
      <c r="C46" s="100"/>
      <c r="D46" s="100"/>
      <c r="E46" s="100"/>
      <c r="F46" s="100"/>
      <c r="G46" s="100"/>
      <c r="H46" s="100"/>
      <c r="I46" s="100"/>
      <c r="J46" s="100"/>
      <c r="K46" s="100"/>
      <c r="L46" s="100"/>
      <c r="M46" s="100"/>
      <c r="N46" s="100"/>
      <c r="O46" s="100"/>
      <c r="P46" s="100"/>
      <c r="Q46" s="100"/>
      <c r="R46" s="100"/>
    </row>
    <row r="47" spans="1:18" x14ac:dyDescent="0.25">
      <c r="A47" s="100" t="s">
        <v>15</v>
      </c>
      <c r="B47" s="100" t="s">
        <v>330</v>
      </c>
      <c r="C47" s="100" t="s">
        <v>10</v>
      </c>
      <c r="D47" s="100"/>
      <c r="E47" s="100"/>
      <c r="F47" s="100"/>
      <c r="G47" s="100"/>
      <c r="H47" s="100"/>
      <c r="I47" s="100"/>
      <c r="J47" s="100"/>
      <c r="K47" s="100"/>
      <c r="L47" s="100"/>
      <c r="M47" s="100"/>
      <c r="N47" s="100"/>
      <c r="O47" s="100"/>
      <c r="P47" s="100"/>
      <c r="Q47" s="100"/>
      <c r="R47" s="100"/>
    </row>
    <row r="48" spans="1:18" x14ac:dyDescent="0.25">
      <c r="A48" s="100">
        <v>0</v>
      </c>
      <c r="B48" s="100">
        <f>('Game Assumptions'!G31)/(10^6)</f>
        <v>1.5625</v>
      </c>
      <c r="C48" s="100">
        <f>('Game Assumptions'!G32)/(10^6)</f>
        <v>1.4750000000000001</v>
      </c>
      <c r="D48" s="100"/>
      <c r="E48" s="100"/>
      <c r="F48" s="100"/>
      <c r="G48" s="100"/>
      <c r="H48" s="100"/>
      <c r="I48" s="100"/>
      <c r="J48" s="100"/>
      <c r="K48" s="100"/>
      <c r="L48" s="100"/>
      <c r="M48" s="100"/>
      <c r="N48" s="100"/>
      <c r="O48" s="100"/>
      <c r="P48" s="100"/>
      <c r="Q48" s="100"/>
      <c r="R48" s="100"/>
    </row>
    <row r="49" spans="1:18" x14ac:dyDescent="0.25">
      <c r="A49" s="100">
        <v>1</v>
      </c>
      <c r="B49" s="112">
        <f>B48*(1-'Game Assumptions'!$B$15)</f>
        <v>1.40625</v>
      </c>
      <c r="C49" s="112">
        <f>C48*(1-'Game Assumptions'!$B$16)</f>
        <v>1.43075</v>
      </c>
      <c r="D49" s="100"/>
      <c r="E49" s="100"/>
      <c r="F49" s="100"/>
      <c r="G49" s="100"/>
      <c r="H49" s="100"/>
      <c r="I49" s="100"/>
      <c r="J49" s="100"/>
      <c r="K49" s="100"/>
      <c r="L49" s="100"/>
      <c r="M49" s="100"/>
      <c r="N49" s="100"/>
      <c r="O49" s="100"/>
      <c r="P49" s="100"/>
      <c r="Q49" s="100"/>
      <c r="R49" s="100"/>
    </row>
    <row r="50" spans="1:18" x14ac:dyDescent="0.25">
      <c r="A50" s="100">
        <v>2</v>
      </c>
      <c r="B50" s="112">
        <f>B49*(1-'Game Assumptions'!$B$15)</f>
        <v>1.265625</v>
      </c>
      <c r="C50" s="112">
        <f>C49*(1-'Game Assumptions'!$B$16)</f>
        <v>1.3878275</v>
      </c>
      <c r="D50" s="100"/>
      <c r="E50" s="100"/>
      <c r="F50" s="100"/>
      <c r="G50" s="100"/>
      <c r="H50" s="100"/>
      <c r="I50" s="100"/>
      <c r="J50" s="100"/>
      <c r="K50" s="100"/>
      <c r="L50" s="100"/>
      <c r="M50" s="100"/>
      <c r="N50" s="100"/>
      <c r="O50" s="100"/>
      <c r="P50" s="100"/>
      <c r="Q50" s="100"/>
      <c r="R50" s="100"/>
    </row>
    <row r="51" spans="1:18" x14ac:dyDescent="0.25">
      <c r="A51" s="100">
        <v>3</v>
      </c>
      <c r="B51" s="112">
        <f>B50*(1-'Game Assumptions'!$B$15)</f>
        <v>1.1390625000000001</v>
      </c>
      <c r="C51" s="112">
        <f>C50*(1-'Game Assumptions'!$B$16)</f>
        <v>1.3461926749999999</v>
      </c>
      <c r="D51" s="100"/>
      <c r="E51" s="100"/>
      <c r="F51" s="100"/>
      <c r="G51" s="100"/>
      <c r="H51" s="100"/>
      <c r="I51" s="100"/>
      <c r="J51" s="100"/>
      <c r="K51" s="100"/>
      <c r="L51" s="100"/>
      <c r="M51" s="100"/>
      <c r="N51" s="100"/>
      <c r="O51" s="100"/>
      <c r="P51" s="100"/>
      <c r="Q51" s="100"/>
      <c r="R51" s="100"/>
    </row>
    <row r="52" spans="1:18" x14ac:dyDescent="0.25">
      <c r="A52" s="100">
        <v>4</v>
      </c>
      <c r="B52" s="112">
        <f>B51*(1-'Game Assumptions'!$B$15)</f>
        <v>1.0251562500000002</v>
      </c>
      <c r="C52" s="112">
        <f>C51*(1-'Game Assumptions'!$B$16)</f>
        <v>1.3058068947499999</v>
      </c>
      <c r="D52" s="100"/>
      <c r="E52" s="100"/>
      <c r="F52" s="100"/>
      <c r="G52" s="100"/>
      <c r="H52" s="100"/>
      <c r="I52" s="100"/>
      <c r="J52" s="100"/>
      <c r="K52" s="100"/>
      <c r="L52" s="100"/>
      <c r="M52" s="100"/>
      <c r="N52" s="100"/>
      <c r="O52" s="100"/>
      <c r="P52" s="100"/>
      <c r="Q52" s="100"/>
      <c r="R52" s="100"/>
    </row>
    <row r="53" spans="1:18" x14ac:dyDescent="0.25">
      <c r="A53" s="100">
        <v>5</v>
      </c>
      <c r="B53" s="112">
        <f>B52*(1-'Game Assumptions'!$B$15)</f>
        <v>0.92264062500000021</v>
      </c>
      <c r="C53" s="112">
        <f>C52*(1-'Game Assumptions'!$B$16)</f>
        <v>1.2666326879074998</v>
      </c>
      <c r="D53" s="100"/>
      <c r="E53" s="100"/>
      <c r="F53" s="100"/>
      <c r="G53" s="100"/>
      <c r="H53" s="100"/>
      <c r="I53" s="100"/>
      <c r="J53" s="100"/>
      <c r="K53" s="100"/>
      <c r="L53" s="100"/>
      <c r="M53" s="100"/>
      <c r="N53" s="100"/>
      <c r="O53" s="100"/>
      <c r="P53" s="100"/>
      <c r="Q53" s="100"/>
      <c r="R53" s="100"/>
    </row>
    <row r="54" spans="1:18" x14ac:dyDescent="0.25">
      <c r="A54" s="100">
        <v>6</v>
      </c>
      <c r="B54" s="112">
        <f>B53*(1-'Game Assumptions'!$B$15)</f>
        <v>0.83037656250000025</v>
      </c>
      <c r="C54" s="112">
        <f>C53*(1-'Game Assumptions'!$B$16)</f>
        <v>1.2286337072702749</v>
      </c>
      <c r="D54" s="100"/>
      <c r="E54" s="100"/>
      <c r="F54" s="100"/>
      <c r="G54" s="100"/>
      <c r="H54" s="100"/>
      <c r="I54" s="100"/>
      <c r="J54" s="100"/>
      <c r="K54" s="100"/>
      <c r="L54" s="100"/>
      <c r="M54" s="100"/>
      <c r="N54" s="100"/>
      <c r="O54" s="100"/>
      <c r="P54" s="100"/>
      <c r="Q54" s="100"/>
      <c r="R54" s="100"/>
    </row>
    <row r="55" spans="1:18" x14ac:dyDescent="0.25">
      <c r="A55" s="100">
        <v>7</v>
      </c>
      <c r="B55" s="112">
        <f>B54*(1-'Game Assumptions'!$B$15)</f>
        <v>0.74733890625000021</v>
      </c>
      <c r="C55" s="112">
        <f>C54*(1-'Game Assumptions'!$B$16)</f>
        <v>1.1917746960521667</v>
      </c>
      <c r="D55" s="100"/>
      <c r="E55" s="100"/>
      <c r="F55" s="100"/>
      <c r="G55" s="100"/>
      <c r="H55" s="100"/>
      <c r="I55" s="100"/>
      <c r="J55" s="100"/>
      <c r="K55" s="100"/>
      <c r="L55" s="100"/>
      <c r="M55" s="100"/>
      <c r="N55" s="100"/>
      <c r="O55" s="100"/>
      <c r="P55" s="100"/>
      <c r="Q55" s="100"/>
      <c r="R55" s="100"/>
    </row>
    <row r="56" spans="1:18" x14ac:dyDescent="0.25">
      <c r="A56" s="100">
        <v>8</v>
      </c>
      <c r="B56" s="112">
        <f>B55*(1-'Game Assumptions'!$B$15)</f>
        <v>0.67260501562500019</v>
      </c>
      <c r="C56" s="112">
        <f>C55*(1-'Game Assumptions'!$B$16)</f>
        <v>1.1560214551706016</v>
      </c>
      <c r="D56" s="100"/>
      <c r="E56" s="100"/>
      <c r="F56" s="100"/>
      <c r="G56" s="100"/>
      <c r="H56" s="100"/>
      <c r="I56" s="100"/>
      <c r="J56" s="100"/>
      <c r="K56" s="100"/>
      <c r="L56" s="100"/>
      <c r="M56" s="100"/>
      <c r="N56" s="100"/>
      <c r="O56" s="100"/>
      <c r="P56" s="100"/>
      <c r="Q56" s="100"/>
      <c r="R56" s="100"/>
    </row>
    <row r="57" spans="1:18" x14ac:dyDescent="0.25">
      <c r="A57" s="100">
        <v>9</v>
      </c>
      <c r="B57" s="112">
        <f>B56*(1-'Game Assumptions'!$B$15)</f>
        <v>0.60534451406250023</v>
      </c>
      <c r="C57" s="112">
        <f>C56*(1-'Game Assumptions'!$B$16)</f>
        <v>1.1213408115154835</v>
      </c>
      <c r="D57" s="100"/>
      <c r="E57" s="100"/>
      <c r="F57" s="100"/>
      <c r="G57" s="100"/>
      <c r="H57" s="100"/>
      <c r="I57" s="100"/>
      <c r="J57" s="100"/>
      <c r="K57" s="100"/>
      <c r="L57" s="100"/>
      <c r="M57" s="100"/>
      <c r="N57" s="100"/>
      <c r="O57" s="100"/>
      <c r="P57" s="100"/>
      <c r="Q57" s="100"/>
      <c r="R57" s="100"/>
    </row>
    <row r="58" spans="1:18" x14ac:dyDescent="0.25">
      <c r="A58" s="100">
        <v>10</v>
      </c>
      <c r="B58" s="112">
        <f>B57*(1-'Game Assumptions'!$B$15)</f>
        <v>0.5448100626562502</v>
      </c>
      <c r="C58" s="112">
        <f>C57*(1-'Game Assumptions'!$B$16)</f>
        <v>1.0877005871700189</v>
      </c>
      <c r="D58" s="100"/>
      <c r="E58" s="100"/>
      <c r="F58" s="100"/>
      <c r="G58" s="100"/>
      <c r="H58" s="100"/>
      <c r="I58" s="100"/>
      <c r="J58" s="100"/>
      <c r="K58" s="100"/>
      <c r="L58" s="100"/>
      <c r="M58" s="100"/>
      <c r="N58" s="100"/>
      <c r="O58" s="100"/>
      <c r="P58" s="100"/>
      <c r="Q58" s="100"/>
      <c r="R58" s="100"/>
    </row>
    <row r="59" spans="1:18" x14ac:dyDescent="0.25">
      <c r="A59" s="100"/>
      <c r="B59" s="100"/>
      <c r="C59" s="100"/>
      <c r="D59" s="100"/>
      <c r="E59" s="100"/>
      <c r="F59" s="100"/>
      <c r="G59" s="100"/>
      <c r="H59" s="100"/>
      <c r="I59" s="100"/>
      <c r="J59" s="100"/>
      <c r="K59" s="100"/>
      <c r="L59" s="100"/>
      <c r="M59" s="100"/>
      <c r="N59" s="100"/>
      <c r="O59" s="100"/>
      <c r="P59" s="100"/>
      <c r="Q59" s="100"/>
      <c r="R59" s="100"/>
    </row>
    <row r="60" spans="1:18" x14ac:dyDescent="0.25">
      <c r="A60" s="100"/>
      <c r="B60" s="100"/>
      <c r="C60" s="100"/>
      <c r="D60" s="100"/>
      <c r="E60" s="100"/>
      <c r="F60" s="100"/>
      <c r="G60" s="100"/>
      <c r="H60" s="100"/>
      <c r="I60" s="100"/>
      <c r="J60" s="100"/>
      <c r="K60" s="100"/>
      <c r="L60" s="100"/>
      <c r="M60" s="100"/>
      <c r="N60" s="100"/>
      <c r="O60" s="100"/>
      <c r="P60" s="100"/>
      <c r="Q60" s="100"/>
      <c r="R60" s="100"/>
    </row>
    <row r="61" spans="1:18" x14ac:dyDescent="0.25">
      <c r="A61" s="100"/>
      <c r="B61" s="100"/>
      <c r="C61" s="100"/>
      <c r="D61" s="100"/>
      <c r="E61" s="100"/>
      <c r="F61" s="100"/>
      <c r="G61" s="100"/>
      <c r="H61" s="100"/>
      <c r="I61" s="100"/>
      <c r="J61" s="100"/>
      <c r="K61" s="100"/>
      <c r="L61" s="100"/>
      <c r="M61" s="100"/>
      <c r="N61" s="100"/>
      <c r="O61" s="100"/>
      <c r="P61" s="100"/>
      <c r="Q61" s="100"/>
      <c r="R61" s="100"/>
    </row>
    <row r="62" spans="1:18" x14ac:dyDescent="0.25">
      <c r="A62" s="100"/>
      <c r="B62" s="100"/>
      <c r="C62" s="100"/>
      <c r="D62" s="100"/>
      <c r="E62" s="100"/>
      <c r="F62" s="100"/>
      <c r="G62" s="100"/>
      <c r="H62" s="100"/>
      <c r="I62" s="100"/>
      <c r="J62" s="100"/>
      <c r="K62" s="100"/>
      <c r="L62" s="100"/>
      <c r="M62" s="100"/>
      <c r="N62" s="100"/>
      <c r="O62" s="100"/>
      <c r="P62" s="100"/>
      <c r="Q62" s="100"/>
      <c r="R62" s="100"/>
    </row>
    <row r="63" spans="1:18" ht="18.75" x14ac:dyDescent="0.3">
      <c r="A63" s="111" t="s">
        <v>334</v>
      </c>
      <c r="C63" s="100"/>
      <c r="D63" s="100"/>
      <c r="E63" s="100"/>
      <c r="F63" s="100"/>
      <c r="G63" s="100"/>
      <c r="H63" s="100"/>
      <c r="I63" s="100"/>
      <c r="J63" s="100"/>
      <c r="K63" s="100"/>
      <c r="L63" s="100"/>
      <c r="M63" s="100"/>
      <c r="N63" s="100"/>
      <c r="O63" s="100"/>
      <c r="P63" s="100"/>
      <c r="Q63" s="100"/>
      <c r="R63" s="100"/>
    </row>
    <row r="64" spans="1:18" x14ac:dyDescent="0.25">
      <c r="A64" s="100"/>
      <c r="B64" s="100"/>
      <c r="C64" s="100"/>
      <c r="D64" s="100"/>
      <c r="E64" s="100"/>
      <c r="F64" s="100"/>
      <c r="G64" s="100"/>
      <c r="H64" s="100"/>
      <c r="I64" s="100"/>
      <c r="J64" s="100"/>
      <c r="K64" s="100"/>
      <c r="L64" s="100"/>
      <c r="M64" s="100"/>
      <c r="N64" s="100"/>
      <c r="O64" s="100"/>
      <c r="P64" s="100"/>
      <c r="Q64" s="100"/>
      <c r="R64" s="100"/>
    </row>
    <row r="65" spans="1:18" x14ac:dyDescent="0.25">
      <c r="A65" s="100"/>
      <c r="B65" s="100"/>
      <c r="C65" s="100"/>
      <c r="D65" s="100"/>
      <c r="E65" s="100"/>
      <c r="F65" s="100"/>
      <c r="G65" s="100"/>
      <c r="H65" s="100"/>
      <c r="I65" s="100"/>
      <c r="J65" s="100"/>
      <c r="K65" s="100"/>
      <c r="L65" s="100"/>
      <c r="M65" s="100"/>
      <c r="N65" s="100"/>
      <c r="O65" s="100"/>
      <c r="P65" s="100"/>
      <c r="Q65" s="100"/>
      <c r="R65" s="100"/>
    </row>
    <row r="66" spans="1:18" x14ac:dyDescent="0.25">
      <c r="A66" s="100"/>
      <c r="B66" s="100"/>
      <c r="C66" s="100"/>
      <c r="D66" s="100"/>
      <c r="E66" s="100"/>
      <c r="F66" s="100"/>
      <c r="G66" s="100"/>
      <c r="H66" s="100"/>
      <c r="I66" s="100"/>
      <c r="J66" s="100"/>
      <c r="K66" s="100"/>
      <c r="L66" s="100"/>
      <c r="M66" s="100"/>
      <c r="N66" s="100"/>
      <c r="O66" s="100"/>
      <c r="P66" s="100"/>
      <c r="Q66" s="100"/>
      <c r="R66" s="100"/>
    </row>
    <row r="67" spans="1:18" x14ac:dyDescent="0.25">
      <c r="A67" s="100"/>
      <c r="B67" s="100"/>
      <c r="C67" s="100"/>
      <c r="D67" s="100"/>
      <c r="E67" s="100"/>
      <c r="F67" s="100"/>
      <c r="G67" s="100"/>
      <c r="H67" s="100"/>
      <c r="I67" s="100"/>
      <c r="J67" s="100"/>
      <c r="K67" s="100"/>
      <c r="L67" s="100"/>
      <c r="M67" s="100"/>
      <c r="N67" s="100"/>
      <c r="O67" s="100"/>
      <c r="P67" s="100"/>
      <c r="Q67" s="100"/>
      <c r="R67" s="100"/>
    </row>
    <row r="68" spans="1:18" x14ac:dyDescent="0.25">
      <c r="A68" s="100"/>
      <c r="B68" s="100"/>
      <c r="C68" s="100"/>
      <c r="D68" s="100"/>
      <c r="E68" s="100"/>
      <c r="F68" s="100"/>
      <c r="G68" s="100"/>
      <c r="H68" s="100"/>
      <c r="I68" s="100"/>
      <c r="J68" s="100"/>
      <c r="K68" s="100"/>
      <c r="L68" s="100"/>
      <c r="M68" s="100"/>
      <c r="N68" s="100"/>
      <c r="O68" s="100"/>
      <c r="P68" s="100"/>
      <c r="Q68" s="100"/>
      <c r="R68" s="100"/>
    </row>
    <row r="69" spans="1:18" x14ac:dyDescent="0.25">
      <c r="A69" s="100"/>
      <c r="B69" s="100"/>
      <c r="C69" s="100"/>
      <c r="D69" s="100"/>
      <c r="E69" s="100"/>
      <c r="F69" s="100"/>
      <c r="G69" s="100"/>
      <c r="H69" s="100"/>
      <c r="I69" s="100"/>
      <c r="J69" s="100"/>
      <c r="K69" s="100"/>
      <c r="L69" s="100"/>
      <c r="M69" s="100"/>
      <c r="N69" s="100"/>
      <c r="O69" s="100"/>
      <c r="P69" s="100"/>
      <c r="Q69" s="100"/>
      <c r="R69" s="100"/>
    </row>
    <row r="70" spans="1:18" x14ac:dyDescent="0.25">
      <c r="A70" s="100"/>
      <c r="B70" s="100"/>
      <c r="C70" s="100"/>
      <c r="D70" s="100"/>
      <c r="E70" s="100"/>
      <c r="F70" s="100"/>
      <c r="G70" s="100"/>
      <c r="H70" s="100"/>
      <c r="I70" s="100"/>
      <c r="J70" s="100"/>
      <c r="K70" s="100"/>
      <c r="L70" s="100"/>
      <c r="M70" s="100"/>
      <c r="N70" s="100"/>
      <c r="O70" s="100"/>
      <c r="P70" s="100"/>
      <c r="Q70" s="100"/>
      <c r="R70" s="100"/>
    </row>
    <row r="71" spans="1:18" x14ac:dyDescent="0.25">
      <c r="A71" s="100"/>
      <c r="B71" s="100"/>
      <c r="C71" s="100"/>
      <c r="D71" s="100"/>
      <c r="E71" s="100"/>
      <c r="F71" s="100"/>
      <c r="G71" s="100"/>
      <c r="H71" s="100"/>
      <c r="I71" s="100"/>
      <c r="J71" s="100"/>
      <c r="K71" s="100"/>
      <c r="L71" s="100"/>
      <c r="M71" s="100"/>
      <c r="N71" s="100"/>
      <c r="O71" s="100"/>
      <c r="P71" s="100"/>
      <c r="Q71" s="100"/>
      <c r="R71" s="100"/>
    </row>
    <row r="72" spans="1:18" x14ac:dyDescent="0.25">
      <c r="A72" s="100"/>
      <c r="B72" s="100"/>
      <c r="C72" s="100"/>
      <c r="D72" s="100"/>
      <c r="E72" s="100"/>
      <c r="F72" s="100"/>
      <c r="G72" s="100"/>
      <c r="H72" s="100"/>
      <c r="I72" s="100"/>
      <c r="J72" s="100"/>
      <c r="K72" s="100"/>
      <c r="L72" s="100"/>
      <c r="M72" s="100"/>
      <c r="N72" s="100"/>
      <c r="O72" s="100"/>
      <c r="P72" s="100"/>
      <c r="Q72" s="100"/>
      <c r="R72" s="100"/>
    </row>
    <row r="73" spans="1:18" x14ac:dyDescent="0.25">
      <c r="A73" s="100"/>
      <c r="B73" s="100"/>
      <c r="C73" s="100"/>
      <c r="D73" s="100"/>
      <c r="E73" s="100"/>
      <c r="F73" s="100"/>
      <c r="G73" s="100"/>
      <c r="H73" s="100"/>
      <c r="I73" s="100"/>
      <c r="J73" s="100"/>
      <c r="K73" s="100"/>
      <c r="L73" s="100"/>
      <c r="M73" s="100"/>
      <c r="N73" s="100"/>
      <c r="O73" s="100"/>
      <c r="P73" s="100"/>
      <c r="Q73" s="100"/>
      <c r="R73" s="100"/>
    </row>
    <row r="74" spans="1:18" x14ac:dyDescent="0.25">
      <c r="A74" s="100"/>
      <c r="B74" s="100"/>
      <c r="C74" s="100"/>
      <c r="D74" s="100"/>
      <c r="E74" s="100"/>
      <c r="F74" s="100"/>
      <c r="G74" s="100"/>
      <c r="H74" s="100"/>
      <c r="I74" s="100"/>
      <c r="J74" s="100"/>
      <c r="K74" s="100"/>
      <c r="L74" s="100"/>
      <c r="M74" s="100"/>
      <c r="N74" s="100"/>
      <c r="O74" s="100"/>
      <c r="P74" s="100"/>
      <c r="Q74" s="100"/>
      <c r="R74" s="100"/>
    </row>
    <row r="75" spans="1:18" x14ac:dyDescent="0.25">
      <c r="A75" s="100"/>
      <c r="B75" s="100"/>
      <c r="C75" s="100"/>
      <c r="D75" s="100"/>
      <c r="E75" s="100"/>
      <c r="F75" s="100"/>
      <c r="G75" s="100"/>
      <c r="H75" s="100"/>
      <c r="I75" s="100"/>
      <c r="J75" s="100"/>
      <c r="K75" s="100"/>
      <c r="L75" s="100"/>
      <c r="M75" s="100"/>
      <c r="N75" s="100"/>
      <c r="O75" s="100"/>
      <c r="P75" s="100"/>
      <c r="Q75" s="100"/>
      <c r="R75" s="100"/>
    </row>
    <row r="76" spans="1:18" x14ac:dyDescent="0.25">
      <c r="A76" s="100"/>
      <c r="B76" s="100"/>
      <c r="C76" s="100"/>
      <c r="D76" s="100"/>
      <c r="E76" s="100"/>
      <c r="F76" s="100"/>
      <c r="G76" s="100"/>
      <c r="H76" s="100"/>
      <c r="I76" s="100"/>
      <c r="J76" s="100"/>
      <c r="K76" s="100"/>
      <c r="L76" s="100"/>
      <c r="M76" s="100"/>
      <c r="N76" s="100"/>
      <c r="O76" s="100"/>
      <c r="P76" s="100"/>
      <c r="Q76" s="100"/>
      <c r="R76" s="100"/>
    </row>
    <row r="77" spans="1:18" x14ac:dyDescent="0.25">
      <c r="A77" s="100"/>
      <c r="B77" s="100"/>
      <c r="C77" s="100"/>
      <c r="D77" s="100"/>
      <c r="E77" s="100"/>
      <c r="F77" s="100"/>
      <c r="G77" s="100"/>
      <c r="H77" s="100"/>
      <c r="I77" s="100"/>
      <c r="J77" s="100"/>
      <c r="K77" s="100"/>
      <c r="L77" s="100"/>
      <c r="M77" s="100"/>
      <c r="N77" s="100"/>
      <c r="O77" s="100"/>
      <c r="P77" s="100"/>
      <c r="Q77" s="100"/>
      <c r="R77" s="100"/>
    </row>
    <row r="78" spans="1:18" x14ac:dyDescent="0.25">
      <c r="A78" s="100"/>
      <c r="B78" s="100"/>
      <c r="C78" s="100"/>
      <c r="D78" s="100"/>
      <c r="E78" s="100"/>
      <c r="F78" s="100"/>
      <c r="G78" s="100"/>
      <c r="H78" s="100"/>
      <c r="I78" s="100"/>
      <c r="J78" s="100"/>
      <c r="K78" s="100"/>
      <c r="L78" s="100"/>
      <c r="M78" s="100"/>
      <c r="N78" s="100"/>
      <c r="O78" s="100"/>
      <c r="P78" s="100"/>
      <c r="Q78" s="100"/>
      <c r="R78" s="100"/>
    </row>
    <row r="79" spans="1:18" x14ac:dyDescent="0.25">
      <c r="A79" s="100"/>
      <c r="B79" s="100"/>
      <c r="C79" s="100"/>
      <c r="D79" s="100"/>
      <c r="E79" s="100"/>
      <c r="F79" s="100"/>
      <c r="G79" s="100"/>
      <c r="H79" s="100"/>
      <c r="I79" s="100"/>
      <c r="J79" s="100"/>
      <c r="K79" s="100"/>
      <c r="L79" s="100"/>
      <c r="M79" s="100"/>
      <c r="N79" s="100"/>
      <c r="O79" s="100"/>
      <c r="P79" s="100"/>
      <c r="Q79" s="100"/>
      <c r="R79" s="100"/>
    </row>
    <row r="80" spans="1:18" x14ac:dyDescent="0.25">
      <c r="A80" s="100"/>
      <c r="B80" s="100"/>
      <c r="C80" s="100"/>
      <c r="D80" s="100"/>
      <c r="E80" s="100"/>
      <c r="F80" s="100"/>
      <c r="G80" s="100"/>
      <c r="H80" s="100"/>
      <c r="I80" s="100"/>
      <c r="J80" s="100"/>
      <c r="K80" s="100"/>
      <c r="L80" s="100"/>
      <c r="M80" s="100"/>
      <c r="N80" s="100"/>
      <c r="O80" s="100"/>
      <c r="P80" s="100"/>
      <c r="Q80" s="100"/>
      <c r="R80" s="100"/>
    </row>
    <row r="81" spans="1:18" x14ac:dyDescent="0.25">
      <c r="A81" s="100"/>
      <c r="B81" s="100"/>
      <c r="C81" s="100"/>
      <c r="D81" s="100"/>
      <c r="E81" s="100"/>
      <c r="F81" s="100"/>
      <c r="G81" s="100"/>
      <c r="H81" s="100"/>
      <c r="I81" s="100"/>
      <c r="J81" s="100"/>
      <c r="K81" s="100"/>
      <c r="L81" s="100"/>
      <c r="M81" s="100"/>
      <c r="N81" s="100"/>
      <c r="O81" s="100"/>
      <c r="P81" s="100"/>
      <c r="Q81" s="100"/>
      <c r="R81" s="100"/>
    </row>
    <row r="82" spans="1:18" x14ac:dyDescent="0.25">
      <c r="A82" s="100"/>
      <c r="B82" s="100"/>
      <c r="C82" s="100"/>
      <c r="D82" s="100"/>
      <c r="E82" s="100"/>
      <c r="F82" s="100"/>
      <c r="G82" s="100"/>
      <c r="H82" s="100"/>
      <c r="I82" s="100"/>
      <c r="J82" s="100"/>
      <c r="K82" s="100"/>
      <c r="L82" s="100"/>
      <c r="M82" s="100"/>
      <c r="N82" s="100"/>
      <c r="O82" s="100"/>
      <c r="P82" s="100"/>
      <c r="Q82" s="100"/>
      <c r="R82" s="100"/>
    </row>
    <row r="83" spans="1:18" x14ac:dyDescent="0.25">
      <c r="A83" s="100"/>
      <c r="B83" s="100"/>
      <c r="C83" s="100"/>
      <c r="D83" s="100"/>
      <c r="E83" s="100"/>
      <c r="F83" s="100"/>
      <c r="G83" s="100"/>
      <c r="H83" s="100"/>
      <c r="I83" s="100"/>
      <c r="J83" s="100"/>
      <c r="K83" s="100"/>
      <c r="L83" s="100"/>
      <c r="M83" s="100"/>
      <c r="N83" s="100"/>
      <c r="O83" s="100"/>
      <c r="P83" s="100"/>
      <c r="Q83" s="100"/>
      <c r="R83" s="100"/>
    </row>
    <row r="84" spans="1:18" x14ac:dyDescent="0.25">
      <c r="A84" s="100"/>
      <c r="B84" s="100"/>
      <c r="C84" s="100"/>
      <c r="D84" s="100"/>
      <c r="E84" s="100"/>
      <c r="F84" s="100"/>
      <c r="G84" s="100"/>
      <c r="H84" s="100"/>
      <c r="I84" s="100"/>
      <c r="J84" s="100"/>
      <c r="K84" s="100"/>
      <c r="L84" s="100"/>
      <c r="M84" s="100"/>
      <c r="N84" s="100"/>
      <c r="O84" s="100"/>
      <c r="P84" s="100"/>
      <c r="Q84" s="100"/>
      <c r="R84" s="100"/>
    </row>
    <row r="85" spans="1:18" x14ac:dyDescent="0.25">
      <c r="A85" s="100"/>
      <c r="B85" s="100"/>
      <c r="C85" s="100"/>
      <c r="D85" s="100"/>
      <c r="E85" s="100"/>
      <c r="F85" s="100"/>
      <c r="G85" s="100"/>
      <c r="H85" s="100"/>
      <c r="I85" s="100"/>
      <c r="J85" s="100"/>
      <c r="K85" s="100"/>
      <c r="L85" s="100"/>
      <c r="M85" s="100"/>
      <c r="N85" s="100"/>
      <c r="O85" s="100"/>
      <c r="P85" s="100"/>
      <c r="Q85" s="100"/>
      <c r="R85" s="100"/>
    </row>
    <row r="86" spans="1:18" x14ac:dyDescent="0.25">
      <c r="A86" s="100"/>
      <c r="B86" s="100"/>
      <c r="C86" s="100"/>
      <c r="D86" s="100"/>
      <c r="E86" s="100"/>
      <c r="F86" s="100"/>
      <c r="G86" s="100"/>
      <c r="H86" s="100"/>
      <c r="I86" s="100"/>
      <c r="J86" s="100"/>
      <c r="K86" s="100"/>
      <c r="L86" s="100"/>
      <c r="M86" s="100"/>
      <c r="N86" s="100"/>
      <c r="O86" s="100"/>
      <c r="P86" s="100"/>
      <c r="Q86" s="100"/>
      <c r="R86" s="100"/>
    </row>
    <row r="87" spans="1:18" x14ac:dyDescent="0.25">
      <c r="A87" s="100"/>
      <c r="B87" s="100"/>
      <c r="C87" s="100"/>
      <c r="D87" s="100"/>
      <c r="E87" s="100"/>
      <c r="F87" s="100"/>
      <c r="G87" s="100"/>
      <c r="H87" s="100"/>
      <c r="I87" s="100"/>
      <c r="J87" s="100"/>
      <c r="K87" s="100"/>
      <c r="L87" s="100"/>
      <c r="M87" s="100"/>
      <c r="N87" s="100"/>
      <c r="O87" s="100"/>
      <c r="P87" s="100"/>
      <c r="Q87" s="100"/>
      <c r="R87" s="100"/>
    </row>
    <row r="88" spans="1:18" x14ac:dyDescent="0.25">
      <c r="A88" s="100"/>
      <c r="B88" s="100"/>
      <c r="C88" s="100"/>
      <c r="D88" s="100"/>
      <c r="E88" s="100"/>
      <c r="F88" s="100"/>
      <c r="G88" s="100"/>
      <c r="H88" s="100"/>
      <c r="I88" s="100"/>
      <c r="J88" s="100"/>
      <c r="K88" s="100"/>
      <c r="L88" s="100"/>
      <c r="M88" s="100"/>
      <c r="N88" s="100"/>
      <c r="O88" s="100"/>
      <c r="P88" s="100"/>
      <c r="Q88" s="100"/>
      <c r="R88" s="100"/>
    </row>
    <row r="89" spans="1:18" x14ac:dyDescent="0.25">
      <c r="A89" s="100"/>
      <c r="B89" s="100"/>
      <c r="C89" s="100"/>
      <c r="D89" s="100"/>
      <c r="E89" s="100"/>
      <c r="F89" s="100"/>
      <c r="G89" s="100"/>
      <c r="H89" s="100"/>
      <c r="I89" s="100"/>
      <c r="J89" s="100"/>
      <c r="K89" s="100"/>
      <c r="L89" s="100"/>
      <c r="M89" s="100"/>
      <c r="N89" s="100"/>
      <c r="O89" s="100"/>
      <c r="P89" s="100"/>
      <c r="Q89" s="100"/>
      <c r="R89" s="100"/>
    </row>
    <row r="90" spans="1:18" x14ac:dyDescent="0.25">
      <c r="A90" s="100"/>
      <c r="B90" s="100"/>
      <c r="C90" s="100"/>
      <c r="D90" s="100"/>
      <c r="E90" s="100"/>
      <c r="F90" s="100"/>
      <c r="G90" s="100"/>
      <c r="H90" s="100"/>
      <c r="I90" s="100"/>
      <c r="J90" s="100"/>
      <c r="K90" s="100"/>
      <c r="L90" s="100"/>
      <c r="M90" s="100"/>
      <c r="N90" s="100"/>
      <c r="O90" s="100"/>
      <c r="P90" s="100"/>
      <c r="Q90" s="100"/>
      <c r="R90" s="100"/>
    </row>
    <row r="91" spans="1:18" x14ac:dyDescent="0.25">
      <c r="A91" s="100"/>
      <c r="B91" s="100"/>
      <c r="C91" s="100"/>
      <c r="D91" s="100"/>
      <c r="E91" s="100"/>
      <c r="F91" s="100"/>
      <c r="G91" s="100"/>
      <c r="H91" s="100"/>
      <c r="I91" s="100"/>
      <c r="J91" s="100"/>
      <c r="K91" s="100"/>
      <c r="L91" s="100"/>
      <c r="M91" s="100"/>
      <c r="N91" s="100"/>
      <c r="O91" s="100"/>
      <c r="P91" s="100"/>
      <c r="Q91" s="100"/>
      <c r="R91" s="100"/>
    </row>
  </sheetData>
  <mergeCells count="6">
    <mergeCell ref="A1:N1"/>
    <mergeCell ref="A5:N5"/>
    <mergeCell ref="A6:F6"/>
    <mergeCell ref="A45:F45"/>
    <mergeCell ref="B2:F2"/>
    <mergeCell ref="B3:F3"/>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000-000000000000}">
          <x14:formula1>
            <xm:f>Gameplay!$D$3:$D$3</xm:f>
          </x14:formula1>
          <xm:sqref>B38 B28 B18</xm:sqref>
        </x14:dataValidation>
        <x14:dataValidation type="list" allowBlank="1" showInputMessage="1" showErrorMessage="1" xr:uid="{00000000-0002-0000-0000-000001000000}">
          <x14:formula1>
            <xm:f>'Game Properties'!$A$2:$A$7</xm:f>
          </x14:formula1>
          <xm:sqref>B3:F3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00B050"/>
  </sheetPr>
  <dimension ref="A1:AB61"/>
  <sheetViews>
    <sheetView zoomScale="70" zoomScaleNormal="70" workbookViewId="0">
      <selection activeCell="B51" sqref="B51"/>
    </sheetView>
  </sheetViews>
  <sheetFormatPr defaultRowHeight="15" x14ac:dyDescent="0.25"/>
  <cols>
    <col min="1" max="1" width="40.7109375" customWidth="1"/>
    <col min="2" max="2" width="25.85546875" customWidth="1"/>
    <col min="3" max="3" width="13.28515625" customWidth="1"/>
    <col min="4" max="4" width="23.42578125" customWidth="1"/>
    <col min="5" max="5" width="2.140625" customWidth="1"/>
    <col min="6" max="6" width="18.7109375" customWidth="1"/>
    <col min="7" max="7" width="61.42578125" customWidth="1"/>
    <col min="8" max="8" width="1.42578125" customWidth="1"/>
    <col min="9" max="9" width="28.85546875" customWidth="1"/>
    <col min="10" max="10" width="55.5703125" customWidth="1"/>
  </cols>
  <sheetData>
    <row r="1" spans="1:28" ht="18.600000000000001" customHeight="1" x14ac:dyDescent="0.3">
      <c r="A1" s="189" t="str">
        <f>IF('Initial Setup'!B2="","",CONCATENATE('Initial Setup'!B2,"'s"," Metrics and Options"))</f>
        <v>[Insert Utility Name Here]'s Metrics and Options</v>
      </c>
      <c r="B1" s="189"/>
      <c r="C1" s="189"/>
      <c r="D1" s="189"/>
      <c r="E1" s="189"/>
      <c r="F1" s="189"/>
      <c r="G1" s="189"/>
      <c r="H1" s="189"/>
      <c r="I1" s="189"/>
      <c r="J1" s="189"/>
      <c r="K1" s="100"/>
      <c r="L1" s="100"/>
      <c r="M1" s="100"/>
      <c r="N1" s="100"/>
      <c r="O1" s="100"/>
      <c r="P1" s="100"/>
      <c r="Q1" s="100"/>
      <c r="R1" s="100"/>
      <c r="S1" s="100"/>
      <c r="T1" s="100"/>
      <c r="U1" s="100"/>
      <c r="V1" s="100"/>
      <c r="W1" s="100"/>
      <c r="X1" s="100"/>
      <c r="Y1" s="100"/>
      <c r="Z1" s="100"/>
      <c r="AA1" s="100"/>
      <c r="AB1" s="100"/>
    </row>
    <row r="2" spans="1:28" ht="18.95" customHeight="1" thickBot="1" x14ac:dyDescent="0.35">
      <c r="A2" s="189" t="str">
        <f>CONCATENATE("Round ",'Event Tracker'!P1)</f>
        <v>Round 0</v>
      </c>
      <c r="B2" s="189"/>
      <c r="C2" s="189"/>
      <c r="D2" s="189"/>
      <c r="E2" s="189"/>
      <c r="F2" s="189"/>
      <c r="G2" s="189"/>
      <c r="H2" s="189"/>
      <c r="I2" s="189"/>
      <c r="J2" s="189"/>
      <c r="K2" s="100"/>
      <c r="L2" s="100"/>
      <c r="M2" s="100"/>
      <c r="N2" s="100"/>
      <c r="O2" s="100"/>
      <c r="P2" s="100"/>
      <c r="Q2" s="100"/>
      <c r="R2" s="100"/>
      <c r="S2" s="100"/>
      <c r="T2" s="100"/>
      <c r="U2" s="100"/>
      <c r="V2" s="100"/>
      <c r="W2" s="100"/>
      <c r="X2" s="100"/>
      <c r="Y2" s="100"/>
      <c r="Z2" s="100"/>
      <c r="AA2" s="100"/>
      <c r="AB2" s="100"/>
    </row>
    <row r="3" spans="1:28" ht="25.5" customHeight="1" x14ac:dyDescent="0.25">
      <c r="A3" s="190" t="s">
        <v>284</v>
      </c>
      <c r="B3" s="191"/>
      <c r="C3" s="191"/>
      <c r="D3" s="192"/>
      <c r="E3" s="128"/>
      <c r="F3" s="187" t="s">
        <v>356</v>
      </c>
      <c r="G3" s="188"/>
      <c r="H3" s="128">
        <v>0</v>
      </c>
      <c r="I3" s="187" t="s">
        <v>401</v>
      </c>
      <c r="J3" s="188"/>
      <c r="K3" s="100"/>
      <c r="L3" s="100"/>
      <c r="M3" s="100"/>
      <c r="N3" s="100"/>
      <c r="O3" s="100"/>
      <c r="P3" s="100"/>
      <c r="Q3" s="100"/>
      <c r="R3" s="100"/>
      <c r="S3" s="100"/>
      <c r="T3" s="100"/>
      <c r="U3" s="100"/>
      <c r="V3" s="100"/>
      <c r="W3" s="100"/>
      <c r="X3" s="100"/>
      <c r="Y3" s="100"/>
      <c r="Z3" s="100"/>
      <c r="AA3" s="100"/>
      <c r="AB3" s="100"/>
    </row>
    <row r="4" spans="1:28" s="66" customFormat="1" ht="40.5" customHeight="1" x14ac:dyDescent="0.25">
      <c r="A4" s="129" t="s">
        <v>286</v>
      </c>
      <c r="B4" s="130" t="s">
        <v>283</v>
      </c>
      <c r="C4" s="130" t="s">
        <v>409</v>
      </c>
      <c r="D4" s="131" t="s">
        <v>285</v>
      </c>
      <c r="E4" s="103"/>
      <c r="F4" s="185">
        <f>INDEX(Graphs!$C$3:$C$13,Current_Round+1,1)</f>
        <v>81.049479225863763</v>
      </c>
      <c r="G4" s="120">
        <v>0</v>
      </c>
      <c r="H4" s="103">
        <v>0</v>
      </c>
      <c r="I4" s="185">
        <f>INDEX(Graphs!$C$34:$C$44,Current_Round+1,1)</f>
        <v>4.2433290121337892</v>
      </c>
      <c r="J4" s="123">
        <v>0</v>
      </c>
      <c r="K4" s="103"/>
      <c r="L4" s="103"/>
      <c r="M4" s="103"/>
      <c r="N4" s="103"/>
      <c r="O4" s="103"/>
      <c r="P4" s="103"/>
      <c r="Q4" s="103"/>
      <c r="R4" s="103"/>
      <c r="S4" s="103"/>
      <c r="T4" s="103"/>
      <c r="U4" s="103"/>
      <c r="V4" s="103"/>
      <c r="W4" s="103"/>
      <c r="X4" s="103"/>
      <c r="Y4" s="103"/>
      <c r="Z4" s="103"/>
      <c r="AA4" s="103"/>
      <c r="AB4" s="103"/>
    </row>
    <row r="5" spans="1:28" ht="18.600000000000001" customHeight="1" x14ac:dyDescent="0.3">
      <c r="A5" s="133" t="s">
        <v>16</v>
      </c>
      <c r="B5" s="136" t="e">
        <f>INDEX('Resource Mix and Demand'!$B$24:$L$32,MATCH(Gameplay!A5,'Resource Mix and Demand'!$A$24:$A$32,0),MATCH('Event Tracker'!$P$1-1,'Resource Mix and Demand'!$B$23:$L$23,0))</f>
        <v>#N/A</v>
      </c>
      <c r="C5" s="136">
        <v>0</v>
      </c>
      <c r="D5" s="134">
        <v>0</v>
      </c>
      <c r="E5" s="100"/>
      <c r="F5" s="185"/>
      <c r="G5" s="121">
        <v>1</v>
      </c>
      <c r="H5" s="100">
        <v>1</v>
      </c>
      <c r="I5" s="185"/>
      <c r="J5" s="123">
        <v>1</v>
      </c>
      <c r="K5" s="100"/>
      <c r="L5" s="100"/>
      <c r="M5" s="100"/>
      <c r="N5" s="100"/>
      <c r="O5" s="100"/>
      <c r="P5" s="100"/>
      <c r="Q5" s="100"/>
      <c r="R5" s="100"/>
      <c r="S5" s="100"/>
      <c r="T5" s="100"/>
      <c r="U5" s="100"/>
      <c r="V5" s="100"/>
      <c r="W5" s="100"/>
      <c r="X5" s="100"/>
      <c r="Y5" s="100"/>
      <c r="Z5" s="100"/>
      <c r="AA5" s="100"/>
      <c r="AB5" s="100"/>
    </row>
    <row r="6" spans="1:28" ht="18.600000000000001" customHeight="1" x14ac:dyDescent="0.3">
      <c r="A6" s="133" t="s">
        <v>17</v>
      </c>
      <c r="B6" s="136" t="e">
        <f>INDEX('Resource Mix and Demand'!$B$24:$L$32,MATCH(Gameplay!A6,'Resource Mix and Demand'!$A$24:$A$32,0),MATCH('Event Tracker'!$P$1-1,'Resource Mix and Demand'!$B$23:$L$23,0))</f>
        <v>#N/A</v>
      </c>
      <c r="C6" s="136">
        <v>0</v>
      </c>
      <c r="D6" s="134">
        <v>0</v>
      </c>
      <c r="E6" s="100"/>
      <c r="F6" s="185"/>
      <c r="G6" s="121">
        <v>0</v>
      </c>
      <c r="H6" s="100">
        <v>0</v>
      </c>
      <c r="I6" s="185"/>
      <c r="J6" s="123">
        <v>0</v>
      </c>
      <c r="K6" s="100"/>
      <c r="L6" s="100"/>
      <c r="M6" s="100"/>
      <c r="N6" s="100"/>
      <c r="O6" s="100"/>
      <c r="P6" s="100"/>
      <c r="Q6" s="100"/>
      <c r="R6" s="100"/>
      <c r="S6" s="100"/>
      <c r="T6" s="100"/>
      <c r="U6" s="100"/>
      <c r="V6" s="100"/>
      <c r="W6" s="100"/>
      <c r="X6" s="100"/>
      <c r="Y6" s="100"/>
      <c r="Z6" s="100"/>
      <c r="AA6" s="100"/>
      <c r="AB6" s="100"/>
    </row>
    <row r="7" spans="1:28" ht="18.600000000000001" customHeight="1" x14ac:dyDescent="0.3">
      <c r="A7" s="133" t="s">
        <v>18</v>
      </c>
      <c r="B7" s="136" t="e">
        <f>INDEX('Resource Mix and Demand'!$B$24:$L$32,MATCH(Gameplay!A7,'Resource Mix and Demand'!$A$24:$A$32,0),MATCH('Event Tracker'!$P$1-1,'Resource Mix and Demand'!$B$23:$L$23,0))</f>
        <v>#N/A</v>
      </c>
      <c r="C7" s="136">
        <v>0</v>
      </c>
      <c r="D7" s="134">
        <v>0</v>
      </c>
      <c r="E7" s="100"/>
      <c r="F7" s="185"/>
      <c r="G7" s="121">
        <v>0</v>
      </c>
      <c r="H7" s="100">
        <v>0</v>
      </c>
      <c r="I7" s="185"/>
      <c r="J7" s="123">
        <v>0</v>
      </c>
      <c r="K7" s="100"/>
      <c r="L7" s="100"/>
      <c r="M7" s="100"/>
      <c r="N7" s="100"/>
      <c r="O7" s="100"/>
      <c r="P7" s="100"/>
      <c r="Q7" s="100"/>
      <c r="R7" s="100"/>
      <c r="S7" s="100"/>
      <c r="T7" s="100"/>
      <c r="U7" s="100"/>
      <c r="V7" s="100"/>
      <c r="W7" s="100"/>
      <c r="X7" s="100"/>
      <c r="Y7" s="100"/>
      <c r="Z7" s="100"/>
      <c r="AA7" s="100"/>
      <c r="AB7" s="100"/>
    </row>
    <row r="8" spans="1:28" ht="18.600000000000001" customHeight="1" x14ac:dyDescent="0.3">
      <c r="A8" s="133" t="s">
        <v>396</v>
      </c>
      <c r="B8" s="136" t="e">
        <f>INDEX('Resource Mix and Demand'!$B$24:$L$32,MATCH(Gameplay!A8,'Resource Mix and Demand'!$A$24:$A$32,0),MATCH('Event Tracker'!$P$1-1,'Resource Mix and Demand'!$B$23:$L$23,0))</f>
        <v>#N/A</v>
      </c>
      <c r="C8" s="136">
        <f>INDEX('Resource Mix and Demand'!$B$13:$L$21,MATCH(A8,'Resource Mix and Demand'!$A$13:$A$21,0),MATCH('Event Tracker'!$P$1,'Resource Mix and Demand'!$B$12:$L$12,0))</f>
        <v>0</v>
      </c>
      <c r="D8" s="134">
        <v>0</v>
      </c>
      <c r="E8" s="100"/>
      <c r="F8" s="185"/>
      <c r="G8" s="121"/>
      <c r="H8" s="100"/>
      <c r="I8" s="185"/>
      <c r="J8" s="123"/>
      <c r="K8" s="100"/>
      <c r="L8" s="100"/>
      <c r="M8" s="100"/>
      <c r="N8" s="100"/>
      <c r="O8" s="100"/>
      <c r="P8" s="100"/>
      <c r="Q8" s="100"/>
      <c r="R8" s="100"/>
      <c r="S8" s="100"/>
      <c r="T8" s="100"/>
      <c r="U8" s="100"/>
      <c r="V8" s="100"/>
      <c r="W8" s="100"/>
      <c r="X8" s="100"/>
      <c r="Y8" s="100"/>
      <c r="Z8" s="100"/>
      <c r="AA8" s="100"/>
      <c r="AB8" s="100"/>
    </row>
    <row r="9" spans="1:28" ht="18.600000000000001" customHeight="1" x14ac:dyDescent="0.3">
      <c r="A9" s="133" t="s">
        <v>397</v>
      </c>
      <c r="B9" s="136" t="e">
        <f>INDEX('Resource Mix and Demand'!$B$24:$L$32,MATCH(Gameplay!A9,'Resource Mix and Demand'!$A$24:$A$32,0),MATCH('Event Tracker'!$P$1-1,'Resource Mix and Demand'!$B$23:$L$23,0))</f>
        <v>#N/A</v>
      </c>
      <c r="C9" s="136">
        <f>INDEX('Resource Mix and Demand'!$B$13:$L$21,MATCH(A9,'Resource Mix and Demand'!$A$13:$A$21,0),MATCH('Event Tracker'!$P$1,'Resource Mix and Demand'!$B$12:$L$12,0))</f>
        <v>0</v>
      </c>
      <c r="D9" s="134">
        <v>0</v>
      </c>
      <c r="E9" s="100"/>
      <c r="F9" s="185"/>
      <c r="G9" s="121"/>
      <c r="H9" s="100"/>
      <c r="I9" s="185"/>
      <c r="J9" s="123"/>
      <c r="K9" s="100"/>
      <c r="L9" s="100"/>
      <c r="M9" s="100"/>
      <c r="N9" s="100"/>
      <c r="O9" s="100"/>
      <c r="P9" s="100"/>
      <c r="Q9" s="100"/>
      <c r="R9" s="100"/>
      <c r="S9" s="100"/>
      <c r="T9" s="100"/>
      <c r="U9" s="100"/>
      <c r="V9" s="100"/>
      <c r="W9" s="100"/>
      <c r="X9" s="100"/>
      <c r="Y9" s="100"/>
      <c r="Z9" s="100"/>
      <c r="AA9" s="100"/>
      <c r="AB9" s="100"/>
    </row>
    <row r="10" spans="1:28" ht="18.600000000000001" customHeight="1" x14ac:dyDescent="0.3">
      <c r="A10" s="133" t="s">
        <v>398</v>
      </c>
      <c r="B10" s="136" t="e">
        <f>INDEX('Resource Mix and Demand'!$B$24:$L$32,MATCH(Gameplay!A10,'Resource Mix and Demand'!$A$24:$A$32,0),MATCH('Event Tracker'!$P$1-1,'Resource Mix and Demand'!$B$23:$L$23,0))</f>
        <v>#N/A</v>
      </c>
      <c r="C10" s="136">
        <f>INDEX('Resource Mix and Demand'!$B$13:$L$21,MATCH(A10,'Resource Mix and Demand'!$A$13:$A$21,0),MATCH('Event Tracker'!$P$1,'Resource Mix and Demand'!$B$12:$L$12,0))</f>
        <v>0</v>
      </c>
      <c r="D10" s="134">
        <v>0</v>
      </c>
      <c r="E10" s="100"/>
      <c r="F10" s="185"/>
      <c r="G10" s="121"/>
      <c r="H10" s="100"/>
      <c r="I10" s="185"/>
      <c r="J10" s="123"/>
      <c r="K10" s="100"/>
      <c r="L10" s="100"/>
      <c r="M10" s="100"/>
      <c r="N10" s="100"/>
      <c r="O10" s="100"/>
      <c r="P10" s="100"/>
      <c r="Q10" s="100"/>
      <c r="R10" s="100"/>
      <c r="S10" s="100"/>
      <c r="T10" s="100"/>
      <c r="U10" s="100"/>
      <c r="V10" s="100"/>
      <c r="W10" s="100"/>
      <c r="X10" s="100"/>
      <c r="Y10" s="100"/>
      <c r="Z10" s="100"/>
      <c r="AA10" s="100"/>
      <c r="AB10" s="100"/>
    </row>
    <row r="11" spans="1:28" ht="18.600000000000001" customHeight="1" x14ac:dyDescent="0.3">
      <c r="A11" s="133" t="s">
        <v>261</v>
      </c>
      <c r="B11" s="136" t="e">
        <f>INDEX('Resource Mix and Demand'!$B$24:$L$32,MATCH(Gameplay!A11,'Resource Mix and Demand'!$A$24:$A$32,0),MATCH('Event Tracker'!$P$1-1,'Resource Mix and Demand'!$B$23:$L$23,0))</f>
        <v>#N/A</v>
      </c>
      <c r="C11" s="136">
        <f>INDEX('Resource Mix and Demand'!$B$13:$L$21,MATCH(A11,'Resource Mix and Demand'!$A$13:$A$21,0),MATCH('Event Tracker'!$P$1,'Resource Mix and Demand'!$B$12:$L$12,0))</f>
        <v>0</v>
      </c>
      <c r="D11" s="134">
        <v>0</v>
      </c>
      <c r="E11" s="100"/>
      <c r="F11" s="185"/>
      <c r="G11" s="121"/>
      <c r="H11" s="100"/>
      <c r="I11" s="185"/>
      <c r="J11" s="123"/>
      <c r="K11" s="100"/>
      <c r="L11" s="100"/>
      <c r="M11" s="100"/>
      <c r="N11" s="100"/>
      <c r="O11" s="100"/>
      <c r="P11" s="100"/>
      <c r="Q11" s="100"/>
      <c r="R11" s="100"/>
      <c r="S11" s="100"/>
      <c r="T11" s="100"/>
      <c r="U11" s="100"/>
      <c r="V11" s="100"/>
      <c r="W11" s="100"/>
      <c r="X11" s="100"/>
      <c r="Y11" s="100"/>
      <c r="Z11" s="100"/>
      <c r="AA11" s="100"/>
      <c r="AB11" s="100"/>
    </row>
    <row r="12" spans="1:28" ht="18.600000000000001" customHeight="1" x14ac:dyDescent="0.3">
      <c r="A12" s="133" t="s">
        <v>262</v>
      </c>
      <c r="B12" s="136" t="e">
        <f>INDEX('Resource Mix and Demand'!$B$24:$L$32,MATCH(Gameplay!A12,'Resource Mix and Demand'!$A$24:$A$32,0),MATCH('Event Tracker'!$P$1-1,'Resource Mix and Demand'!$B$23:$L$23,0))</f>
        <v>#N/A</v>
      </c>
      <c r="C12" s="136">
        <f>INDEX('Resource Mix and Demand'!$B$13:$L$21,MATCH(A12,'Resource Mix and Demand'!$A$13:$A$21,0),MATCH('Event Tracker'!$P$1,'Resource Mix and Demand'!$B$12:$L$12,0))</f>
        <v>0</v>
      </c>
      <c r="D12" s="137"/>
      <c r="E12" s="100"/>
      <c r="F12" s="185"/>
      <c r="G12" s="121"/>
      <c r="H12" s="100"/>
      <c r="I12" s="185"/>
      <c r="J12" s="123"/>
      <c r="K12" s="100"/>
      <c r="L12" s="100"/>
      <c r="M12" s="100"/>
      <c r="N12" s="100"/>
      <c r="O12" s="100"/>
      <c r="P12" s="100"/>
      <c r="Q12" s="100"/>
      <c r="R12" s="100"/>
      <c r="S12" s="100"/>
      <c r="T12" s="100"/>
      <c r="U12" s="100"/>
      <c r="V12" s="100"/>
      <c r="W12" s="100"/>
      <c r="X12" s="100"/>
      <c r="Y12" s="100"/>
      <c r="Z12" s="100"/>
      <c r="AA12" s="100"/>
      <c r="AB12" s="100"/>
    </row>
    <row r="13" spans="1:28" ht="18.600000000000001" customHeight="1" thickBot="1" x14ac:dyDescent="0.35">
      <c r="A13" s="135" t="s">
        <v>399</v>
      </c>
      <c r="B13" s="138" t="e">
        <f>INDEX('Resource Mix and Demand'!$B$24:$L$32,MATCH(Gameplay!A13,'Resource Mix and Demand'!$A$24:$A$32,0),MATCH('Event Tracker'!$P$1-1,'Resource Mix and Demand'!$B$23:$L$23,0))</f>
        <v>#N/A</v>
      </c>
      <c r="C13" s="138">
        <f>INDEX('Resource Mix and Demand'!$B$13:$L$21,MATCH(A13,'Resource Mix and Demand'!$A$13:$A$21,0),MATCH('Event Tracker'!$P$1,'Resource Mix and Demand'!$B$12:$L$12,0))</f>
        <v>0</v>
      </c>
      <c r="D13" s="139"/>
      <c r="E13" s="100"/>
      <c r="F13" s="186"/>
      <c r="G13" s="122"/>
      <c r="H13" s="100"/>
      <c r="I13" s="186"/>
      <c r="J13" s="124"/>
      <c r="K13" s="100"/>
      <c r="L13" s="100"/>
      <c r="M13" s="100"/>
      <c r="N13" s="100"/>
      <c r="O13" s="100"/>
      <c r="P13" s="100"/>
      <c r="Q13" s="100"/>
      <c r="R13" s="100"/>
      <c r="S13" s="100"/>
      <c r="T13" s="100"/>
      <c r="U13" s="100"/>
      <c r="V13" s="100"/>
      <c r="W13" s="100"/>
      <c r="X13" s="100"/>
      <c r="Y13" s="100"/>
      <c r="Z13" s="100"/>
      <c r="AA13" s="100"/>
      <c r="AB13" s="100"/>
    </row>
    <row r="14" spans="1:28" ht="14.45" customHeight="1" thickBot="1" x14ac:dyDescent="0.3">
      <c r="A14" s="100"/>
      <c r="B14" s="100"/>
      <c r="C14" s="100"/>
      <c r="D14" s="100"/>
      <c r="E14" s="100"/>
      <c r="F14" s="100"/>
      <c r="G14" s="100"/>
      <c r="H14" s="100"/>
      <c r="I14" s="100"/>
      <c r="J14" s="100"/>
      <c r="K14" s="100"/>
      <c r="L14" s="100"/>
      <c r="M14" s="100"/>
      <c r="N14" s="100"/>
      <c r="O14" s="100"/>
      <c r="P14" s="100"/>
      <c r="Q14" s="100"/>
      <c r="R14" s="100"/>
      <c r="S14" s="100"/>
      <c r="T14" s="100"/>
      <c r="U14" s="100"/>
      <c r="V14" s="100"/>
      <c r="W14" s="100"/>
      <c r="X14" s="100"/>
      <c r="Y14" s="100"/>
      <c r="Z14" s="100"/>
      <c r="AA14" s="100"/>
      <c r="AB14" s="100"/>
    </row>
    <row r="15" spans="1:28" ht="29.1" customHeight="1" x14ac:dyDescent="0.25">
      <c r="A15" s="190" t="s">
        <v>392</v>
      </c>
      <c r="B15" s="191"/>
      <c r="C15" s="191"/>
      <c r="D15" s="192"/>
      <c r="E15" s="128"/>
      <c r="F15" s="187" t="s">
        <v>364</v>
      </c>
      <c r="G15" s="188"/>
      <c r="H15" s="128"/>
      <c r="I15" s="187" t="s">
        <v>141</v>
      </c>
      <c r="J15" s="188"/>
      <c r="K15" s="100"/>
      <c r="L15" s="100"/>
      <c r="M15" s="100"/>
      <c r="N15" s="100"/>
      <c r="O15" s="100"/>
      <c r="P15" s="100"/>
      <c r="Q15" s="100"/>
      <c r="R15" s="100"/>
      <c r="S15" s="100"/>
      <c r="T15" s="100"/>
      <c r="U15" s="100"/>
      <c r="V15" s="100"/>
      <c r="W15" s="100"/>
      <c r="X15" s="100"/>
      <c r="Y15" s="100"/>
      <c r="Z15" s="100"/>
      <c r="AA15" s="100"/>
      <c r="AB15" s="100"/>
    </row>
    <row r="16" spans="1:28" ht="27.6" customHeight="1" x14ac:dyDescent="0.25">
      <c r="A16" s="132" t="s">
        <v>299</v>
      </c>
      <c r="B16" s="200" t="s">
        <v>283</v>
      </c>
      <c r="C16" s="200"/>
      <c r="D16" s="131" t="s">
        <v>282</v>
      </c>
      <c r="E16" s="100"/>
      <c r="F16" s="197">
        <f>INDEX('Environmental Performance'!$C$3:$L$3,1,Current_Round)</f>
        <v>863.97358655623441</v>
      </c>
      <c r="G16" s="121"/>
      <c r="H16" s="100"/>
      <c r="I16" s="182">
        <f>INDEX(Reliability!C95:L95,1,Current_Round)</f>
        <v>323.85247037170166</v>
      </c>
      <c r="J16" s="125"/>
      <c r="K16" s="100"/>
      <c r="L16" s="100"/>
      <c r="M16" s="100"/>
      <c r="N16" s="100"/>
      <c r="O16" s="100"/>
      <c r="P16" s="100"/>
      <c r="Q16" s="100"/>
      <c r="R16" s="100"/>
      <c r="S16" s="100"/>
      <c r="T16" s="100"/>
      <c r="U16" s="100"/>
      <c r="V16" s="100"/>
      <c r="W16" s="100"/>
      <c r="X16" s="100"/>
      <c r="Y16" s="100"/>
      <c r="Z16" s="100"/>
      <c r="AA16" s="100"/>
      <c r="AB16" s="100"/>
    </row>
    <row r="17" spans="1:28" ht="18.600000000000001" customHeight="1" x14ac:dyDescent="0.3">
      <c r="A17" s="133" t="s">
        <v>176</v>
      </c>
      <c r="B17" s="201">
        <f>INDEX(Reliability!$B$19:$L$22,MATCH(Gameplay!A17,Reliability!$A$19:$A$22,0),MATCH('Event Tracker'!$P$1,Reliability!$B$18:$L$18,0)-1)</f>
        <v>300</v>
      </c>
      <c r="C17" s="201"/>
      <c r="D17" s="134">
        <v>0</v>
      </c>
      <c r="E17" s="100"/>
      <c r="F17" s="197"/>
      <c r="G17" s="121"/>
      <c r="H17" s="100"/>
      <c r="I17" s="182"/>
      <c r="J17" s="126"/>
      <c r="K17" s="100"/>
      <c r="L17" s="100"/>
      <c r="M17" s="100"/>
      <c r="N17" s="100"/>
      <c r="O17" s="100"/>
      <c r="P17" s="100"/>
      <c r="Q17" s="100"/>
      <c r="R17" s="100"/>
      <c r="S17" s="100"/>
      <c r="T17" s="100"/>
      <c r="U17" s="100"/>
      <c r="V17" s="100"/>
      <c r="W17" s="100"/>
      <c r="X17" s="100"/>
      <c r="Y17" s="100"/>
      <c r="Z17" s="100"/>
      <c r="AA17" s="100"/>
      <c r="AB17" s="100"/>
    </row>
    <row r="18" spans="1:28" ht="18.600000000000001" customHeight="1" x14ac:dyDescent="0.3">
      <c r="A18" s="133" t="s">
        <v>155</v>
      </c>
      <c r="B18" s="201">
        <f>INDEX(Reliability!$B$19:$L$22,MATCH(Gameplay!A18,Reliability!$A$19:$A$22,0),MATCH('Event Tracker'!$P$1,Reliability!$B$18:$L$18,0)-1)</f>
        <v>10</v>
      </c>
      <c r="C18" s="201"/>
      <c r="D18" s="134">
        <v>0</v>
      </c>
      <c r="E18" s="100"/>
      <c r="F18" s="197"/>
      <c r="G18" s="121"/>
      <c r="H18" s="100"/>
      <c r="I18" s="182"/>
      <c r="J18" s="126"/>
      <c r="K18" s="100"/>
      <c r="L18" s="100"/>
      <c r="M18" s="100"/>
      <c r="N18" s="100"/>
      <c r="O18" s="100"/>
      <c r="P18" s="100"/>
      <c r="Q18" s="100"/>
      <c r="R18" s="100"/>
      <c r="S18" s="100"/>
      <c r="T18" s="100"/>
      <c r="U18" s="100"/>
      <c r="V18" s="100"/>
      <c r="W18" s="100"/>
      <c r="X18" s="100"/>
      <c r="Y18" s="100"/>
      <c r="Z18" s="100"/>
      <c r="AA18" s="100"/>
      <c r="AB18" s="100"/>
    </row>
    <row r="19" spans="1:28" ht="18.600000000000001" customHeight="1" x14ac:dyDescent="0.3">
      <c r="A19" s="133" t="s">
        <v>154</v>
      </c>
      <c r="B19" s="201">
        <f>INDEX(Reliability!$B$19:$L$22,MATCH(Gameplay!A19,Reliability!$A$19:$A$22,0),MATCH('Event Tracker'!$P$1,Reliability!$B$18:$L$18,0)-1)</f>
        <v>200</v>
      </c>
      <c r="C19" s="201"/>
      <c r="D19" s="134">
        <v>0</v>
      </c>
      <c r="E19" s="100"/>
      <c r="F19" s="197"/>
      <c r="G19" s="121"/>
      <c r="H19" s="100"/>
      <c r="I19" s="182"/>
      <c r="J19" s="120"/>
      <c r="K19" s="100"/>
      <c r="L19" s="100"/>
      <c r="M19" s="100"/>
      <c r="N19" s="100"/>
      <c r="O19" s="100"/>
      <c r="P19" s="100"/>
      <c r="Q19" s="100"/>
      <c r="R19" s="100"/>
      <c r="S19" s="100"/>
      <c r="T19" s="100"/>
      <c r="U19" s="100"/>
      <c r="V19" s="100"/>
      <c r="W19" s="100"/>
      <c r="X19" s="100"/>
      <c r="Y19" s="100"/>
      <c r="Z19" s="100"/>
      <c r="AA19" s="100"/>
      <c r="AB19" s="100"/>
    </row>
    <row r="20" spans="1:28" ht="18.600000000000001" customHeight="1" x14ac:dyDescent="0.3">
      <c r="A20" s="133" t="s">
        <v>36</v>
      </c>
      <c r="B20" s="201">
        <f>INDEX(Reliability!$B$19:$L$22,MATCH(Gameplay!A20,Reliability!$A$19:$A$22,0),MATCH('Event Tracker'!$P$1,Reliability!$B$18:$L$18,0)-1)</f>
        <v>50</v>
      </c>
      <c r="C20" s="201"/>
      <c r="D20" s="134">
        <v>0</v>
      </c>
      <c r="E20" s="100"/>
      <c r="F20" s="197"/>
      <c r="G20" s="121"/>
      <c r="H20" s="100"/>
      <c r="I20" s="182"/>
      <c r="J20" s="121"/>
      <c r="K20" s="100"/>
      <c r="L20" s="100"/>
      <c r="M20" s="100"/>
      <c r="N20" s="100"/>
      <c r="O20" s="100"/>
      <c r="P20" s="100"/>
      <c r="Q20" s="100"/>
      <c r="R20" s="100"/>
      <c r="S20" s="100"/>
      <c r="T20" s="100"/>
      <c r="U20" s="100"/>
      <c r="V20" s="100"/>
      <c r="W20" s="100"/>
      <c r="X20" s="100"/>
      <c r="Y20" s="100"/>
      <c r="Z20" s="100"/>
      <c r="AA20" s="100"/>
      <c r="AB20" s="100"/>
    </row>
    <row r="21" spans="1:28" ht="18.600000000000001" customHeight="1" x14ac:dyDescent="0.25">
      <c r="A21" s="145" t="s">
        <v>381</v>
      </c>
      <c r="B21" s="202" t="e">
        <f>INDEX(Reliability!$B$42:$L$42,1,MATCH(Current_Round-1,Reliability!$B$41:$L$41,0))</f>
        <v>#N/A</v>
      </c>
      <c r="C21" s="202"/>
      <c r="D21" s="144">
        <v>0</v>
      </c>
      <c r="E21" s="100"/>
      <c r="F21" s="197"/>
      <c r="G21" s="121"/>
      <c r="H21" s="100"/>
      <c r="I21" s="182"/>
      <c r="J21" s="121"/>
      <c r="K21" s="100"/>
      <c r="L21" s="100"/>
      <c r="M21" s="100"/>
      <c r="N21" s="100"/>
      <c r="O21" s="100"/>
      <c r="P21" s="100"/>
      <c r="Q21" s="100"/>
      <c r="R21" s="100"/>
      <c r="S21" s="100"/>
      <c r="T21" s="100"/>
      <c r="U21" s="100"/>
      <c r="V21" s="100"/>
      <c r="W21" s="100"/>
      <c r="X21" s="100"/>
      <c r="Y21" s="100"/>
      <c r="Z21" s="100"/>
      <c r="AA21" s="100"/>
      <c r="AB21" s="100"/>
    </row>
    <row r="22" spans="1:28" ht="18.600000000000001" customHeight="1" x14ac:dyDescent="0.25">
      <c r="A22" s="203" t="s">
        <v>393</v>
      </c>
      <c r="B22" s="195" t="e">
        <f>INDEX(Reliability!$B$23:$L$23,1,MATCH(Current_Round-1,Reliability!$B$18:$L$18,0))</f>
        <v>#N/A</v>
      </c>
      <c r="C22" s="195"/>
      <c r="D22" s="193">
        <v>0</v>
      </c>
      <c r="E22" s="100"/>
      <c r="F22" s="183" t="s">
        <v>405</v>
      </c>
      <c r="G22" s="121"/>
      <c r="H22" s="100"/>
      <c r="I22" s="183" t="s">
        <v>404</v>
      </c>
      <c r="J22" s="126"/>
      <c r="K22" s="100"/>
      <c r="L22" s="100"/>
      <c r="M22" s="100"/>
      <c r="N22" s="100"/>
      <c r="O22" s="100"/>
      <c r="P22" s="100"/>
      <c r="Q22" s="100"/>
      <c r="R22" s="100"/>
      <c r="S22" s="100"/>
      <c r="T22" s="100"/>
      <c r="U22" s="100"/>
      <c r="V22" s="100"/>
      <c r="W22" s="100"/>
      <c r="X22" s="100"/>
      <c r="Y22" s="100"/>
      <c r="Z22" s="100"/>
      <c r="AA22" s="100"/>
      <c r="AB22" s="100"/>
    </row>
    <row r="23" spans="1:28" ht="18.600000000000001" customHeight="1" thickBot="1" x14ac:dyDescent="0.3">
      <c r="A23" s="204"/>
      <c r="B23" s="196"/>
      <c r="C23" s="196"/>
      <c r="D23" s="194"/>
      <c r="E23" s="100"/>
      <c r="F23" s="183"/>
      <c r="G23" s="121"/>
      <c r="H23" s="100"/>
      <c r="I23" s="183"/>
      <c r="J23" s="126"/>
      <c r="K23" s="100"/>
      <c r="L23" s="100"/>
      <c r="M23" s="100"/>
      <c r="N23" s="100"/>
      <c r="O23" s="100"/>
      <c r="P23" s="100"/>
      <c r="Q23" s="100"/>
      <c r="R23" s="100"/>
      <c r="S23" s="100"/>
      <c r="T23" s="100"/>
      <c r="U23" s="100"/>
      <c r="V23" s="100"/>
      <c r="W23" s="100"/>
      <c r="X23" s="100"/>
      <c r="Y23" s="100"/>
      <c r="Z23" s="100"/>
      <c r="AA23" s="100"/>
      <c r="AB23" s="100"/>
    </row>
    <row r="24" spans="1:28" ht="14.45" customHeight="1" thickBot="1" x14ac:dyDescent="0.3">
      <c r="A24" s="100"/>
      <c r="C24" s="100"/>
      <c r="D24" s="100"/>
      <c r="E24" s="100"/>
      <c r="F24" s="183"/>
      <c r="G24" s="121"/>
      <c r="H24" s="100"/>
      <c r="I24" s="183"/>
      <c r="J24" s="126"/>
      <c r="K24" s="100"/>
      <c r="L24" s="100"/>
      <c r="M24" s="100"/>
      <c r="N24" s="100"/>
      <c r="O24" s="100"/>
      <c r="P24" s="100"/>
      <c r="Q24" s="100"/>
      <c r="R24" s="100"/>
      <c r="S24" s="100"/>
      <c r="T24" s="100"/>
      <c r="U24" s="100"/>
      <c r="V24" s="100"/>
      <c r="W24" s="100"/>
      <c r="X24" s="100"/>
      <c r="Y24" s="100"/>
      <c r="Z24" s="100"/>
      <c r="AA24" s="100"/>
      <c r="AB24" s="100"/>
    </row>
    <row r="25" spans="1:28" ht="18.95" customHeight="1" thickBot="1" x14ac:dyDescent="0.35">
      <c r="A25" s="198" t="s">
        <v>296</v>
      </c>
      <c r="B25" s="199"/>
      <c r="C25" s="100"/>
      <c r="D25" s="119" t="s">
        <v>287</v>
      </c>
      <c r="E25" s="100"/>
      <c r="F25" s="183"/>
      <c r="G25" s="121"/>
      <c r="H25" s="100"/>
      <c r="I25" s="183"/>
      <c r="J25" s="126"/>
      <c r="K25" s="100"/>
      <c r="L25" s="100"/>
      <c r="M25" s="100"/>
      <c r="N25" s="100"/>
      <c r="O25" s="100"/>
      <c r="P25" s="100"/>
      <c r="Q25" s="100"/>
      <c r="R25" s="100"/>
      <c r="S25" s="100"/>
      <c r="T25" s="100"/>
      <c r="U25" s="100"/>
      <c r="V25" s="100"/>
      <c r="W25" s="100"/>
      <c r="X25" s="100"/>
      <c r="Y25" s="100"/>
      <c r="Z25" s="100"/>
      <c r="AA25" s="100"/>
      <c r="AB25" s="100"/>
    </row>
    <row r="26" spans="1:28" ht="18.600000000000001" customHeight="1" thickBot="1" x14ac:dyDescent="0.35">
      <c r="A26" s="133" t="str">
        <f>CONCATENATE("Renewables Generation: ",ROUND(INDEX(Dispatch!$B$164:$L$164,1,MATCH('Event Tracker'!$P$1,Dispatch!$B$162:$L$162,0))*100,1),"%")</f>
        <v>Renewables Generation: 1.6%</v>
      </c>
      <c r="B26" s="140"/>
      <c r="C26" s="100"/>
      <c r="D26" s="143" t="s">
        <v>366</v>
      </c>
      <c r="E26" s="100"/>
      <c r="F26" s="183"/>
      <c r="G26" s="121"/>
      <c r="H26" s="100"/>
      <c r="I26" s="183"/>
      <c r="J26" s="126"/>
      <c r="K26" s="100"/>
      <c r="L26" s="100"/>
      <c r="M26" s="100"/>
      <c r="N26" s="100"/>
      <c r="O26" s="100"/>
      <c r="P26" s="100"/>
      <c r="Q26" s="100"/>
      <c r="R26" s="100"/>
      <c r="S26" s="100"/>
      <c r="T26" s="100"/>
      <c r="U26" s="100"/>
      <c r="V26" s="100"/>
      <c r="W26" s="100"/>
      <c r="X26" s="100"/>
      <c r="Y26" s="100"/>
      <c r="Z26" s="100"/>
      <c r="AA26" s="100"/>
      <c r="AB26" s="100"/>
    </row>
    <row r="27" spans="1:28" ht="18.600000000000001" customHeight="1" thickBot="1" x14ac:dyDescent="0.35">
      <c r="A27" s="133" t="str">
        <f>CONCATENATE("Next Year Renewable Requirement: ",ROUND(INDEX(Dispatch!$B$165:$L$165,1,MATCH('Event Tracker'!$P$1,Dispatch!$B$162:$L$162,0)+1)*100,1),"%")</f>
        <v>Next Year Renewable Requirement: 0%</v>
      </c>
      <c r="B27" s="141"/>
      <c r="C27" s="100"/>
      <c r="D27" s="143" t="s">
        <v>367</v>
      </c>
      <c r="E27" s="100"/>
      <c r="F27" s="184"/>
      <c r="G27" s="122"/>
      <c r="H27" s="100"/>
      <c r="I27" s="184"/>
      <c r="J27" s="127"/>
      <c r="K27" s="100"/>
      <c r="L27" s="100"/>
      <c r="M27" s="100"/>
      <c r="N27" s="100"/>
      <c r="O27" s="100"/>
      <c r="P27" s="100"/>
      <c r="Q27" s="100"/>
      <c r="R27" s="100"/>
      <c r="S27" s="100"/>
      <c r="T27" s="100"/>
      <c r="U27" s="100"/>
      <c r="V27" s="100"/>
      <c r="W27" s="100"/>
      <c r="X27" s="100"/>
      <c r="Y27" s="100"/>
      <c r="Z27" s="100"/>
      <c r="AA27" s="100"/>
      <c r="AB27" s="100"/>
    </row>
    <row r="28" spans="1:28" ht="18.600000000000001" customHeight="1" x14ac:dyDescent="0.3">
      <c r="A28" s="133" t="str">
        <f>CONCATENATE("Carbon Price This Year: $",ROUND(INDEX(Dispatch!$B$11:$L$11,1,MATCH('Event Tracker'!$P$1,Dispatch!$B$10:$L$10,0))*100, 2))</f>
        <v>Carbon Price This Year: $0</v>
      </c>
      <c r="B28" s="141"/>
      <c r="C28" s="100"/>
      <c r="D28" s="100"/>
      <c r="E28" s="100"/>
      <c r="F28" s="100"/>
      <c r="G28" s="100"/>
      <c r="H28" s="100"/>
      <c r="I28" s="100"/>
      <c r="J28" s="100"/>
      <c r="K28" s="100"/>
      <c r="L28" s="100"/>
      <c r="M28" s="100"/>
      <c r="N28" s="100"/>
      <c r="O28" s="100"/>
      <c r="P28" s="100"/>
      <c r="Q28" s="100"/>
      <c r="R28" s="100"/>
      <c r="S28" s="100"/>
      <c r="T28" s="100"/>
      <c r="U28" s="100"/>
      <c r="V28" s="100"/>
      <c r="W28" s="100"/>
      <c r="X28" s="100"/>
      <c r="Y28" s="100"/>
      <c r="Z28" s="100"/>
      <c r="AA28" s="100"/>
      <c r="AB28" s="100"/>
    </row>
    <row r="29" spans="1:28" ht="18.600000000000001" customHeight="1" thickBot="1" x14ac:dyDescent="0.35">
      <c r="A29" s="135" t="str">
        <f>CONCATENATE("Carbon Price Next Year: $",ROUND(INDEX(Dispatch!$B$11:$L$11,1,MATCH('Event Tracker'!$P$1,Dispatch!$B$10:$L$10,0)+1)*100,2))</f>
        <v>Carbon Price Next Year: $0</v>
      </c>
      <c r="B29" s="142"/>
      <c r="C29" s="100"/>
      <c r="D29" s="100"/>
      <c r="E29" s="100"/>
      <c r="F29" s="100"/>
      <c r="G29" s="100"/>
      <c r="H29" s="100"/>
      <c r="I29" s="100"/>
      <c r="J29" s="100"/>
      <c r="K29" s="100"/>
      <c r="L29" s="100"/>
      <c r="M29" s="100"/>
      <c r="N29" s="100"/>
      <c r="O29" s="100"/>
      <c r="P29" s="100"/>
      <c r="Q29" s="100"/>
      <c r="R29" s="100"/>
      <c r="S29" s="100"/>
      <c r="T29" s="100"/>
      <c r="U29" s="100"/>
      <c r="V29" s="100"/>
      <c r="W29" s="100"/>
      <c r="X29" s="100"/>
      <c r="Y29" s="100"/>
      <c r="Z29" s="100"/>
      <c r="AA29" s="100"/>
      <c r="AB29" s="100"/>
    </row>
    <row r="30" spans="1:28" ht="15.95" customHeight="1" x14ac:dyDescent="0.25">
      <c r="A30" s="100"/>
      <c r="B30" s="100"/>
      <c r="C30" s="100"/>
      <c r="D30" s="100"/>
      <c r="E30" s="100"/>
      <c r="F30" s="100"/>
      <c r="G30" s="100"/>
      <c r="H30" s="100"/>
      <c r="I30" s="100"/>
      <c r="J30" s="100"/>
      <c r="K30" s="100"/>
      <c r="L30" s="100"/>
      <c r="M30" s="100"/>
      <c r="N30" s="100"/>
      <c r="O30" s="100"/>
      <c r="P30" s="100"/>
      <c r="Q30" s="100"/>
      <c r="R30" s="100"/>
      <c r="S30" s="100"/>
      <c r="T30" s="100"/>
      <c r="U30" s="100"/>
      <c r="V30" s="100"/>
      <c r="W30" s="100"/>
      <c r="X30" s="100"/>
      <c r="Y30" s="100"/>
      <c r="Z30" s="100"/>
      <c r="AA30" s="100"/>
      <c r="AB30" s="100"/>
    </row>
    <row r="31" spans="1:28" ht="14.45" customHeight="1" x14ac:dyDescent="0.25">
      <c r="A31" s="100"/>
      <c r="B31" s="100"/>
      <c r="C31" s="100"/>
      <c r="D31" s="100"/>
      <c r="E31" s="100"/>
      <c r="F31" s="100"/>
      <c r="G31" s="100"/>
      <c r="H31" s="100"/>
      <c r="I31" s="100"/>
      <c r="J31" s="100"/>
      <c r="K31" s="100"/>
      <c r="L31" s="100"/>
      <c r="M31" s="100"/>
      <c r="N31" s="100"/>
      <c r="O31" s="100"/>
      <c r="P31" s="100"/>
      <c r="Q31" s="100"/>
      <c r="R31" s="100"/>
      <c r="S31" s="100"/>
      <c r="T31" s="100"/>
      <c r="U31" s="100"/>
      <c r="V31" s="100"/>
      <c r="W31" s="100"/>
      <c r="X31" s="100"/>
      <c r="Y31" s="100"/>
      <c r="Z31" s="100"/>
      <c r="AA31" s="100"/>
      <c r="AB31" s="100"/>
    </row>
    <row r="32" spans="1:28" ht="29.1" customHeight="1" x14ac:dyDescent="0.25">
      <c r="A32" s="100"/>
      <c r="B32" s="100"/>
      <c r="C32" s="100"/>
      <c r="D32" s="100"/>
      <c r="E32" s="100"/>
      <c r="F32" s="100"/>
      <c r="G32" s="100"/>
      <c r="H32" s="100"/>
      <c r="I32" s="100"/>
      <c r="J32" s="100"/>
      <c r="K32" s="100"/>
      <c r="L32" s="100"/>
      <c r="M32" s="100"/>
      <c r="N32" s="100"/>
      <c r="O32" s="100"/>
      <c r="P32" s="100"/>
      <c r="Q32" s="100"/>
      <c r="R32" s="100"/>
      <c r="S32" s="100"/>
      <c r="T32" s="100"/>
      <c r="U32" s="100"/>
      <c r="V32" s="100"/>
      <c r="W32" s="100"/>
      <c r="X32" s="100"/>
      <c r="Y32" s="100"/>
      <c r="Z32" s="100"/>
      <c r="AA32" s="100"/>
      <c r="AB32" s="100"/>
    </row>
    <row r="33" spans="1:28" ht="14.45" customHeight="1" x14ac:dyDescent="0.25">
      <c r="A33" s="100"/>
      <c r="B33" s="100"/>
      <c r="C33" s="100"/>
      <c r="D33" s="100"/>
      <c r="E33" s="100"/>
      <c r="F33" s="100"/>
      <c r="G33" s="100"/>
      <c r="H33" s="100"/>
      <c r="I33" s="100"/>
      <c r="J33" s="100"/>
      <c r="K33" s="100"/>
      <c r="L33" s="100"/>
      <c r="M33" s="100"/>
      <c r="N33" s="100"/>
      <c r="O33" s="100"/>
      <c r="P33" s="100"/>
      <c r="Q33" s="100"/>
      <c r="R33" s="100"/>
      <c r="S33" s="100"/>
      <c r="T33" s="100"/>
      <c r="U33" s="100"/>
      <c r="V33" s="100"/>
      <c r="W33" s="100"/>
      <c r="X33" s="100"/>
      <c r="Y33" s="100"/>
      <c r="Z33" s="100"/>
      <c r="AA33" s="100"/>
      <c r="AB33" s="100"/>
    </row>
    <row r="34" spans="1:28" s="100" customFormat="1" ht="14.45" customHeight="1" x14ac:dyDescent="0.25"/>
    <row r="35" spans="1:28" s="100" customFormat="1" ht="14.45" customHeight="1" x14ac:dyDescent="0.25"/>
    <row r="36" spans="1:28" s="100" customFormat="1" ht="14.45" customHeight="1" x14ac:dyDescent="0.25"/>
    <row r="37" spans="1:28" s="100" customFormat="1" ht="14.45" customHeight="1" x14ac:dyDescent="0.25"/>
    <row r="38" spans="1:28" s="100" customFormat="1" ht="14.45" customHeight="1" x14ac:dyDescent="0.25"/>
    <row r="39" spans="1:28" s="100" customFormat="1" ht="14.45" customHeight="1" x14ac:dyDescent="0.25"/>
    <row r="40" spans="1:28" s="100" customFormat="1" ht="14.45" customHeight="1" x14ac:dyDescent="0.25"/>
    <row r="41" spans="1:28" s="100" customFormat="1" ht="14.45" customHeight="1" x14ac:dyDescent="0.25"/>
    <row r="42" spans="1:28" s="100" customFormat="1" ht="14.45" customHeight="1" x14ac:dyDescent="0.25"/>
    <row r="43" spans="1:28" s="100" customFormat="1" ht="14.45" customHeight="1" x14ac:dyDescent="0.25"/>
    <row r="44" spans="1:28" s="100" customFormat="1" ht="14.45" customHeight="1" x14ac:dyDescent="0.25"/>
    <row r="45" spans="1:28" s="100" customFormat="1" ht="15" customHeight="1" x14ac:dyDescent="0.25"/>
    <row r="46" spans="1:28" s="100" customFormat="1" x14ac:dyDescent="0.25"/>
    <row r="47" spans="1:28" s="100" customFormat="1" x14ac:dyDescent="0.25"/>
    <row r="48" spans="1:28" s="100" customFormat="1" x14ac:dyDescent="0.25"/>
    <row r="49" s="100" customFormat="1" x14ac:dyDescent="0.25"/>
    <row r="50" s="100" customFormat="1" x14ac:dyDescent="0.25"/>
    <row r="51" s="100" customFormat="1" x14ac:dyDescent="0.25"/>
    <row r="52" s="100" customFormat="1" x14ac:dyDescent="0.25"/>
    <row r="53" s="100" customFormat="1" x14ac:dyDescent="0.25"/>
    <row r="54" s="100" customFormat="1" x14ac:dyDescent="0.25"/>
    <row r="55" s="100" customFormat="1" x14ac:dyDescent="0.25"/>
    <row r="56" s="100" customFormat="1" x14ac:dyDescent="0.25"/>
    <row r="57" s="100" customFormat="1" x14ac:dyDescent="0.25"/>
    <row r="58" s="100" customFormat="1" x14ac:dyDescent="0.25"/>
    <row r="59" s="100" customFormat="1" x14ac:dyDescent="0.25"/>
    <row r="60" s="100" customFormat="1" x14ac:dyDescent="0.25"/>
    <row r="61" s="100" customFormat="1" x14ac:dyDescent="0.25"/>
  </sheetData>
  <mergeCells count="24">
    <mergeCell ref="D22:D23"/>
    <mergeCell ref="B22:C23"/>
    <mergeCell ref="F15:G15"/>
    <mergeCell ref="F16:F21"/>
    <mergeCell ref="A25:B25"/>
    <mergeCell ref="B16:C16"/>
    <mergeCell ref="B17:C17"/>
    <mergeCell ref="B18:C18"/>
    <mergeCell ref="B19:C19"/>
    <mergeCell ref="B20:C20"/>
    <mergeCell ref="B21:C21"/>
    <mergeCell ref="A22:A23"/>
    <mergeCell ref="F22:F27"/>
    <mergeCell ref="A1:J1"/>
    <mergeCell ref="A2:J2"/>
    <mergeCell ref="A3:D3"/>
    <mergeCell ref="F4:F13"/>
    <mergeCell ref="I15:J15"/>
    <mergeCell ref="A15:D15"/>
    <mergeCell ref="I16:I21"/>
    <mergeCell ref="I22:I27"/>
    <mergeCell ref="I4:I13"/>
    <mergeCell ref="F3:G3"/>
    <mergeCell ref="I3:J3"/>
  </mergeCells>
  <conditionalFormatting sqref="F4 A45:F45 A1:J2 A3 K14:K15 G44:J45 F35:F44 A31:F34 B30:E30 A25 A14:E14 D16:D22 A15 B26:B29 F15:F16 E26 D29:E29 D25:D27 G4:G14 I3:I4 E3:F3 A16:B22 G16:G28 I15:I16 A4:D13">
    <cfRule type="expression" dxfId="12" priority="22">
      <formula>#REF!="Let's go!"</formula>
    </cfRule>
  </conditionalFormatting>
  <dataValidations count="2">
    <dataValidation type="whole" showInputMessage="1" showErrorMessage="1" sqref="D5:D11" xr:uid="{00000000-0002-0000-0100-000000000000}">
      <formula1>0</formula1>
      <formula2>500</formula2>
    </dataValidation>
    <dataValidation type="whole" allowBlank="1" showInputMessage="1" showErrorMessage="1" sqref="D17:D20" xr:uid="{00000000-0002-0000-0100-000001000000}">
      <formula1>0</formula1>
      <formula2>500</formula2>
    </dataValidation>
  </dataValidation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21" id="{A65FBE54-FCA3-47AF-832E-83311FB7880C}">
            <xm:f>'Initial Setup'!$B$3="DR"</xm:f>
            <x14:dxf>
              <font>
                <color theme="0" tint="-0.24994659260841701"/>
              </font>
              <fill>
                <patternFill>
                  <bgColor theme="0" tint="-0.24994659260841701"/>
                </patternFill>
              </fill>
              <border>
                <left style="thin">
                  <color auto="1"/>
                </left>
                <right style="thin">
                  <color auto="1"/>
                </right>
                <top/>
                <bottom/>
                <vertical/>
                <horizontal/>
              </border>
            </x14:dxf>
          </x14:cfRule>
          <xm:sqref>D5:D11</xm:sqref>
        </x14:conditionalFormatting>
        <x14:conditionalFormatting xmlns:xm="http://schemas.microsoft.com/office/excel/2006/main">
          <x14:cfRule type="expression" priority="20" id="{C1AC3A87-4FC9-4457-80D6-A280F93D9C68}">
            <xm:f>'Initial Setup'!$B$3="DR"</xm:f>
            <x14:dxf>
              <font>
                <color theme="0" tint="-0.24994659260841701"/>
              </font>
              <fill>
                <patternFill>
                  <bgColor theme="0" tint="-0.24994659260841701"/>
                </patternFill>
              </fill>
              <border>
                <top style="thin">
                  <color auto="1"/>
                </top>
                <vertical/>
                <horizontal/>
              </border>
            </x14:dxf>
          </x14:cfRule>
          <xm:sqref>D5</xm:sqref>
        </x14:conditionalFormatting>
        <x14:conditionalFormatting xmlns:xm="http://schemas.microsoft.com/office/excel/2006/main">
          <x14:cfRule type="expression" priority="18" id="{EE520FF9-700F-494A-AA53-B2A8FD3BC137}">
            <xm:f>'Initial Setup'!$B$3="DR"</xm:f>
            <x14:dxf>
              <font>
                <color theme="0" tint="-0.24994659260841701"/>
              </font>
              <fill>
                <patternFill>
                  <bgColor theme="0" tint="-0.24994659260841701"/>
                </patternFill>
              </fill>
              <border>
                <bottom style="thin">
                  <color auto="1"/>
                </bottom>
                <vertical/>
                <horizontal/>
              </border>
            </x14:dxf>
          </x14:cfRule>
          <x14:cfRule type="expression" priority="19" id="{F17C9DDF-7578-45D7-9648-7A68C59B599F}">
            <xm:f>'Initial Setup'!$B$3="DR"</xm:f>
            <x14:dxf>
              <font>
                <color theme="0" tint="-0.24994659260841701"/>
              </font>
              <fill>
                <patternFill>
                  <bgColor theme="0" tint="-0.24994659260841701"/>
                </patternFill>
              </fill>
              <border>
                <bottom/>
                <vertical/>
                <horizontal/>
              </border>
            </x14:dxf>
          </x14:cfRule>
          <xm:sqref>D10</xm:sqref>
        </x14:conditionalFormatting>
        <x14:conditionalFormatting xmlns:xm="http://schemas.microsoft.com/office/excel/2006/main">
          <x14:cfRule type="expression" priority="8" id="{98972FCF-1B41-4147-8573-6BCCBDADA15C}">
            <xm:f>'Initial Setup'!$B$3="DR"</xm:f>
            <x14:dxf>
              <font>
                <color theme="0" tint="-0.24994659260841701"/>
              </font>
              <fill>
                <patternFill>
                  <bgColor theme="0" tint="-0.24994659260841701"/>
                </patternFill>
              </fill>
              <border>
                <top style="thin">
                  <color auto="1"/>
                </top>
                <vertical/>
                <horizontal/>
              </border>
            </x14:dxf>
          </x14:cfRule>
          <xm:sqref>D6:D11</xm:sqref>
        </x14:conditionalFormatting>
        <x14:conditionalFormatting xmlns:xm="http://schemas.microsoft.com/office/excel/2006/main">
          <x14:cfRule type="expression" priority="7" id="{406ABFAB-1732-4955-ACD3-2C9A2512DC71}">
            <xm:f>'Initial Setup'!$B$3="DR"</xm:f>
            <x14:dxf>
              <font>
                <color theme="0" tint="-0.24994659260841701"/>
              </font>
              <fill>
                <patternFill>
                  <bgColor theme="0" tint="-0.24994659260841701"/>
                </patternFill>
              </fill>
              <border>
                <left style="thin">
                  <color auto="1"/>
                </left>
                <right style="thin">
                  <color auto="1"/>
                </right>
                <top/>
                <bottom/>
                <vertical/>
                <horizontal/>
              </border>
            </x14:dxf>
          </x14:cfRule>
          <xm:sqref>D17:D21</xm:sqref>
        </x14:conditionalFormatting>
        <x14:conditionalFormatting xmlns:xm="http://schemas.microsoft.com/office/excel/2006/main">
          <x14:cfRule type="expression" priority="6" id="{55EAF00E-8A72-47D7-91E7-5DCC95BC9620}">
            <xm:f>'Initial Setup'!$B$3="DR"</xm:f>
            <x14:dxf>
              <font>
                <color theme="0" tint="-0.24994659260841701"/>
              </font>
              <fill>
                <patternFill>
                  <bgColor theme="0" tint="-0.24994659260841701"/>
                </patternFill>
              </fill>
              <border>
                <top style="thin">
                  <color auto="1"/>
                </top>
                <vertical/>
                <horizontal/>
              </border>
            </x14:dxf>
          </x14:cfRule>
          <xm:sqref>D17:D21</xm:sqref>
        </x14:conditionalFormatting>
        <x14:conditionalFormatting xmlns:xm="http://schemas.microsoft.com/office/excel/2006/main">
          <x14:cfRule type="expression" priority="5" id="{C64C6727-5926-43EF-9CBB-C8FB3F8106D6}">
            <xm:f>'Initial Setup'!$B$3="DR"</xm:f>
            <x14:dxf>
              <font>
                <color theme="0" tint="-0.24994659260841701"/>
              </font>
              <fill>
                <patternFill>
                  <bgColor theme="0" tint="-0.24994659260841701"/>
                </patternFill>
              </fill>
              <border>
                <left style="thin">
                  <color auto="1"/>
                </left>
                <right style="thin">
                  <color auto="1"/>
                </right>
                <top/>
                <bottom/>
                <vertical/>
                <horizontal/>
              </border>
            </x14:dxf>
          </x14:cfRule>
          <xm:sqref>D22</xm:sqref>
        </x14:conditionalFormatting>
        <x14:conditionalFormatting xmlns:xm="http://schemas.microsoft.com/office/excel/2006/main">
          <x14:cfRule type="expression" priority="4" id="{913853F9-486A-4EA2-8D2D-02C1D3BE670C}">
            <xm:f>'Initial Setup'!$B$3="DR"</xm:f>
            <x14:dxf>
              <font>
                <color theme="0" tint="-0.24994659260841701"/>
              </font>
              <fill>
                <patternFill>
                  <bgColor theme="0" tint="-0.24994659260841701"/>
                </patternFill>
              </fill>
              <border>
                <top style="thin">
                  <color auto="1"/>
                </top>
                <vertical/>
                <horizontal/>
              </border>
            </x14:dxf>
          </x14:cfRule>
          <xm:sqref>D22</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2000000}">
          <x14:formula1>
            <xm:f>'Game Properties'!$C$2:$C$6</xm:f>
          </x14:formula1>
          <xm:sqref>D26</xm:sqref>
        </x14:dataValidation>
        <x14:dataValidation type="list" allowBlank="1" showInputMessage="1" showErrorMessage="1" xr:uid="{00000000-0002-0000-0100-000003000000}">
          <x14:formula1>
            <xm:f>'Game Properties'!$B$2:$B$9</xm:f>
          </x14:formula1>
          <xm:sqref>D27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theme="0" tint="-0.249977111117893"/>
  </sheetPr>
  <dimension ref="A1:P27"/>
  <sheetViews>
    <sheetView workbookViewId="0">
      <selection activeCell="B36" sqref="B36"/>
    </sheetView>
  </sheetViews>
  <sheetFormatPr defaultRowHeight="15" x14ac:dyDescent="0.25"/>
  <cols>
    <col min="1" max="1" width="55.28515625" customWidth="1"/>
    <col min="15" max="15" width="14.5703125" bestFit="1" customWidth="1"/>
  </cols>
  <sheetData>
    <row r="1" spans="1:16" ht="15.75" thickBot="1" x14ac:dyDescent="0.3">
      <c r="A1" s="9" t="s">
        <v>203</v>
      </c>
      <c r="B1" s="9">
        <v>0</v>
      </c>
      <c r="C1" s="9">
        <v>1</v>
      </c>
      <c r="D1" s="9">
        <v>2</v>
      </c>
      <c r="E1" s="9">
        <v>3</v>
      </c>
      <c r="F1" s="9">
        <v>4</v>
      </c>
      <c r="G1" s="9">
        <v>5</v>
      </c>
      <c r="H1" s="9">
        <v>6</v>
      </c>
      <c r="I1" s="9">
        <v>7</v>
      </c>
      <c r="J1" s="9">
        <v>8</v>
      </c>
      <c r="K1" s="9">
        <v>9</v>
      </c>
      <c r="L1" s="9">
        <v>10</v>
      </c>
      <c r="O1" t="s">
        <v>277</v>
      </c>
      <c r="P1" s="104">
        <f t="array" ref="P1">IF(MAX(B15:L15)=0,0,MAX(IF(B15:L15=1,B14:L14))+1)</f>
        <v>0</v>
      </c>
    </row>
    <row r="2" spans="1:16" x14ac:dyDescent="0.25">
      <c r="A2" t="s">
        <v>3</v>
      </c>
      <c r="B2">
        <v>0</v>
      </c>
      <c r="C2">
        <v>0</v>
      </c>
      <c r="D2">
        <v>0</v>
      </c>
      <c r="E2">
        <v>0</v>
      </c>
      <c r="F2">
        <v>0</v>
      </c>
      <c r="G2">
        <v>0</v>
      </c>
      <c r="H2">
        <v>0</v>
      </c>
      <c r="I2">
        <v>0</v>
      </c>
      <c r="J2">
        <v>0</v>
      </c>
      <c r="K2">
        <v>0</v>
      </c>
      <c r="L2">
        <v>0</v>
      </c>
    </row>
    <row r="3" spans="1:16" x14ac:dyDescent="0.25">
      <c r="A3" t="s">
        <v>2</v>
      </c>
      <c r="B3">
        <v>0</v>
      </c>
      <c r="C3">
        <v>0</v>
      </c>
      <c r="D3">
        <v>0</v>
      </c>
      <c r="E3">
        <v>0</v>
      </c>
      <c r="F3">
        <v>0</v>
      </c>
      <c r="G3">
        <v>0</v>
      </c>
      <c r="H3">
        <v>0</v>
      </c>
      <c r="I3">
        <v>0</v>
      </c>
      <c r="J3">
        <v>0</v>
      </c>
      <c r="K3">
        <v>0</v>
      </c>
      <c r="L3">
        <v>0</v>
      </c>
    </row>
    <row r="4" spans="1:16" x14ac:dyDescent="0.25">
      <c r="A4" t="s">
        <v>248</v>
      </c>
      <c r="B4">
        <v>0</v>
      </c>
      <c r="C4">
        <v>0</v>
      </c>
      <c r="D4">
        <v>0</v>
      </c>
      <c r="E4">
        <v>0</v>
      </c>
      <c r="F4">
        <v>0</v>
      </c>
      <c r="G4">
        <v>0</v>
      </c>
      <c r="H4">
        <v>0</v>
      </c>
      <c r="I4">
        <v>0</v>
      </c>
      <c r="J4">
        <v>0</v>
      </c>
      <c r="K4">
        <v>0</v>
      </c>
      <c r="L4">
        <v>0</v>
      </c>
    </row>
    <row r="5" spans="1:16" x14ac:dyDescent="0.25">
      <c r="A5" t="s">
        <v>1</v>
      </c>
      <c r="B5">
        <v>0</v>
      </c>
      <c r="C5">
        <v>0</v>
      </c>
      <c r="D5">
        <v>0</v>
      </c>
      <c r="E5">
        <v>0</v>
      </c>
      <c r="F5">
        <v>0</v>
      </c>
      <c r="G5">
        <v>0</v>
      </c>
      <c r="H5">
        <v>0</v>
      </c>
      <c r="I5">
        <v>0</v>
      </c>
      <c r="J5">
        <v>0</v>
      </c>
      <c r="K5">
        <v>0</v>
      </c>
      <c r="L5">
        <v>0</v>
      </c>
    </row>
    <row r="6" spans="1:16" x14ac:dyDescent="0.25">
      <c r="A6" t="s">
        <v>247</v>
      </c>
      <c r="B6">
        <v>0</v>
      </c>
      <c r="C6">
        <v>0</v>
      </c>
      <c r="D6">
        <v>0</v>
      </c>
      <c r="E6">
        <v>0</v>
      </c>
      <c r="F6">
        <v>0</v>
      </c>
      <c r="G6">
        <v>0</v>
      </c>
      <c r="H6">
        <v>0</v>
      </c>
      <c r="I6">
        <v>0</v>
      </c>
      <c r="J6">
        <v>0</v>
      </c>
      <c r="K6">
        <v>0</v>
      </c>
      <c r="L6">
        <v>0</v>
      </c>
    </row>
    <row r="7" spans="1:16" x14ac:dyDescent="0.25">
      <c r="A7" t="s">
        <v>304</v>
      </c>
      <c r="B7">
        <v>0</v>
      </c>
      <c r="C7">
        <v>0</v>
      </c>
      <c r="D7">
        <v>0</v>
      </c>
      <c r="E7">
        <v>0</v>
      </c>
      <c r="F7">
        <v>0</v>
      </c>
      <c r="G7">
        <v>0</v>
      </c>
      <c r="H7">
        <v>0</v>
      </c>
      <c r="I7">
        <v>0</v>
      </c>
      <c r="J7">
        <v>0</v>
      </c>
      <c r="K7">
        <v>0</v>
      </c>
      <c r="L7">
        <v>0</v>
      </c>
    </row>
    <row r="9" spans="1:16" x14ac:dyDescent="0.25">
      <c r="A9" s="9" t="s">
        <v>204</v>
      </c>
      <c r="B9" s="9">
        <v>0</v>
      </c>
      <c r="C9" s="9">
        <v>1</v>
      </c>
      <c r="D9" s="9">
        <v>2</v>
      </c>
      <c r="E9" s="9">
        <v>3</v>
      </c>
      <c r="F9" s="9">
        <v>4</v>
      </c>
      <c r="G9" s="9">
        <v>5</v>
      </c>
      <c r="H9" s="9">
        <v>6</v>
      </c>
      <c r="I9" s="9">
        <v>7</v>
      </c>
      <c r="J9" s="9">
        <v>8</v>
      </c>
      <c r="K9" s="9">
        <v>9</v>
      </c>
      <c r="L9" s="9">
        <v>10</v>
      </c>
    </row>
    <row r="10" spans="1:16" x14ac:dyDescent="0.25">
      <c r="A10" t="s">
        <v>4</v>
      </c>
      <c r="B10">
        <v>0</v>
      </c>
      <c r="C10">
        <v>0</v>
      </c>
      <c r="D10">
        <v>0</v>
      </c>
      <c r="E10">
        <v>0</v>
      </c>
      <c r="F10">
        <v>0</v>
      </c>
      <c r="G10">
        <v>0</v>
      </c>
      <c r="H10">
        <v>0</v>
      </c>
      <c r="I10">
        <v>0</v>
      </c>
      <c r="J10">
        <v>0</v>
      </c>
      <c r="K10">
        <v>0</v>
      </c>
      <c r="L10">
        <v>0</v>
      </c>
    </row>
    <row r="11" spans="1:16" x14ac:dyDescent="0.25">
      <c r="A11" t="s">
        <v>6</v>
      </c>
      <c r="B11">
        <v>0</v>
      </c>
      <c r="C11">
        <v>0</v>
      </c>
      <c r="D11">
        <v>0</v>
      </c>
      <c r="E11">
        <v>0</v>
      </c>
      <c r="F11">
        <v>0</v>
      </c>
      <c r="G11">
        <v>0</v>
      </c>
      <c r="H11">
        <v>0</v>
      </c>
      <c r="I11">
        <v>0</v>
      </c>
      <c r="J11">
        <v>0</v>
      </c>
      <c r="K11">
        <v>0</v>
      </c>
      <c r="L11">
        <v>0</v>
      </c>
    </row>
    <row r="12" spans="1:16" x14ac:dyDescent="0.25">
      <c r="A12" t="s">
        <v>5</v>
      </c>
      <c r="B12">
        <v>0</v>
      </c>
      <c r="C12">
        <v>0</v>
      </c>
      <c r="D12">
        <v>0</v>
      </c>
      <c r="E12">
        <v>0</v>
      </c>
      <c r="F12">
        <v>0</v>
      </c>
      <c r="G12">
        <v>0</v>
      </c>
      <c r="H12">
        <v>0</v>
      </c>
      <c r="I12">
        <v>0</v>
      </c>
      <c r="J12">
        <v>0</v>
      </c>
      <c r="K12">
        <v>0</v>
      </c>
      <c r="L12">
        <v>0</v>
      </c>
    </row>
    <row r="14" spans="1:16" x14ac:dyDescent="0.25">
      <c r="A14" s="9" t="s">
        <v>280</v>
      </c>
      <c r="B14" s="9">
        <v>0</v>
      </c>
      <c r="C14" s="9">
        <v>1</v>
      </c>
      <c r="D14" s="9">
        <v>2</v>
      </c>
      <c r="E14" s="9">
        <v>3</v>
      </c>
      <c r="F14" s="9">
        <v>4</v>
      </c>
      <c r="G14" s="9">
        <v>5</v>
      </c>
      <c r="H14" s="9">
        <v>6</v>
      </c>
      <c r="I14" s="9">
        <v>7</v>
      </c>
      <c r="J14" s="9">
        <v>8</v>
      </c>
      <c r="K14" s="9">
        <v>9</v>
      </c>
      <c r="L14" s="9">
        <v>10</v>
      </c>
    </row>
    <row r="15" spans="1:16" x14ac:dyDescent="0.25">
      <c r="B15">
        <v>0</v>
      </c>
      <c r="C15">
        <v>0</v>
      </c>
      <c r="D15">
        <v>0</v>
      </c>
      <c r="E15">
        <v>0</v>
      </c>
      <c r="F15">
        <v>0</v>
      </c>
      <c r="G15">
        <v>0</v>
      </c>
      <c r="H15">
        <v>0</v>
      </c>
      <c r="I15">
        <v>0</v>
      </c>
      <c r="J15">
        <v>0</v>
      </c>
      <c r="K15">
        <v>0</v>
      </c>
      <c r="L15">
        <v>0</v>
      </c>
    </row>
    <row r="17" spans="1:2" x14ac:dyDescent="0.25">
      <c r="A17" s="9" t="s">
        <v>435</v>
      </c>
      <c r="B17" s="9"/>
    </row>
    <row r="18" spans="1:2" x14ac:dyDescent="0.25">
      <c r="A18" t="s">
        <v>431</v>
      </c>
      <c r="B18">
        <f>IF('Initial Setup'!$B$3='Event Tracker'!A18,1,0)</f>
        <v>1</v>
      </c>
    </row>
    <row r="19" spans="1:2" x14ac:dyDescent="0.25">
      <c r="A19" t="s">
        <v>436</v>
      </c>
      <c r="B19">
        <f>IF('Initial Setup'!$B$3='Event Tracker'!A19,1,0)</f>
        <v>0</v>
      </c>
    </row>
    <row r="20" spans="1:2" x14ac:dyDescent="0.25">
      <c r="A20" t="s">
        <v>432</v>
      </c>
      <c r="B20">
        <f>IF('Initial Setup'!$B$3='Event Tracker'!A20,1,0)</f>
        <v>0</v>
      </c>
    </row>
    <row r="21" spans="1:2" x14ac:dyDescent="0.25">
      <c r="A21" t="s">
        <v>430</v>
      </c>
      <c r="B21">
        <f>IF('Initial Setup'!$B$3='Event Tracker'!A21,1,0)</f>
        <v>0</v>
      </c>
    </row>
    <row r="22" spans="1:2" x14ac:dyDescent="0.25">
      <c r="A22" t="s">
        <v>433</v>
      </c>
      <c r="B22">
        <f>IF('Initial Setup'!$B$3='Event Tracker'!A22,1,0)</f>
        <v>0</v>
      </c>
    </row>
    <row r="24" spans="1:2" x14ac:dyDescent="0.25">
      <c r="A24" s="165" t="s">
        <v>437</v>
      </c>
      <c r="B24" s="165"/>
    </row>
    <row r="25" spans="1:2" x14ac:dyDescent="0.25">
      <c r="A25" t="s">
        <v>438</v>
      </c>
      <c r="B25">
        <f>IF(OR(B18=1,B19=1),1,0)</f>
        <v>1</v>
      </c>
    </row>
    <row r="26" spans="1:2" x14ac:dyDescent="0.25">
      <c r="A26" t="s">
        <v>439</v>
      </c>
      <c r="B26">
        <f>IF(OR(B18=1,B19=1),1,0)</f>
        <v>1</v>
      </c>
    </row>
    <row r="27" spans="1:2" x14ac:dyDescent="0.25">
      <c r="A27" t="s">
        <v>440</v>
      </c>
      <c r="B27">
        <f>1</f>
        <v>1</v>
      </c>
    </row>
  </sheetData>
  <conditionalFormatting sqref="P1">
    <cfRule type="expression" dxfId="2" priority="1">
      <formula>$B$5="Not yet."</formula>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theme="0" tint="-0.249977111117893"/>
  </sheetPr>
  <dimension ref="A1:H13"/>
  <sheetViews>
    <sheetView tabSelected="1" zoomScale="85" zoomScaleNormal="85" workbookViewId="0">
      <selection activeCell="H2" sqref="H2"/>
    </sheetView>
  </sheetViews>
  <sheetFormatPr defaultRowHeight="15" x14ac:dyDescent="0.25"/>
  <cols>
    <col min="1" max="1" width="57.5703125" bestFit="1" customWidth="1"/>
    <col min="2" max="2" width="25.42578125" customWidth="1"/>
    <col min="3" max="3" width="17.5703125" customWidth="1"/>
    <col min="4" max="4" width="25.5703125" bestFit="1" customWidth="1"/>
    <col min="5" max="5" width="14" bestFit="1" customWidth="1"/>
    <col min="6" max="6" width="13.42578125" bestFit="1" customWidth="1"/>
    <col min="7" max="7" width="20.28515625" bestFit="1" customWidth="1"/>
  </cols>
  <sheetData>
    <row r="1" spans="1:8" ht="15.75" thickBot="1" x14ac:dyDescent="0.3">
      <c r="A1" s="1" t="s">
        <v>34</v>
      </c>
      <c r="B1" s="1" t="s">
        <v>0</v>
      </c>
      <c r="C1" s="1" t="s">
        <v>33</v>
      </c>
      <c r="D1" s="1" t="s">
        <v>69</v>
      </c>
      <c r="E1" s="1" t="s">
        <v>76</v>
      </c>
      <c r="F1" s="1" t="s">
        <v>270</v>
      </c>
      <c r="G1" s="1" t="s">
        <v>424</v>
      </c>
      <c r="H1" s="1" t="s">
        <v>464</v>
      </c>
    </row>
    <row r="2" spans="1:8" ht="15.75" thickBot="1" x14ac:dyDescent="0.3">
      <c r="A2" t="s">
        <v>278</v>
      </c>
      <c r="B2" t="s">
        <v>1</v>
      </c>
      <c r="C2" t="s">
        <v>4</v>
      </c>
      <c r="D2" t="s">
        <v>279</v>
      </c>
      <c r="E2" s="30">
        <f>'Event Tracker'!P1</f>
        <v>0</v>
      </c>
      <c r="F2" t="s">
        <v>271</v>
      </c>
      <c r="G2" t="s">
        <v>425</v>
      </c>
    </row>
    <row r="3" spans="1:8" x14ac:dyDescent="0.25">
      <c r="A3" t="s">
        <v>431</v>
      </c>
      <c r="B3" t="s">
        <v>2</v>
      </c>
      <c r="C3" t="s">
        <v>6</v>
      </c>
      <c r="D3" t="s">
        <v>70</v>
      </c>
      <c r="F3" t="s">
        <v>37</v>
      </c>
      <c r="G3" t="s">
        <v>426</v>
      </c>
    </row>
    <row r="4" spans="1:8" x14ac:dyDescent="0.25">
      <c r="A4" t="s">
        <v>436</v>
      </c>
      <c r="B4" t="s">
        <v>247</v>
      </c>
      <c r="C4" t="s">
        <v>5</v>
      </c>
      <c r="D4" t="s">
        <v>71</v>
      </c>
      <c r="F4" t="s">
        <v>72</v>
      </c>
    </row>
    <row r="5" spans="1:8" x14ac:dyDescent="0.25">
      <c r="A5" t="s">
        <v>432</v>
      </c>
      <c r="B5" t="s">
        <v>248</v>
      </c>
      <c r="C5" t="s">
        <v>288</v>
      </c>
      <c r="F5" t="s">
        <v>73</v>
      </c>
    </row>
    <row r="6" spans="1:8" x14ac:dyDescent="0.25">
      <c r="A6" t="s">
        <v>430</v>
      </c>
      <c r="B6" t="s">
        <v>3</v>
      </c>
      <c r="C6" t="s">
        <v>366</v>
      </c>
      <c r="F6" t="s">
        <v>74</v>
      </c>
    </row>
    <row r="7" spans="1:8" x14ac:dyDescent="0.25">
      <c r="A7" t="s">
        <v>433</v>
      </c>
      <c r="B7" t="s">
        <v>288</v>
      </c>
      <c r="F7" t="s">
        <v>75</v>
      </c>
    </row>
    <row r="8" spans="1:8" x14ac:dyDescent="0.25">
      <c r="B8" t="s">
        <v>302</v>
      </c>
      <c r="F8" t="s">
        <v>272</v>
      </c>
    </row>
    <row r="9" spans="1:8" x14ac:dyDescent="0.25">
      <c r="B9" t="s">
        <v>367</v>
      </c>
      <c r="F9" t="s">
        <v>273</v>
      </c>
    </row>
    <row r="10" spans="1:8" x14ac:dyDescent="0.25">
      <c r="F10" t="s">
        <v>274</v>
      </c>
    </row>
    <row r="11" spans="1:8" x14ac:dyDescent="0.25">
      <c r="F11" t="s">
        <v>275</v>
      </c>
    </row>
    <row r="12" spans="1:8" x14ac:dyDescent="0.25">
      <c r="F12" t="s">
        <v>276</v>
      </c>
    </row>
    <row r="13" spans="1:8" x14ac:dyDescent="0.25">
      <c r="F13" t="s">
        <v>278</v>
      </c>
    </row>
  </sheetData>
  <sortState xmlns:xlrd2="http://schemas.microsoft.com/office/spreadsheetml/2017/richdata2" ref="A2:A7">
    <sortCondition descending="1" ref="A2:A7"/>
  </sortState>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tabColor theme="5"/>
  </sheetPr>
  <dimension ref="A1:O22"/>
  <sheetViews>
    <sheetView workbookViewId="0">
      <selection activeCell="L23" sqref="L23"/>
    </sheetView>
  </sheetViews>
  <sheetFormatPr defaultRowHeight="15" x14ac:dyDescent="0.25"/>
  <cols>
    <col min="1" max="1" width="54.85546875" bestFit="1" customWidth="1"/>
    <col min="2" max="2" width="12.140625" customWidth="1"/>
    <col min="3" max="3" width="9.140625" customWidth="1"/>
    <col min="14" max="14" width="14" bestFit="1" customWidth="1"/>
  </cols>
  <sheetData>
    <row r="1" spans="1:15" ht="15.75" thickBot="1" x14ac:dyDescent="0.3">
      <c r="A1" s="1" t="s">
        <v>104</v>
      </c>
      <c r="B1" t="s">
        <v>121</v>
      </c>
      <c r="N1" t="s">
        <v>76</v>
      </c>
      <c r="O1" s="30">
        <f>'Event Tracker'!P1</f>
        <v>0</v>
      </c>
    </row>
    <row r="2" spans="1:15" x14ac:dyDescent="0.25">
      <c r="A2" s="52" t="s">
        <v>105</v>
      </c>
      <c r="B2" s="45">
        <v>0</v>
      </c>
      <c r="C2" s="45">
        <v>1</v>
      </c>
      <c r="D2" s="45">
        <v>2</v>
      </c>
      <c r="E2" s="45">
        <v>3</v>
      </c>
      <c r="F2" s="45">
        <v>4</v>
      </c>
      <c r="G2" s="45">
        <v>5</v>
      </c>
      <c r="H2" s="45">
        <v>6</v>
      </c>
      <c r="I2" s="45">
        <v>7</v>
      </c>
      <c r="J2" s="45">
        <v>8</v>
      </c>
      <c r="K2" s="45">
        <v>9</v>
      </c>
      <c r="L2" s="45">
        <v>10</v>
      </c>
    </row>
    <row r="3" spans="1:15" x14ac:dyDescent="0.25">
      <c r="A3" t="s">
        <v>106</v>
      </c>
      <c r="B3" s="8">
        <f>SUM('Utility Revenue'!B65,'Utility Revenue'!B69:B74,'Utility Revenue'!B76,'Utility Revenue'!B77,'Utility Revenue'!B78,'Utility Revenue'!B85:B87)/'Utility Revenue'!B91*'Utility Revenue'!B94</f>
        <v>3.9242263644444435E-2</v>
      </c>
      <c r="C3" s="8">
        <f>SUM('Utility Revenue'!C65,'Utility Revenue'!C69:C74,'Utility Revenue'!C76,'Utility Revenue'!C77,'Utility Revenue'!C78,'Utility Revenue'!C85:C87)/'Utility Revenue'!C91*'Utility Revenue'!C94</f>
        <v>3.9479902511363643E-2</v>
      </c>
      <c r="D3" s="8">
        <f>SUM('Utility Revenue'!D65,'Utility Revenue'!D69:D74,'Utility Revenue'!D76,'Utility Revenue'!D77,'Utility Revenue'!D78,'Utility Revenue'!D85:D87)/'Utility Revenue'!D91*'Utility Revenue'!D94</f>
        <v>4.118823428735633E-2</v>
      </c>
      <c r="E3" s="8">
        <f>SUM('Utility Revenue'!E65,'Utility Revenue'!E69:E74,'Utility Revenue'!E76,'Utility Revenue'!E77,'Utility Revenue'!E78,'Utility Revenue'!E85:E87)/'Utility Revenue'!E91*'Utility Revenue'!E94</f>
        <v>3.4248658894117649E-2</v>
      </c>
      <c r="F3" s="8">
        <f>SUM('Utility Revenue'!F65,'Utility Revenue'!F69:F74,'Utility Revenue'!F76,'Utility Revenue'!F77,'Utility Revenue'!F78,'Utility Revenue'!F85:F87)/'Utility Revenue'!F91*'Utility Revenue'!F94</f>
        <v>3.5031309855421688E-2</v>
      </c>
      <c r="G3" s="8">
        <f>SUM('Utility Revenue'!G65,'Utility Revenue'!G69:G74,'Utility Revenue'!G76,'Utility Revenue'!G77,'Utility Revenue'!G78,'Utility Revenue'!G85:G87)/'Utility Revenue'!G91*'Utility Revenue'!G94</f>
        <v>3.2951635595238095E-2</v>
      </c>
      <c r="H3" s="8">
        <f>SUM('Utility Revenue'!H65,'Utility Revenue'!H69:H74,'Utility Revenue'!H76,'Utility Revenue'!H77,'Utility Revenue'!H78,'Utility Revenue'!H85:H87)/'Utility Revenue'!H91*'Utility Revenue'!H94</f>
        <v>3.5281304658536593E-2</v>
      </c>
      <c r="I3" s="8">
        <f>SUM('Utility Revenue'!I65,'Utility Revenue'!I69:I74,'Utility Revenue'!I76,'Utility Revenue'!I77,'Utility Revenue'!I78,'Utility Revenue'!I85:I87)/'Utility Revenue'!I91*'Utility Revenue'!I94</f>
        <v>3.7727457174999993E-2</v>
      </c>
      <c r="J3" s="8">
        <f>SUM('Utility Revenue'!J65,'Utility Revenue'!J69:J74,'Utility Revenue'!J76,'Utility Revenue'!J77,'Utility Revenue'!J78,'Utility Revenue'!J85:J87)/'Utility Revenue'!J91*'Utility Revenue'!J94</f>
        <v>3.7740471682926831E-2</v>
      </c>
      <c r="K3" s="8">
        <f>SUM('Utility Revenue'!K65,'Utility Revenue'!K69:K74,'Utility Revenue'!K76,'Utility Revenue'!K77,'Utility Revenue'!K78,'Utility Revenue'!K85:K87)/'Utility Revenue'!K91*'Utility Revenue'!K94</f>
        <v>3.8756093432098765E-2</v>
      </c>
      <c r="L3" s="8">
        <f>SUM('Utility Revenue'!L65,'Utility Revenue'!L69:L74,'Utility Revenue'!L76,'Utility Revenue'!L77,'Utility Revenue'!L78,'Utility Revenue'!L85:L87)/'Utility Revenue'!L91*'Utility Revenue'!L94</f>
        <v>3.9868587325000003E-2</v>
      </c>
    </row>
    <row r="4" spans="1:15" x14ac:dyDescent="0.25">
      <c r="A4" t="s">
        <v>107</v>
      </c>
      <c r="B4" s="8">
        <f>SUM('Utility Revenue'!B66,'Utility Revenue'!B80,'Utility Revenue'!B89)/'Utility Revenue'!B91*'Utility Revenue'!B94</f>
        <v>1.1643495667434464E-2</v>
      </c>
      <c r="C4" s="8">
        <f>SUM('Utility Revenue'!C66,'Utility Revenue'!C80,'Utility Revenue'!C89)/'Utility Revenue'!C91*'Utility Revenue'!C94</f>
        <v>1.1908120568967066E-2</v>
      </c>
      <c r="D4" s="8">
        <f>SUM('Utility Revenue'!D66,'Utility Revenue'!D80,'Utility Revenue'!D89)/'Utility Revenue'!D91*'Utility Revenue'!D94</f>
        <v>1.2044995518035652E-2</v>
      </c>
      <c r="E4" s="8">
        <f>SUM('Utility Revenue'!E66,'Utility Revenue'!E80,'Utility Revenue'!E89)/'Utility Revenue'!E91*'Utility Revenue'!E94</f>
        <v>1.232840717728355E-2</v>
      </c>
      <c r="F4" s="8">
        <f>SUM('Utility Revenue'!F66,'Utility Revenue'!F80,'Utility Revenue'!F89)/'Utility Revenue'!F91*'Utility Revenue'!F94</f>
        <v>1.2625477229748215E-2</v>
      </c>
      <c r="G4" s="8">
        <f>SUM('Utility Revenue'!G66,'Utility Revenue'!G80,'Utility Revenue'!G89)/'Utility Revenue'!G91*'Utility Revenue'!G94</f>
        <v>1.2475173929394068E-2</v>
      </c>
      <c r="H4" s="8">
        <f>SUM('Utility Revenue'!H66,'Utility Revenue'!H80,'Utility Revenue'!H89)/'Utility Revenue'!H91*'Utility Revenue'!H94</f>
        <v>1.2779446464257339E-2</v>
      </c>
      <c r="I4" s="8">
        <f>SUM('Utility Revenue'!I66,'Utility Revenue'!I80,'Utility Revenue'!I89)/'Utility Revenue'!I91*'Utility Revenue'!I94</f>
        <v>1.3098932625863771E-2</v>
      </c>
      <c r="J4" s="8">
        <f>SUM('Utility Revenue'!J66,'Utility Revenue'!J80,'Utility Revenue'!J89)/'Utility Revenue'!J91*'Utility Revenue'!J94</f>
        <v>1.2779446464257339E-2</v>
      </c>
      <c r="K4" s="8">
        <f>SUM('Utility Revenue'!K66,'Utility Revenue'!K80,'Utility Revenue'!K89)/'Utility Revenue'!K91*'Utility Revenue'!K94</f>
        <v>1.2937217408260515E-2</v>
      </c>
      <c r="L4" s="8">
        <f>SUM('Utility Revenue'!L66,'Utility Revenue'!L80,'Utility Revenue'!L89)/'Utility Revenue'!L91*'Utility Revenue'!L94</f>
        <v>1.3098932625863773E-2</v>
      </c>
    </row>
    <row r="5" spans="1:15" x14ac:dyDescent="0.25">
      <c r="A5" s="22" t="s">
        <v>108</v>
      </c>
      <c r="B5" s="51">
        <f>SUM('Utility Revenue'!B67,'Utility Revenue'!B79,'Utility Revenue'!B81,'Utility Revenue'!B90)/'Utility Revenue'!B91*'Utility Revenue'!B94</f>
        <v>8.3804444444444438E-3</v>
      </c>
      <c r="C5" s="51">
        <f>SUM('Utility Revenue'!C67,'Utility Revenue'!C79,'Utility Revenue'!C81,'Utility Revenue'!C90)/'Utility Revenue'!C91*'Utility Revenue'!C94</f>
        <v>8.5709090909090908E-3</v>
      </c>
      <c r="D5" s="51">
        <f>SUM('Utility Revenue'!D67,'Utility Revenue'!D79,'Utility Revenue'!D81,'Utility Revenue'!D90)/'Utility Revenue'!D91*'Utility Revenue'!D94</f>
        <v>8.6694252873563225E-3</v>
      </c>
      <c r="E5" s="51">
        <f>SUM('Utility Revenue'!E67,'Utility Revenue'!E79,'Utility Revenue'!E81,'Utility Revenue'!E90)/'Utility Revenue'!E91*'Utility Revenue'!E94</f>
        <v>8.8734117647058831E-3</v>
      </c>
      <c r="F5" s="51">
        <f>SUM('Utility Revenue'!F67,'Utility Revenue'!F79,'Utility Revenue'!F81,'Utility Revenue'!F90)/'Utility Revenue'!F91*'Utility Revenue'!F94</f>
        <v>9.0872289156626509E-3</v>
      </c>
      <c r="G5" s="51">
        <f>SUM('Utility Revenue'!G67,'Utility Revenue'!G79,'Utility Revenue'!G81,'Utility Revenue'!G90)/'Utility Revenue'!G91*'Utility Revenue'!G94</f>
        <v>8.9790476190476191E-3</v>
      </c>
      <c r="H5" s="51">
        <f>SUM('Utility Revenue'!H67,'Utility Revenue'!H79,'Utility Revenue'!H81,'Utility Revenue'!H90)/'Utility Revenue'!H91*'Utility Revenue'!H94</f>
        <v>9.1980487804878067E-3</v>
      </c>
      <c r="I5" s="51">
        <f>SUM('Utility Revenue'!I67,'Utility Revenue'!I79,'Utility Revenue'!I81,'Utility Revenue'!I90)/'Utility Revenue'!I91*'Utility Revenue'!I94</f>
        <v>9.4280000000000006E-3</v>
      </c>
      <c r="J5" s="51">
        <f>SUM('Utility Revenue'!J67,'Utility Revenue'!J79,'Utility Revenue'!J81,'Utility Revenue'!J90)/'Utility Revenue'!J91*'Utility Revenue'!J94</f>
        <v>9.1980487804878049E-3</v>
      </c>
      <c r="K5" s="51">
        <f>SUM('Utility Revenue'!K67,'Utility Revenue'!K79,'Utility Revenue'!K81,'Utility Revenue'!K90)/'Utility Revenue'!K91*'Utility Revenue'!K94</f>
        <v>9.3116049382716056E-3</v>
      </c>
      <c r="L5" s="51">
        <f>SUM('Utility Revenue'!L67,'Utility Revenue'!L79,'Utility Revenue'!L81,'Utility Revenue'!L90)/'Utility Revenue'!L91*'Utility Revenue'!L94</f>
        <v>9.4280000000000006E-3</v>
      </c>
    </row>
    <row r="6" spans="1:15" x14ac:dyDescent="0.25">
      <c r="A6" s="53" t="s">
        <v>117</v>
      </c>
      <c r="B6" s="54">
        <f>INDEX('Utility Revenue'!$B$98:$L$98,1,MATCH('Customer Bills'!B$2,'Utility Revenue'!$B$97:$L$97,0))*1000/INDEX('Game Assumptions'!$B$82:$L$82,1,MATCH('Customer Bills'!B$2,'Game Assumptions'!$B$81:$L$81,0))</f>
        <v>1125</v>
      </c>
      <c r="C6" s="54">
        <f>INDEX('Utility Revenue'!$B$98:$L$98,1,MATCH('Customer Bills'!C$2,'Utility Revenue'!$B$97:$L$97,0))*1000/INDEX('Game Assumptions'!$B$82:$L$82,1,MATCH('Customer Bills'!C$2,'Game Assumptions'!$B$81:$L$81,0))</f>
        <v>1056</v>
      </c>
      <c r="D6" s="54">
        <f>INDEX('Utility Revenue'!$B$98:$L$98,1,MATCH('Customer Bills'!D$2,'Utility Revenue'!$B$97:$L$97,0))*1000/INDEX('Game Assumptions'!$B$82:$L$82,1,MATCH('Customer Bills'!D$2,'Game Assumptions'!$B$81:$L$81,0))</f>
        <v>1141.875</v>
      </c>
      <c r="E6" s="54">
        <f>INDEX('Utility Revenue'!$B$98:$L$98,1,MATCH('Customer Bills'!E$2,'Utility Revenue'!$B$97:$L$97,0))*1000/INDEX('Game Assumptions'!$B$82:$L$82,1,MATCH('Customer Bills'!E$2,'Game Assumptions'!$B$81:$L$81,0))</f>
        <v>1105</v>
      </c>
      <c r="F6" s="54">
        <f>INDEX('Utility Revenue'!$B$98:$L$98,1,MATCH('Customer Bills'!F$2,'Utility Revenue'!$B$97:$L$97,0))*1000/INDEX('Game Assumptions'!$B$82:$L$82,1,MATCH('Customer Bills'!F$2,'Game Assumptions'!$B$81:$L$81,0))</f>
        <v>1089.375</v>
      </c>
      <c r="G6" s="54">
        <f>INDEX('Utility Revenue'!$B$98:$L$98,1,MATCH('Customer Bills'!G$2,'Utility Revenue'!$B$97:$L$97,0))*1000/INDEX('Game Assumptions'!$B$82:$L$82,1,MATCH('Customer Bills'!G$2,'Game Assumptions'!$B$81:$L$81,0))</f>
        <v>1071</v>
      </c>
      <c r="H6" s="54">
        <f>INDEX('Utility Revenue'!$B$98:$L$98,1,MATCH('Customer Bills'!H$2,'Utility Revenue'!$B$97:$L$97,0))*1000/INDEX('Game Assumptions'!$B$82:$L$82,1,MATCH('Customer Bills'!H$2,'Game Assumptions'!$B$81:$L$81,0))</f>
        <v>994.25</v>
      </c>
      <c r="I6" s="54">
        <f>INDEX('Utility Revenue'!$B$98:$L$98,1,MATCH('Customer Bills'!I$2,'Utility Revenue'!$B$97:$L$97,0))*1000/INDEX('Game Assumptions'!$B$82:$L$82,1,MATCH('Customer Bills'!I$2,'Game Assumptions'!$B$81:$L$81,0))</f>
        <v>1050</v>
      </c>
      <c r="J6" s="54">
        <f>INDEX('Utility Revenue'!$B$98:$L$98,1,MATCH('Customer Bills'!J$2,'Utility Revenue'!$B$97:$L$97,0))*1000/INDEX('Game Assumptions'!$B$82:$L$82,1,MATCH('Customer Bills'!J$2,'Game Assumptions'!$B$81:$L$81,0))</f>
        <v>1014.75</v>
      </c>
      <c r="K6" s="54">
        <f>INDEX('Utility Revenue'!$B$98:$L$98,1,MATCH('Customer Bills'!K$2,'Utility Revenue'!$B$97:$L$97,0))*1000/INDEX('Game Assumptions'!$B$82:$L$82,1,MATCH('Customer Bills'!K$2,'Game Assumptions'!$B$81:$L$81,0))</f>
        <v>972</v>
      </c>
      <c r="L6" s="54">
        <f>INDEX('Utility Revenue'!$B$98:$L$98,1,MATCH('Customer Bills'!L$2,'Utility Revenue'!$B$97:$L$97,0))*1000/INDEX('Game Assumptions'!$B$82:$L$82,1,MATCH('Customer Bills'!L$2,'Game Assumptions'!$B$81:$L$81,0))</f>
        <v>1000</v>
      </c>
    </row>
    <row r="7" spans="1:15" ht="15.75" thickBot="1" x14ac:dyDescent="0.3">
      <c r="A7" s="55" t="s">
        <v>112</v>
      </c>
      <c r="B7" s="56">
        <f>B6*SUM(B3:B5)</f>
        <v>66.674479225863763</v>
      </c>
      <c r="C7" s="56">
        <f t="shared" ref="C7:L7" si="0">C6*SUM(C3:C5)</f>
        <v>63.316632372829218</v>
      </c>
      <c r="D7" s="56">
        <f t="shared" si="0"/>
        <v>70.685094284031962</v>
      </c>
      <c r="E7" s="56">
        <f t="shared" si="0"/>
        <v>61.272778008898328</v>
      </c>
      <c r="F7" s="56">
        <f t="shared" si="0"/>
        <v>61.815512430906971</v>
      </c>
      <c r="G7" s="56">
        <f t="shared" si="0"/>
        <v>58.268673000881044</v>
      </c>
      <c r="H7" s="56">
        <f t="shared" si="0"/>
        <v>56.929561803837871</v>
      </c>
      <c r="I7" s="56">
        <f t="shared" si="0"/>
        <v>63.267109290906951</v>
      </c>
      <c r="J7" s="56">
        <f t="shared" si="0"/>
        <v>60.598806939855137</v>
      </c>
      <c r="K7" s="56">
        <f t="shared" si="0"/>
        <v>59.296778136829225</v>
      </c>
      <c r="L7" s="56">
        <f t="shared" si="0"/>
        <v>62.395519950863772</v>
      </c>
    </row>
    <row r="8" spans="1:15" ht="15.75" thickTop="1" x14ac:dyDescent="0.25">
      <c r="A8" s="57" t="s">
        <v>109</v>
      </c>
      <c r="B8" s="58"/>
      <c r="C8" s="58"/>
      <c r="D8" s="58"/>
      <c r="E8" s="58"/>
      <c r="F8" s="58"/>
      <c r="G8" s="58"/>
      <c r="H8" s="58"/>
      <c r="I8" s="58"/>
      <c r="J8" s="58"/>
      <c r="K8" s="58"/>
      <c r="L8" s="58"/>
    </row>
    <row r="9" spans="1:15" x14ac:dyDescent="0.25">
      <c r="A9" t="s">
        <v>110</v>
      </c>
      <c r="B9" s="15">
        <f>INDEX('Utility Revenue'!$B$59:$L$59,1,MATCH('Customer Bills'!B$2,'Utility Revenue'!$B$38:$L$38,0))</f>
        <v>9.375</v>
      </c>
      <c r="C9" s="15">
        <f>INDEX('Utility Revenue'!$B$59:$L$59,1,MATCH('Customer Bills'!C$2,'Utility Revenue'!$B$38:$L$38,0))</f>
        <v>9.375</v>
      </c>
      <c r="D9" s="15">
        <f>INDEX('Utility Revenue'!$B$59:$L$59,1,MATCH('Customer Bills'!D$2,'Utility Revenue'!$B$38:$L$38,0))</f>
        <v>9.375</v>
      </c>
      <c r="E9" s="15">
        <f>INDEX('Utility Revenue'!$B$59:$L$59,1,MATCH('Customer Bills'!E$2,'Utility Revenue'!$B$38:$L$38,0))</f>
        <v>9.375</v>
      </c>
      <c r="F9" s="15">
        <f>INDEX('Utility Revenue'!$B$59:$L$59,1,MATCH('Customer Bills'!F$2,'Utility Revenue'!$B$38:$L$38,0))</f>
        <v>9.375</v>
      </c>
      <c r="G9" s="15">
        <f>INDEX('Utility Revenue'!$B$59:$L$59,1,MATCH('Customer Bills'!G$2,'Utility Revenue'!$B$38:$L$38,0))</f>
        <v>9.375</v>
      </c>
      <c r="H9" s="15">
        <f>INDEX('Utility Revenue'!$B$59:$L$59,1,MATCH('Customer Bills'!H$2,'Utility Revenue'!$B$38:$L$38,0))</f>
        <v>9.375</v>
      </c>
      <c r="I9" s="15">
        <f>INDEX('Utility Revenue'!$B$59:$L$59,1,MATCH('Customer Bills'!I$2,'Utility Revenue'!$B$38:$L$38,0))</f>
        <v>9.375</v>
      </c>
      <c r="J9" s="15">
        <f>INDEX('Utility Revenue'!$B$59:$L$59,1,MATCH('Customer Bills'!J$2,'Utility Revenue'!$B$38:$L$38,0))</f>
        <v>9.375</v>
      </c>
      <c r="K9" s="15">
        <f>INDEX('Utility Revenue'!$B$59:$L$59,1,MATCH('Customer Bills'!K$2,'Utility Revenue'!$B$38:$L$38,0))</f>
        <v>9.375</v>
      </c>
      <c r="L9" s="15">
        <f>INDEX('Utility Revenue'!$B$59:$L$59,1,MATCH('Customer Bills'!L$2,'Utility Revenue'!$B$38:$L$38,0))</f>
        <v>9.375</v>
      </c>
    </row>
    <row r="10" spans="1:15" x14ac:dyDescent="0.25">
      <c r="A10" s="22" t="s">
        <v>111</v>
      </c>
      <c r="B10" s="59">
        <f>'Game Assumptions'!$B$8</f>
        <v>5</v>
      </c>
      <c r="C10" s="59">
        <f>'Game Assumptions'!$B$8</f>
        <v>5</v>
      </c>
      <c r="D10" s="59">
        <f>'Game Assumptions'!$B$8</f>
        <v>5</v>
      </c>
      <c r="E10" s="59">
        <f>'Game Assumptions'!$B$8</f>
        <v>5</v>
      </c>
      <c r="F10" s="59">
        <f>'Game Assumptions'!$B$8</f>
        <v>5</v>
      </c>
      <c r="G10" s="59">
        <f>'Game Assumptions'!$B$8</f>
        <v>5</v>
      </c>
      <c r="H10" s="59">
        <f>'Game Assumptions'!$B$8</f>
        <v>5</v>
      </c>
      <c r="I10" s="59">
        <f>'Game Assumptions'!$B$8</f>
        <v>5</v>
      </c>
      <c r="J10" s="59">
        <f>'Game Assumptions'!$B$8</f>
        <v>5</v>
      </c>
      <c r="K10" s="59">
        <f>'Game Assumptions'!$B$8</f>
        <v>5</v>
      </c>
      <c r="L10" s="59">
        <f>'Game Assumptions'!$B$8</f>
        <v>5</v>
      </c>
    </row>
    <row r="11" spans="1:15" ht="15.75" thickBot="1" x14ac:dyDescent="0.3">
      <c r="A11" s="55" t="s">
        <v>113</v>
      </c>
      <c r="B11" s="56">
        <f>SUM(B9:B10)</f>
        <v>14.375</v>
      </c>
      <c r="C11" s="56">
        <f t="shared" ref="C11:L11" si="1">SUM(C9:C10)</f>
        <v>14.375</v>
      </c>
      <c r="D11" s="56">
        <f t="shared" si="1"/>
        <v>14.375</v>
      </c>
      <c r="E11" s="56">
        <f t="shared" si="1"/>
        <v>14.375</v>
      </c>
      <c r="F11" s="56">
        <f t="shared" si="1"/>
        <v>14.375</v>
      </c>
      <c r="G11" s="56">
        <f t="shared" si="1"/>
        <v>14.375</v>
      </c>
      <c r="H11" s="56">
        <f t="shared" si="1"/>
        <v>14.375</v>
      </c>
      <c r="I11" s="56">
        <f t="shared" si="1"/>
        <v>14.375</v>
      </c>
      <c r="J11" s="56">
        <f t="shared" si="1"/>
        <v>14.375</v>
      </c>
      <c r="K11" s="56">
        <f t="shared" si="1"/>
        <v>14.375</v>
      </c>
      <c r="L11" s="56">
        <f t="shared" si="1"/>
        <v>14.375</v>
      </c>
    </row>
    <row r="12" spans="1:15" ht="16.5" thickTop="1" thickBot="1" x14ac:dyDescent="0.3">
      <c r="A12" s="60" t="s">
        <v>114</v>
      </c>
      <c r="B12" s="61">
        <f>B11+B7</f>
        <v>81.049479225863763</v>
      </c>
      <c r="C12" s="61">
        <f t="shared" ref="C12:L12" si="2">C11+C7</f>
        <v>77.691632372829218</v>
      </c>
      <c r="D12" s="61">
        <f t="shared" si="2"/>
        <v>85.060094284031962</v>
      </c>
      <c r="E12" s="61">
        <f t="shared" si="2"/>
        <v>75.647778008898328</v>
      </c>
      <c r="F12" s="61">
        <f t="shared" si="2"/>
        <v>76.190512430906978</v>
      </c>
      <c r="G12" s="61">
        <f t="shared" si="2"/>
        <v>72.643673000881051</v>
      </c>
      <c r="H12" s="61">
        <f t="shared" si="2"/>
        <v>71.304561803837871</v>
      </c>
      <c r="I12" s="61">
        <f t="shared" si="2"/>
        <v>77.642109290906944</v>
      </c>
      <c r="J12" s="61">
        <f t="shared" si="2"/>
        <v>74.973806939855137</v>
      </c>
      <c r="K12" s="61">
        <f t="shared" si="2"/>
        <v>73.671778136829232</v>
      </c>
      <c r="L12" s="61">
        <f t="shared" si="2"/>
        <v>76.770519950863772</v>
      </c>
    </row>
    <row r="13" spans="1:15" ht="15.75" thickTop="1" x14ac:dyDescent="0.25"/>
    <row r="15" spans="1:15" x14ac:dyDescent="0.25">
      <c r="A15" s="9" t="s">
        <v>459</v>
      </c>
      <c r="B15" s="9">
        <v>0</v>
      </c>
      <c r="C15" s="9">
        <v>1</v>
      </c>
      <c r="D15" s="9">
        <v>2</v>
      </c>
      <c r="E15" s="9">
        <v>3</v>
      </c>
      <c r="F15" s="9">
        <v>4</v>
      </c>
      <c r="G15" s="9">
        <v>5</v>
      </c>
      <c r="H15" s="9">
        <v>6</v>
      </c>
      <c r="I15" s="9">
        <v>7</v>
      </c>
      <c r="J15" s="9">
        <v>8</v>
      </c>
      <c r="K15" s="9">
        <v>9</v>
      </c>
      <c r="L15" s="9">
        <v>10</v>
      </c>
    </row>
    <row r="16" spans="1:15" x14ac:dyDescent="0.25">
      <c r="A16" s="17" t="s">
        <v>460</v>
      </c>
      <c r="B16" s="49">
        <f>B12</f>
        <v>81.049479225863763</v>
      </c>
      <c r="C16" s="49">
        <f>($L$16-$B$16)/COUNT($C$15:$L$15)+B16</f>
        <v>79.444531303277387</v>
      </c>
      <c r="D16" s="49">
        <f t="shared" ref="D16:K16" si="3">($L$16-$B$16)/COUNT($C$15:$L$15)+C16</f>
        <v>77.83958338069101</v>
      </c>
      <c r="E16" s="49">
        <f t="shared" si="3"/>
        <v>76.234635458104634</v>
      </c>
      <c r="F16" s="49">
        <f t="shared" si="3"/>
        <v>74.629687535518258</v>
      </c>
      <c r="G16" s="49">
        <f t="shared" si="3"/>
        <v>73.024739612931882</v>
      </c>
      <c r="H16" s="49">
        <f t="shared" si="3"/>
        <v>71.419791690345505</v>
      </c>
      <c r="I16" s="49">
        <f t="shared" si="3"/>
        <v>69.814843767759129</v>
      </c>
      <c r="J16" s="49">
        <f t="shared" si="3"/>
        <v>68.209895845172753</v>
      </c>
      <c r="K16" s="49">
        <f t="shared" si="3"/>
        <v>66.604947922586376</v>
      </c>
      <c r="L16" s="15">
        <f>'Game Assumptions'!B162</f>
        <v>65</v>
      </c>
    </row>
    <row r="17" spans="1:12" x14ac:dyDescent="0.25">
      <c r="A17" s="17" t="s">
        <v>461</v>
      </c>
      <c r="B17" s="49">
        <f>B16</f>
        <v>81.049479225863763</v>
      </c>
      <c r="C17" s="49">
        <f>AVERAGE(B16,C16)</f>
        <v>80.247005264570575</v>
      </c>
      <c r="D17" s="49">
        <f t="shared" ref="D17:K17" si="4">AVERAGE(C16,D16)</f>
        <v>78.642057341984199</v>
      </c>
      <c r="E17" s="49">
        <f t="shared" si="4"/>
        <v>77.037109419397822</v>
      </c>
      <c r="F17" s="49">
        <f t="shared" si="4"/>
        <v>75.432161496811446</v>
      </c>
      <c r="G17" s="49">
        <f t="shared" si="4"/>
        <v>73.82721357422507</v>
      </c>
      <c r="H17" s="49">
        <f t="shared" si="4"/>
        <v>72.222265651638693</v>
      </c>
      <c r="I17" s="49">
        <f t="shared" si="4"/>
        <v>70.617317729052317</v>
      </c>
      <c r="J17" s="49">
        <f t="shared" si="4"/>
        <v>69.012369806465941</v>
      </c>
      <c r="K17" s="49">
        <f t="shared" si="4"/>
        <v>67.407421883879564</v>
      </c>
      <c r="L17" s="49">
        <f>AVERAGE(K16,L16)</f>
        <v>65.802473961293188</v>
      </c>
    </row>
    <row r="18" spans="1:12" x14ac:dyDescent="0.25">
      <c r="A18" s="17"/>
    </row>
    <row r="19" spans="1:12" x14ac:dyDescent="0.25">
      <c r="A19" s="17"/>
    </row>
    <row r="20" spans="1:12" x14ac:dyDescent="0.25">
      <c r="A20" s="17"/>
    </row>
    <row r="21" spans="1:12" x14ac:dyDescent="0.25">
      <c r="A21" s="17"/>
    </row>
    <row r="22" spans="1:12" x14ac:dyDescent="0.25">
      <c r="A22" s="1"/>
      <c r="B22" s="1"/>
      <c r="C22" s="1"/>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theme="5"/>
  </sheetPr>
  <dimension ref="A1:O10"/>
  <sheetViews>
    <sheetView workbookViewId="0">
      <selection activeCell="E26" sqref="E26"/>
    </sheetView>
  </sheetViews>
  <sheetFormatPr defaultRowHeight="15" x14ac:dyDescent="0.25"/>
  <cols>
    <col min="1" max="1" width="27.140625" bestFit="1" customWidth="1"/>
    <col min="14" max="14" width="14" bestFit="1" customWidth="1"/>
  </cols>
  <sheetData>
    <row r="1" spans="1:15" ht="15.75" thickBot="1" x14ac:dyDescent="0.3">
      <c r="A1" s="9" t="s">
        <v>139</v>
      </c>
      <c r="B1" s="9">
        <v>0</v>
      </c>
      <c r="C1" s="9">
        <v>1</v>
      </c>
      <c r="D1" s="9">
        <v>2</v>
      </c>
      <c r="E1" s="9">
        <v>3</v>
      </c>
      <c r="F1" s="9">
        <v>4</v>
      </c>
      <c r="G1" s="9">
        <v>5</v>
      </c>
      <c r="H1" s="9">
        <v>6</v>
      </c>
      <c r="I1" s="9">
        <v>7</v>
      </c>
      <c r="J1" s="9">
        <v>8</v>
      </c>
      <c r="K1" s="9">
        <v>9</v>
      </c>
      <c r="L1" s="9">
        <v>10</v>
      </c>
      <c r="N1" s="117" t="s">
        <v>277</v>
      </c>
      <c r="O1" s="117">
        <f>Current_Round</f>
        <v>0</v>
      </c>
    </row>
    <row r="2" spans="1:15" x14ac:dyDescent="0.25">
      <c r="A2" t="s">
        <v>140</v>
      </c>
      <c r="B2">
        <f>SUMPRODUCT(Dispatch!B118:B119,'Game Assumptions'!$K$28:$K$29)</f>
        <v>3993161.4</v>
      </c>
      <c r="C2">
        <f>SUMPRODUCT(Dispatch!C118:C119,'Game Assumptions'!$K$28:$K$29)</f>
        <v>2908830.75</v>
      </c>
      <c r="D2">
        <f>SUMPRODUCT(Dispatch!D118:D119,'Game Assumptions'!$K$28:$K$29)</f>
        <v>3311216.25</v>
      </c>
      <c r="E2">
        <f>SUMPRODUCT(Dispatch!E118:E119,'Game Assumptions'!$K$28:$K$29)</f>
        <v>3673944</v>
      </c>
      <c r="F2">
        <f>SUMPRODUCT(Dispatch!F118:F119,'Game Assumptions'!$K$28:$K$29)</f>
        <v>3673944</v>
      </c>
      <c r="G2">
        <f>SUMPRODUCT(Dispatch!G118:G119,'Game Assumptions'!$K$28:$K$29)</f>
        <v>3108924</v>
      </c>
      <c r="H2">
        <f>SUMPRODUCT(Dispatch!H118:H119,'Game Assumptions'!$K$28:$K$29)</f>
        <v>3108924</v>
      </c>
      <c r="I2">
        <f>SUMPRODUCT(Dispatch!I118:I119,'Game Assumptions'!$K$28:$K$29)</f>
        <v>3108924</v>
      </c>
      <c r="J2">
        <f>SUMPRODUCT(Dispatch!J118:J119,'Game Assumptions'!$K$28:$K$29)</f>
        <v>3108924</v>
      </c>
      <c r="K2">
        <f>SUMPRODUCT(Dispatch!K118:K119,'Game Assumptions'!$K$28:$K$29)</f>
        <v>3108924</v>
      </c>
      <c r="L2">
        <f>SUMPRODUCT(Dispatch!L118:L119,'Game Assumptions'!$K$28:$K$29)</f>
        <v>3108924</v>
      </c>
    </row>
    <row r="3" spans="1:15" x14ac:dyDescent="0.25">
      <c r="A3" t="s">
        <v>365</v>
      </c>
      <c r="B3">
        <f>B2*2000/Dispatch!B106</f>
        <v>898.29849839716553</v>
      </c>
      <c r="C3">
        <f>C2*2000/Dispatch!C106</f>
        <v>698.971846063459</v>
      </c>
      <c r="D3">
        <f>D2*2000/Dispatch!D106</f>
        <v>736.78611123163853</v>
      </c>
      <c r="E3">
        <f>E2*2000/Dispatch!E106</f>
        <v>848.01588034345855</v>
      </c>
      <c r="F3">
        <f>F2*2000/Dispatch!F106</f>
        <v>863.97358655623441</v>
      </c>
      <c r="G3">
        <f>G2*2000/Dispatch!G106</f>
        <v>747.68348334265249</v>
      </c>
      <c r="H3">
        <f>H2*2000/Dispatch!H106</f>
        <v>812.36900588844742</v>
      </c>
      <c r="I3">
        <f>I2*2000/Dispatch!I106</f>
        <v>772.8623953105074</v>
      </c>
      <c r="J3">
        <f>J2*2000/Dispatch!J106</f>
        <v>807.3135200405095</v>
      </c>
      <c r="K3">
        <f>K2*2000/Dispatch!K106</f>
        <v>852.69329032735834</v>
      </c>
      <c r="L3">
        <f>L2*2000/Dispatch!L106</f>
        <v>835.55818344296551</v>
      </c>
    </row>
    <row r="5" spans="1:15" x14ac:dyDescent="0.25">
      <c r="A5" s="9" t="s">
        <v>456</v>
      </c>
      <c r="B5" s="9">
        <v>0</v>
      </c>
      <c r="C5" s="9">
        <v>1</v>
      </c>
      <c r="D5" s="9">
        <v>2</v>
      </c>
      <c r="E5" s="9">
        <v>3</v>
      </c>
      <c r="F5" s="9">
        <v>4</v>
      </c>
      <c r="G5" s="9">
        <v>5</v>
      </c>
      <c r="H5" s="9">
        <v>6</v>
      </c>
      <c r="I5" s="9">
        <v>7</v>
      </c>
      <c r="J5" s="9">
        <v>8</v>
      </c>
      <c r="K5" s="9">
        <v>9</v>
      </c>
      <c r="L5" s="9">
        <v>10</v>
      </c>
    </row>
    <row r="6" spans="1:15" x14ac:dyDescent="0.25">
      <c r="A6" t="s">
        <v>457</v>
      </c>
      <c r="B6" s="16">
        <f>B3</f>
        <v>898.29849839716553</v>
      </c>
      <c r="C6" s="16">
        <f>B6-($B$6-$L$6)/COUNT($C$5:$L$5)</f>
        <v>880.36864855744898</v>
      </c>
      <c r="D6" s="16">
        <f t="shared" ref="D6:K6" si="0">C6-($B$6-$L$6)/COUNT($C$5:$L$5)</f>
        <v>862.43879871773242</v>
      </c>
      <c r="E6" s="16">
        <f t="shared" si="0"/>
        <v>844.50894887801587</v>
      </c>
      <c r="F6" s="16">
        <f t="shared" si="0"/>
        <v>826.57909903829932</v>
      </c>
      <c r="G6" s="16">
        <f t="shared" si="0"/>
        <v>808.64924919858277</v>
      </c>
      <c r="H6" s="16">
        <f t="shared" si="0"/>
        <v>790.71939935886621</v>
      </c>
      <c r="I6" s="16">
        <f t="shared" si="0"/>
        <v>772.78954951914966</v>
      </c>
      <c r="J6" s="16">
        <f t="shared" si="0"/>
        <v>754.85969967943311</v>
      </c>
      <c r="K6" s="16">
        <f t="shared" si="0"/>
        <v>736.92984983971655</v>
      </c>
      <c r="L6">
        <f>'Game Assumptions'!B160</f>
        <v>719</v>
      </c>
    </row>
    <row r="7" spans="1:15" x14ac:dyDescent="0.25">
      <c r="A7" t="s">
        <v>458</v>
      </c>
      <c r="B7">
        <v>898</v>
      </c>
      <c r="C7" s="16">
        <f>AVERAGE(B6:C6)</f>
        <v>889.33357347730725</v>
      </c>
      <c r="D7" s="16">
        <f t="shared" ref="D7:L7" si="1">AVERAGE(C6:D6)</f>
        <v>871.4037236375907</v>
      </c>
      <c r="E7" s="16">
        <f t="shared" si="1"/>
        <v>853.47387379787415</v>
      </c>
      <c r="F7" s="16">
        <f t="shared" si="1"/>
        <v>835.5440239581576</v>
      </c>
      <c r="G7" s="16">
        <f t="shared" si="1"/>
        <v>817.61417411844104</v>
      </c>
      <c r="H7" s="16">
        <f t="shared" si="1"/>
        <v>799.68432427872449</v>
      </c>
      <c r="I7" s="16">
        <f t="shared" si="1"/>
        <v>781.75447443900794</v>
      </c>
      <c r="J7" s="16">
        <f t="shared" si="1"/>
        <v>763.82462459929138</v>
      </c>
      <c r="K7" s="16">
        <f t="shared" si="1"/>
        <v>745.89477475957483</v>
      </c>
      <c r="L7" s="16">
        <f t="shared" si="1"/>
        <v>727.96492491985828</v>
      </c>
    </row>
    <row r="9" spans="1:15" x14ac:dyDescent="0.25">
      <c r="A9" s="15"/>
    </row>
    <row r="10" spans="1:15" x14ac:dyDescent="0.25">
      <c r="A10" s="16"/>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tabColor theme="5"/>
  </sheetPr>
  <dimension ref="A1:O101"/>
  <sheetViews>
    <sheetView topLeftCell="A64" workbookViewId="0">
      <selection activeCell="L56" sqref="B56:L56"/>
    </sheetView>
  </sheetViews>
  <sheetFormatPr defaultRowHeight="15" x14ac:dyDescent="0.25"/>
  <cols>
    <col min="1" max="1" width="47.85546875" customWidth="1"/>
    <col min="14" max="14" width="13.140625" bestFit="1" customWidth="1"/>
    <col min="15" max="15" width="10.140625" customWidth="1"/>
  </cols>
  <sheetData>
    <row r="1" spans="1:15" ht="15.75" thickBot="1" x14ac:dyDescent="0.3">
      <c r="A1" s="9" t="s">
        <v>153</v>
      </c>
      <c r="B1" s="9">
        <v>0</v>
      </c>
      <c r="C1" s="9">
        <v>1</v>
      </c>
      <c r="D1" s="9">
        <v>2</v>
      </c>
      <c r="E1" s="9">
        <v>3</v>
      </c>
      <c r="F1" s="9">
        <v>4</v>
      </c>
      <c r="G1" s="9">
        <v>5</v>
      </c>
      <c r="H1" s="9">
        <v>6</v>
      </c>
      <c r="I1" s="9">
        <v>7</v>
      </c>
      <c r="J1" s="9">
        <v>8</v>
      </c>
      <c r="K1" s="9">
        <v>9</v>
      </c>
      <c r="L1" s="9">
        <v>10</v>
      </c>
      <c r="N1" s="116" t="s">
        <v>277</v>
      </c>
      <c r="O1" s="104">
        <f>'Event Tracker'!P1</f>
        <v>0</v>
      </c>
    </row>
    <row r="2" spans="1:15" x14ac:dyDescent="0.25">
      <c r="A2" t="s">
        <v>176</v>
      </c>
      <c r="B2">
        <v>300</v>
      </c>
      <c r="C2">
        <v>200</v>
      </c>
      <c r="D2">
        <v>200</v>
      </c>
      <c r="E2">
        <v>200</v>
      </c>
      <c r="F2">
        <v>200</v>
      </c>
      <c r="G2">
        <v>200</v>
      </c>
      <c r="H2">
        <v>200</v>
      </c>
      <c r="I2">
        <v>200</v>
      </c>
      <c r="J2">
        <v>200</v>
      </c>
      <c r="K2">
        <v>200</v>
      </c>
      <c r="L2">
        <v>200</v>
      </c>
    </row>
    <row r="3" spans="1:15" x14ac:dyDescent="0.25">
      <c r="A3" t="s">
        <v>155</v>
      </c>
      <c r="B3">
        <v>10</v>
      </c>
      <c r="C3">
        <v>10</v>
      </c>
      <c r="D3">
        <v>10</v>
      </c>
      <c r="E3">
        <v>10</v>
      </c>
      <c r="F3">
        <v>10</v>
      </c>
      <c r="G3">
        <v>10</v>
      </c>
      <c r="H3">
        <v>10</v>
      </c>
      <c r="I3">
        <v>10</v>
      </c>
      <c r="J3">
        <v>10</v>
      </c>
      <c r="K3">
        <v>10</v>
      </c>
      <c r="L3">
        <v>10</v>
      </c>
    </row>
    <row r="4" spans="1:15" x14ac:dyDescent="0.25">
      <c r="A4" t="s">
        <v>154</v>
      </c>
      <c r="B4">
        <v>200</v>
      </c>
      <c r="C4">
        <v>100</v>
      </c>
      <c r="D4">
        <v>100</v>
      </c>
      <c r="E4">
        <v>100</v>
      </c>
      <c r="F4">
        <v>100</v>
      </c>
      <c r="G4">
        <v>100</v>
      </c>
      <c r="H4">
        <v>100</v>
      </c>
      <c r="I4">
        <v>100</v>
      </c>
      <c r="J4">
        <v>100</v>
      </c>
      <c r="K4">
        <v>100</v>
      </c>
      <c r="L4">
        <v>100</v>
      </c>
    </row>
    <row r="5" spans="1:15" x14ac:dyDescent="0.25">
      <c r="A5" t="s">
        <v>36</v>
      </c>
      <c r="B5">
        <v>50</v>
      </c>
      <c r="C5">
        <v>50</v>
      </c>
      <c r="D5">
        <v>50</v>
      </c>
      <c r="E5">
        <v>50</v>
      </c>
      <c r="F5">
        <v>50</v>
      </c>
      <c r="G5">
        <v>50</v>
      </c>
      <c r="H5">
        <v>50</v>
      </c>
      <c r="I5">
        <v>50</v>
      </c>
      <c r="J5">
        <v>50</v>
      </c>
      <c r="K5">
        <v>50</v>
      </c>
      <c r="L5">
        <v>50</v>
      </c>
    </row>
    <row r="6" spans="1:15" x14ac:dyDescent="0.25">
      <c r="A6" t="s">
        <v>394</v>
      </c>
      <c r="B6" s="16">
        <f>B63-SUM(B83:B85)</f>
        <v>1984.794520547945</v>
      </c>
      <c r="C6" s="16">
        <f>B6</f>
        <v>1984.794520547945</v>
      </c>
      <c r="D6" s="16">
        <f t="shared" ref="D6:L6" si="0">C6</f>
        <v>1984.794520547945</v>
      </c>
      <c r="E6" s="16">
        <f t="shared" si="0"/>
        <v>1984.794520547945</v>
      </c>
      <c r="F6" s="16">
        <f t="shared" si="0"/>
        <v>1984.794520547945</v>
      </c>
      <c r="G6" s="16">
        <f t="shared" si="0"/>
        <v>1984.794520547945</v>
      </c>
      <c r="H6" s="16">
        <f t="shared" si="0"/>
        <v>1984.794520547945</v>
      </c>
      <c r="I6" s="16">
        <f t="shared" si="0"/>
        <v>1984.794520547945</v>
      </c>
      <c r="J6" s="16">
        <f t="shared" si="0"/>
        <v>1984.794520547945</v>
      </c>
      <c r="K6" s="16">
        <f t="shared" si="0"/>
        <v>1984.794520547945</v>
      </c>
      <c r="L6" s="16">
        <f t="shared" si="0"/>
        <v>1984.794520547945</v>
      </c>
    </row>
    <row r="8" spans="1:15" x14ac:dyDescent="0.25">
      <c r="A8" s="9" t="s">
        <v>156</v>
      </c>
      <c r="B8" s="9">
        <v>0</v>
      </c>
      <c r="C8" s="9">
        <v>1</v>
      </c>
      <c r="D8" s="9">
        <v>2</v>
      </c>
      <c r="E8" s="9">
        <v>3</v>
      </c>
      <c r="F8" s="9">
        <v>4</v>
      </c>
      <c r="G8" s="9">
        <v>5</v>
      </c>
      <c r="H8" s="9">
        <v>6</v>
      </c>
      <c r="I8" s="9">
        <v>7</v>
      </c>
      <c r="J8" s="9">
        <v>8</v>
      </c>
      <c r="K8" s="9">
        <v>9</v>
      </c>
      <c r="L8" s="9">
        <v>10</v>
      </c>
    </row>
    <row r="9" spans="1:15" x14ac:dyDescent="0.25">
      <c r="A9" t="s">
        <v>176</v>
      </c>
      <c r="B9" s="88">
        <v>0</v>
      </c>
      <c r="C9" s="88">
        <f>Gameplay!$D$17</f>
        <v>0</v>
      </c>
      <c r="D9" s="88">
        <f>Gameplay!$D$17</f>
        <v>0</v>
      </c>
      <c r="E9" s="88">
        <f>Gameplay!$D$17</f>
        <v>0</v>
      </c>
      <c r="F9" s="88">
        <f>Gameplay!$D$17</f>
        <v>0</v>
      </c>
      <c r="G9" s="88">
        <f>Gameplay!$D$17</f>
        <v>0</v>
      </c>
      <c r="H9" s="88">
        <f>Gameplay!$D$17</f>
        <v>0</v>
      </c>
      <c r="I9" s="88">
        <f>Gameplay!$D$17</f>
        <v>0</v>
      </c>
      <c r="J9" s="88">
        <f>Gameplay!$D$17</f>
        <v>0</v>
      </c>
      <c r="K9" s="88">
        <f>Gameplay!$D$17</f>
        <v>0</v>
      </c>
      <c r="L9" s="88">
        <f>Gameplay!$D$17</f>
        <v>0</v>
      </c>
    </row>
    <row r="10" spans="1:15" x14ac:dyDescent="0.25">
      <c r="A10" t="s">
        <v>155</v>
      </c>
      <c r="B10" s="88">
        <v>0</v>
      </c>
      <c r="C10" s="88">
        <f>Gameplay!$D$18</f>
        <v>0</v>
      </c>
      <c r="D10" s="88">
        <f>Gameplay!$D$18</f>
        <v>0</v>
      </c>
      <c r="E10" s="88">
        <f>Gameplay!$D$18</f>
        <v>0</v>
      </c>
      <c r="F10" s="88">
        <f>Gameplay!$D$18</f>
        <v>0</v>
      </c>
      <c r="G10" s="88">
        <f>Gameplay!$D$18</f>
        <v>0</v>
      </c>
      <c r="H10" s="88">
        <f>Gameplay!$D$18</f>
        <v>0</v>
      </c>
      <c r="I10" s="88">
        <f>Gameplay!$D$18</f>
        <v>0</v>
      </c>
      <c r="J10" s="88">
        <f>Gameplay!$D$18</f>
        <v>0</v>
      </c>
      <c r="K10" s="88">
        <f>Gameplay!$D$18</f>
        <v>0</v>
      </c>
      <c r="L10" s="88">
        <f>Gameplay!$D$18</f>
        <v>0</v>
      </c>
    </row>
    <row r="11" spans="1:15" x14ac:dyDescent="0.25">
      <c r="A11" t="s">
        <v>154</v>
      </c>
      <c r="B11" s="88">
        <v>0</v>
      </c>
      <c r="C11" s="88">
        <f>Gameplay!$D$19</f>
        <v>0</v>
      </c>
      <c r="D11" s="88">
        <f>Gameplay!$D$19</f>
        <v>0</v>
      </c>
      <c r="E11" s="88">
        <f>Gameplay!$D$19</f>
        <v>0</v>
      </c>
      <c r="F11" s="88">
        <f>Gameplay!$D$19</f>
        <v>0</v>
      </c>
      <c r="G11" s="88">
        <f>Gameplay!$D$19</f>
        <v>0</v>
      </c>
      <c r="H11" s="88">
        <f>Gameplay!$D$19</f>
        <v>0</v>
      </c>
      <c r="I11" s="88">
        <f>Gameplay!$D$19</f>
        <v>0</v>
      </c>
      <c r="J11" s="88">
        <f>Gameplay!$D$19</f>
        <v>0</v>
      </c>
      <c r="K11" s="88">
        <f>Gameplay!$D$19</f>
        <v>0</v>
      </c>
      <c r="L11" s="88">
        <f>Gameplay!$D$19</f>
        <v>0</v>
      </c>
    </row>
    <row r="12" spans="1:15" x14ac:dyDescent="0.25">
      <c r="A12" t="s">
        <v>36</v>
      </c>
      <c r="B12" s="88">
        <v>0</v>
      </c>
      <c r="C12" s="88">
        <f>Gameplay!$D$20</f>
        <v>0</v>
      </c>
      <c r="D12" s="88">
        <f>Gameplay!$D$20</f>
        <v>0</v>
      </c>
      <c r="E12" s="88">
        <f>Gameplay!$D$20</f>
        <v>0</v>
      </c>
      <c r="F12" s="88">
        <f>Gameplay!$D$20</f>
        <v>0</v>
      </c>
      <c r="G12" s="88">
        <f>Gameplay!$D$20</f>
        <v>0</v>
      </c>
      <c r="H12" s="88">
        <f>Gameplay!$D$20</f>
        <v>0</v>
      </c>
      <c r="I12" s="88">
        <f>Gameplay!$D$20</f>
        <v>0</v>
      </c>
      <c r="J12" s="88">
        <f>Gameplay!$D$20</f>
        <v>0</v>
      </c>
      <c r="K12" s="88">
        <f>Gameplay!$D$20</f>
        <v>0</v>
      </c>
      <c r="L12" s="88">
        <f>Gameplay!$D$20</f>
        <v>0</v>
      </c>
    </row>
    <row r="13" spans="1:15" x14ac:dyDescent="0.25">
      <c r="A13" t="s">
        <v>394</v>
      </c>
      <c r="B13" s="88">
        <v>0</v>
      </c>
      <c r="C13" s="88">
        <f>Gameplay!$D$22</f>
        <v>0</v>
      </c>
      <c r="D13" s="88">
        <f>Gameplay!$D$22</f>
        <v>0</v>
      </c>
      <c r="E13" s="88">
        <f>Gameplay!$D$22</f>
        <v>0</v>
      </c>
      <c r="F13" s="88">
        <f>Gameplay!$D$22</f>
        <v>0</v>
      </c>
      <c r="G13" s="88">
        <f>Gameplay!$D$22</f>
        <v>0</v>
      </c>
      <c r="H13" s="88">
        <f>Gameplay!$D$22</f>
        <v>0</v>
      </c>
      <c r="I13" s="88">
        <f>Gameplay!$D$22</f>
        <v>0</v>
      </c>
      <c r="J13" s="88">
        <f>Gameplay!$D$22</f>
        <v>0</v>
      </c>
      <c r="K13" s="88">
        <f>Gameplay!$D$22</f>
        <v>0</v>
      </c>
      <c r="L13" s="88">
        <f>Gameplay!$D$22</f>
        <v>0</v>
      </c>
    </row>
    <row r="15" spans="1:15" x14ac:dyDescent="0.25">
      <c r="A15" s="9" t="s">
        <v>303</v>
      </c>
      <c r="B15" s="9">
        <v>0</v>
      </c>
      <c r="C15" s="9">
        <v>1</v>
      </c>
      <c r="D15" s="9">
        <v>2</v>
      </c>
      <c r="E15" s="9">
        <v>3</v>
      </c>
      <c r="F15" s="9">
        <v>4</v>
      </c>
      <c r="G15" s="9">
        <v>5</v>
      </c>
      <c r="H15" s="9">
        <v>6</v>
      </c>
      <c r="I15" s="9">
        <v>7</v>
      </c>
      <c r="J15" s="9">
        <v>8</v>
      </c>
      <c r="K15" s="9">
        <v>9</v>
      </c>
      <c r="L15" s="9">
        <v>10</v>
      </c>
    </row>
    <row r="16" spans="1:15" x14ac:dyDescent="0.25">
      <c r="B16">
        <f>MAX(1*(INDEX('Event Tracker'!$B$7:$L$7,1,MATCH('Event Tracker'!$P$1,'Event Tracker'!$B$1:$L$1,0))*'Game Assumptions'!$B$130),1)</f>
        <v>1</v>
      </c>
      <c r="C16">
        <f>MAX(1*(INDEX('Event Tracker'!$B$7:$L$7,1,MATCH('Event Tracker'!$P$1,'Event Tracker'!$B$1:$L$1,0))*'Game Assumptions'!$B$130),1)</f>
        <v>1</v>
      </c>
      <c r="D16">
        <f>MAX(1*(INDEX('Event Tracker'!$B$7:$L$7,1,MATCH('Event Tracker'!$P$1,'Event Tracker'!$B$1:$L$1,0))*'Game Assumptions'!$B$130),1)</f>
        <v>1</v>
      </c>
      <c r="E16">
        <f>MAX(1*(INDEX('Event Tracker'!$B$7:$L$7,1,MATCH('Event Tracker'!$P$1,'Event Tracker'!$B$1:$L$1,0))*'Game Assumptions'!$B$130),1)</f>
        <v>1</v>
      </c>
      <c r="F16">
        <f>MAX(1*(INDEX('Event Tracker'!$B$7:$L$7,1,MATCH('Event Tracker'!$P$1,'Event Tracker'!$B$1:$L$1,0))*'Game Assumptions'!$B$130),1)</f>
        <v>1</v>
      </c>
      <c r="G16">
        <f>MAX(1*(INDEX('Event Tracker'!$B$7:$L$7,1,MATCH('Event Tracker'!$P$1,'Event Tracker'!$B$1:$L$1,0))*'Game Assumptions'!$B$130),1)</f>
        <v>1</v>
      </c>
      <c r="H16">
        <f>MAX(1*(INDEX('Event Tracker'!$B$7:$L$7,1,MATCH('Event Tracker'!$P$1,'Event Tracker'!$B$1:$L$1,0))*'Game Assumptions'!$B$130),1)</f>
        <v>1</v>
      </c>
      <c r="I16">
        <f>MAX(1*(INDEX('Event Tracker'!$B$7:$L$7,1,MATCH('Event Tracker'!$P$1,'Event Tracker'!$B$1:$L$1,0))*'Game Assumptions'!$B$130),1)</f>
        <v>1</v>
      </c>
      <c r="J16">
        <f>MAX(1*(INDEX('Event Tracker'!$B$7:$L$7,1,MATCH('Event Tracker'!$P$1,'Event Tracker'!$B$1:$L$1,0))*'Game Assumptions'!$B$130),1)</f>
        <v>1</v>
      </c>
      <c r="K16">
        <f>MAX(1*(INDEX('Event Tracker'!$B$7:$L$7,1,MATCH('Event Tracker'!$P$1,'Event Tracker'!$B$1:$L$1,0))*'Game Assumptions'!$B$130),1)</f>
        <v>1</v>
      </c>
      <c r="L16">
        <f>MAX(1*(INDEX('Event Tracker'!$B$7:$L$7,1,MATCH('Event Tracker'!$P$1,'Event Tracker'!$B$1:$L$1,0))*'Game Assumptions'!$B$130),1)</f>
        <v>1</v>
      </c>
    </row>
    <row r="18" spans="1:12" x14ac:dyDescent="0.25">
      <c r="A18" s="9" t="s">
        <v>157</v>
      </c>
      <c r="B18" s="9">
        <v>0</v>
      </c>
      <c r="C18" s="9">
        <v>1</v>
      </c>
      <c r="D18" s="9">
        <v>2</v>
      </c>
      <c r="E18" s="9">
        <v>3</v>
      </c>
      <c r="F18" s="9">
        <v>4</v>
      </c>
      <c r="G18" s="9">
        <v>5</v>
      </c>
      <c r="H18" s="9">
        <v>6</v>
      </c>
      <c r="I18" s="9">
        <v>7</v>
      </c>
      <c r="J18" s="9">
        <v>8</v>
      </c>
      <c r="K18" s="9">
        <v>9</v>
      </c>
      <c r="L18" s="9">
        <v>10</v>
      </c>
    </row>
    <row r="19" spans="1:12" x14ac:dyDescent="0.25">
      <c r="A19" t="s">
        <v>176</v>
      </c>
      <c r="B19">
        <f>(B9+B2)*$B$16</f>
        <v>300</v>
      </c>
      <c r="C19">
        <f t="shared" ref="C19:L19" si="1">(C9+B19)*$B$16</f>
        <v>300</v>
      </c>
      <c r="D19">
        <f t="shared" si="1"/>
        <v>300</v>
      </c>
      <c r="E19">
        <f t="shared" si="1"/>
        <v>300</v>
      </c>
      <c r="F19">
        <f t="shared" si="1"/>
        <v>300</v>
      </c>
      <c r="G19">
        <f t="shared" si="1"/>
        <v>300</v>
      </c>
      <c r="H19">
        <f t="shared" si="1"/>
        <v>300</v>
      </c>
      <c r="I19">
        <f t="shared" si="1"/>
        <v>300</v>
      </c>
      <c r="J19">
        <f t="shared" si="1"/>
        <v>300</v>
      </c>
      <c r="K19">
        <f t="shared" si="1"/>
        <v>300</v>
      </c>
      <c r="L19">
        <f t="shared" si="1"/>
        <v>300</v>
      </c>
    </row>
    <row r="20" spans="1:12" x14ac:dyDescent="0.25">
      <c r="A20" t="s">
        <v>155</v>
      </c>
      <c r="B20">
        <f>(B10+B3)*$B$16</f>
        <v>10</v>
      </c>
      <c r="C20">
        <f t="shared" ref="C20:L20" si="2">(C10+B20)*$B$16</f>
        <v>10</v>
      </c>
      <c r="D20">
        <f t="shared" si="2"/>
        <v>10</v>
      </c>
      <c r="E20">
        <f t="shared" si="2"/>
        <v>10</v>
      </c>
      <c r="F20">
        <f t="shared" si="2"/>
        <v>10</v>
      </c>
      <c r="G20">
        <f t="shared" si="2"/>
        <v>10</v>
      </c>
      <c r="H20">
        <f t="shared" si="2"/>
        <v>10</v>
      </c>
      <c r="I20">
        <f t="shared" si="2"/>
        <v>10</v>
      </c>
      <c r="J20">
        <f t="shared" si="2"/>
        <v>10</v>
      </c>
      <c r="K20">
        <f t="shared" si="2"/>
        <v>10</v>
      </c>
      <c r="L20">
        <f t="shared" si="2"/>
        <v>10</v>
      </c>
    </row>
    <row r="21" spans="1:12" x14ac:dyDescent="0.25">
      <c r="A21" t="s">
        <v>154</v>
      </c>
      <c r="B21">
        <f>(B11+B4)*$B$16</f>
        <v>200</v>
      </c>
      <c r="C21">
        <f t="shared" ref="C21:L21" si="3">(C11+B21)*$B$16</f>
        <v>200</v>
      </c>
      <c r="D21">
        <f t="shared" si="3"/>
        <v>200</v>
      </c>
      <c r="E21">
        <f t="shared" si="3"/>
        <v>200</v>
      </c>
      <c r="F21">
        <f t="shared" si="3"/>
        <v>200</v>
      </c>
      <c r="G21">
        <f t="shared" si="3"/>
        <v>200</v>
      </c>
      <c r="H21">
        <f t="shared" si="3"/>
        <v>200</v>
      </c>
      <c r="I21">
        <f t="shared" si="3"/>
        <v>200</v>
      </c>
      <c r="J21">
        <f t="shared" si="3"/>
        <v>200</v>
      </c>
      <c r="K21">
        <f t="shared" si="3"/>
        <v>200</v>
      </c>
      <c r="L21">
        <f t="shared" si="3"/>
        <v>200</v>
      </c>
    </row>
    <row r="22" spans="1:12" x14ac:dyDescent="0.25">
      <c r="A22" t="s">
        <v>36</v>
      </c>
      <c r="B22">
        <f>(B12+B5)*$B$16</f>
        <v>50</v>
      </c>
      <c r="C22">
        <f>(C12+B22)*$B$16+C52</f>
        <v>50</v>
      </c>
      <c r="D22">
        <f t="shared" ref="D22:L22" si="4">(D12+C22)*$B$16+D52</f>
        <v>50</v>
      </c>
      <c r="E22">
        <f t="shared" si="4"/>
        <v>50</v>
      </c>
      <c r="F22">
        <f t="shared" si="4"/>
        <v>50</v>
      </c>
      <c r="G22">
        <f t="shared" si="4"/>
        <v>50</v>
      </c>
      <c r="H22">
        <f t="shared" si="4"/>
        <v>50</v>
      </c>
      <c r="I22">
        <f t="shared" si="4"/>
        <v>50</v>
      </c>
      <c r="J22">
        <f t="shared" si="4"/>
        <v>50</v>
      </c>
      <c r="K22">
        <f t="shared" si="4"/>
        <v>50</v>
      </c>
      <c r="L22">
        <f t="shared" si="4"/>
        <v>50</v>
      </c>
    </row>
    <row r="23" spans="1:12" x14ac:dyDescent="0.25">
      <c r="A23" t="s">
        <v>394</v>
      </c>
      <c r="B23" s="16">
        <f>(B13+B6)*$B$16</f>
        <v>1984.794520547945</v>
      </c>
      <c r="C23" s="16">
        <f t="shared" ref="C23:L23" si="5">(C13+C6)*$B$16</f>
        <v>1984.794520547945</v>
      </c>
      <c r="D23" s="16">
        <f t="shared" si="5"/>
        <v>1984.794520547945</v>
      </c>
      <c r="E23" s="16">
        <f t="shared" si="5"/>
        <v>1984.794520547945</v>
      </c>
      <c r="F23" s="16">
        <f t="shared" si="5"/>
        <v>1984.794520547945</v>
      </c>
      <c r="G23" s="16">
        <f t="shared" si="5"/>
        <v>1984.794520547945</v>
      </c>
      <c r="H23" s="16">
        <f t="shared" si="5"/>
        <v>1984.794520547945</v>
      </c>
      <c r="I23" s="16">
        <f t="shared" si="5"/>
        <v>1984.794520547945</v>
      </c>
      <c r="J23" s="16">
        <f t="shared" si="5"/>
        <v>1984.794520547945</v>
      </c>
      <c r="K23" s="16">
        <f t="shared" si="5"/>
        <v>1984.794520547945</v>
      </c>
      <c r="L23" s="16">
        <f t="shared" si="5"/>
        <v>1984.794520547945</v>
      </c>
    </row>
    <row r="24" spans="1:12" x14ac:dyDescent="0.25">
      <c r="A24" t="s">
        <v>261</v>
      </c>
      <c r="B24" s="88">
        <f>'Resource Mix and Demand'!B30</f>
        <v>10</v>
      </c>
      <c r="C24" s="88">
        <f>'Resource Mix and Demand'!C30</f>
        <v>10</v>
      </c>
      <c r="D24" s="88">
        <f>'Resource Mix and Demand'!D30</f>
        <v>10</v>
      </c>
      <c r="E24" s="88">
        <f>'Resource Mix and Demand'!E30</f>
        <v>10</v>
      </c>
      <c r="F24" s="88">
        <f>'Resource Mix and Demand'!F30</f>
        <v>10</v>
      </c>
      <c r="G24" s="88">
        <f>'Resource Mix and Demand'!G30</f>
        <v>10</v>
      </c>
      <c r="H24" s="88">
        <f>'Resource Mix and Demand'!H30</f>
        <v>10</v>
      </c>
      <c r="I24" s="88">
        <f>'Resource Mix and Demand'!I30</f>
        <v>10</v>
      </c>
      <c r="J24" s="88">
        <f>'Resource Mix and Demand'!J30</f>
        <v>10</v>
      </c>
      <c r="K24" s="88">
        <f>'Resource Mix and Demand'!K30</f>
        <v>10</v>
      </c>
      <c r="L24" s="88">
        <f>'Resource Mix and Demand'!L30</f>
        <v>10</v>
      </c>
    </row>
    <row r="25" spans="1:12" x14ac:dyDescent="0.25">
      <c r="A25" t="s">
        <v>262</v>
      </c>
      <c r="B25" s="88">
        <f>'Resource Mix and Demand'!B31</f>
        <v>10</v>
      </c>
      <c r="C25" s="88">
        <f>'Resource Mix and Demand'!C31</f>
        <v>10.5</v>
      </c>
      <c r="D25" s="88">
        <f>'Resource Mix and Demand'!D31</f>
        <v>11.5</v>
      </c>
      <c r="E25" s="88">
        <f>'Resource Mix and Demand'!E31</f>
        <v>13</v>
      </c>
      <c r="F25" s="88">
        <f>'Resource Mix and Demand'!F31</f>
        <v>15</v>
      </c>
      <c r="G25" s="88">
        <f>'Resource Mix and Demand'!G31</f>
        <v>17.5</v>
      </c>
      <c r="H25" s="88">
        <f>'Resource Mix and Demand'!H31</f>
        <v>20.5</v>
      </c>
      <c r="I25" s="88">
        <f>'Resource Mix and Demand'!I31</f>
        <v>24</v>
      </c>
      <c r="J25" s="88">
        <f>'Resource Mix and Demand'!J31</f>
        <v>28</v>
      </c>
      <c r="K25" s="88">
        <f>'Resource Mix and Demand'!K31</f>
        <v>32.5</v>
      </c>
      <c r="L25" s="88">
        <f>'Resource Mix and Demand'!L31</f>
        <v>37.5</v>
      </c>
    </row>
    <row r="26" spans="1:12" x14ac:dyDescent="0.25">
      <c r="A26" t="s">
        <v>399</v>
      </c>
      <c r="B26" s="88">
        <f>'Resource Mix and Demand'!B32</f>
        <v>10</v>
      </c>
      <c r="C26" s="88">
        <f>'Resource Mix and Demand'!C32</f>
        <v>15</v>
      </c>
      <c r="D26" s="88">
        <f>'Resource Mix and Demand'!D32</f>
        <v>21</v>
      </c>
      <c r="E26" s="88">
        <f>'Resource Mix and Demand'!E32</f>
        <v>28</v>
      </c>
      <c r="F26" s="88">
        <f>'Resource Mix and Demand'!F32</f>
        <v>36</v>
      </c>
      <c r="G26" s="88">
        <f>'Resource Mix and Demand'!G32</f>
        <v>45</v>
      </c>
      <c r="H26" s="88">
        <f>'Resource Mix and Demand'!H32</f>
        <v>55</v>
      </c>
      <c r="I26" s="88">
        <f>'Resource Mix and Demand'!I32</f>
        <v>66</v>
      </c>
      <c r="J26" s="88">
        <f>'Resource Mix and Demand'!J32</f>
        <v>78</v>
      </c>
      <c r="K26" s="88">
        <f>'Resource Mix and Demand'!K32</f>
        <v>91</v>
      </c>
      <c r="L26" s="88">
        <f>'Resource Mix and Demand'!L32</f>
        <v>105</v>
      </c>
    </row>
    <row r="28" spans="1:12" x14ac:dyDescent="0.25">
      <c r="A28" s="9" t="s">
        <v>158</v>
      </c>
      <c r="B28" s="9">
        <v>0</v>
      </c>
      <c r="C28" s="9">
        <v>1</v>
      </c>
      <c r="D28" s="9">
        <v>2</v>
      </c>
      <c r="E28" s="9">
        <v>3</v>
      </c>
      <c r="F28" s="9">
        <v>4</v>
      </c>
      <c r="G28" s="9">
        <v>5</v>
      </c>
      <c r="H28" s="9">
        <v>6</v>
      </c>
      <c r="I28" s="9">
        <v>7</v>
      </c>
      <c r="J28" s="9">
        <v>8</v>
      </c>
      <c r="K28" s="9">
        <v>9</v>
      </c>
      <c r="L28" s="9">
        <v>10</v>
      </c>
    </row>
    <row r="29" spans="1:12" x14ac:dyDescent="0.25">
      <c r="A29" t="s">
        <v>176</v>
      </c>
      <c r="B29">
        <f>'Game Assumptions'!B97</f>
        <v>7.7837837837837833</v>
      </c>
      <c r="C29">
        <f>B29</f>
        <v>7.7837837837837833</v>
      </c>
      <c r="D29">
        <f t="shared" ref="D29:L29" si="6">C29</f>
        <v>7.7837837837837833</v>
      </c>
      <c r="E29">
        <f t="shared" si="6"/>
        <v>7.7837837837837833</v>
      </c>
      <c r="F29">
        <f t="shared" si="6"/>
        <v>7.7837837837837833</v>
      </c>
      <c r="G29">
        <f t="shared" si="6"/>
        <v>7.7837837837837833</v>
      </c>
      <c r="H29">
        <f t="shared" si="6"/>
        <v>7.7837837837837833</v>
      </c>
      <c r="I29">
        <f t="shared" si="6"/>
        <v>7.7837837837837833</v>
      </c>
      <c r="J29">
        <f t="shared" si="6"/>
        <v>7.7837837837837833</v>
      </c>
      <c r="K29">
        <f t="shared" si="6"/>
        <v>7.7837837837837833</v>
      </c>
      <c r="L29">
        <f t="shared" si="6"/>
        <v>7.7837837837837833</v>
      </c>
    </row>
    <row r="30" spans="1:12" x14ac:dyDescent="0.25">
      <c r="A30" t="s">
        <v>155</v>
      </c>
      <c r="B30">
        <f>'Game Assumptions'!B98</f>
        <v>7.7837837837837833</v>
      </c>
      <c r="C30">
        <f t="shared" ref="C30:L32" si="7">B30</f>
        <v>7.7837837837837833</v>
      </c>
      <c r="D30">
        <f t="shared" si="7"/>
        <v>7.7837837837837833</v>
      </c>
      <c r="E30">
        <f t="shared" si="7"/>
        <v>7.7837837837837833</v>
      </c>
      <c r="F30">
        <f t="shared" si="7"/>
        <v>7.7837837837837833</v>
      </c>
      <c r="G30">
        <f t="shared" si="7"/>
        <v>7.7837837837837833</v>
      </c>
      <c r="H30">
        <f t="shared" si="7"/>
        <v>7.7837837837837833</v>
      </c>
      <c r="I30">
        <f t="shared" si="7"/>
        <v>7.7837837837837833</v>
      </c>
      <c r="J30">
        <f t="shared" si="7"/>
        <v>7.7837837837837833</v>
      </c>
      <c r="K30">
        <f t="shared" si="7"/>
        <v>7.7837837837837833</v>
      </c>
      <c r="L30">
        <f t="shared" si="7"/>
        <v>7.7837837837837833</v>
      </c>
    </row>
    <row r="31" spans="1:12" x14ac:dyDescent="0.25">
      <c r="A31" t="s">
        <v>154</v>
      </c>
      <c r="B31">
        <f>'Game Assumptions'!B101</f>
        <v>3.9782233435134779</v>
      </c>
      <c r="C31">
        <f t="shared" si="7"/>
        <v>3.9782233435134779</v>
      </c>
      <c r="D31">
        <f t="shared" si="7"/>
        <v>3.9782233435134779</v>
      </c>
      <c r="E31">
        <f t="shared" si="7"/>
        <v>3.9782233435134779</v>
      </c>
      <c r="F31">
        <f t="shared" si="7"/>
        <v>3.9782233435134779</v>
      </c>
      <c r="G31">
        <f t="shared" si="7"/>
        <v>3.9782233435134779</v>
      </c>
      <c r="H31">
        <f t="shared" si="7"/>
        <v>3.9782233435134779</v>
      </c>
      <c r="I31">
        <f t="shared" si="7"/>
        <v>3.9782233435134779</v>
      </c>
      <c r="J31">
        <f t="shared" si="7"/>
        <v>3.9782233435134779</v>
      </c>
      <c r="K31">
        <f t="shared" si="7"/>
        <v>3.9782233435134779</v>
      </c>
      <c r="L31">
        <f t="shared" si="7"/>
        <v>3.9782233435134779</v>
      </c>
    </row>
    <row r="32" spans="1:12" x14ac:dyDescent="0.25">
      <c r="A32" t="s">
        <v>36</v>
      </c>
      <c r="B32">
        <f>'Game Assumptions'!B102</f>
        <v>1.6666666666666665</v>
      </c>
      <c r="C32">
        <f t="shared" si="7"/>
        <v>1.6666666666666665</v>
      </c>
      <c r="D32">
        <f t="shared" si="7"/>
        <v>1.6666666666666665</v>
      </c>
      <c r="E32">
        <f t="shared" si="7"/>
        <v>1.6666666666666665</v>
      </c>
      <c r="F32">
        <f t="shared" si="7"/>
        <v>1.6666666666666665</v>
      </c>
      <c r="G32">
        <f t="shared" si="7"/>
        <v>1.6666666666666665</v>
      </c>
      <c r="H32">
        <f t="shared" si="7"/>
        <v>1.6666666666666665</v>
      </c>
      <c r="I32">
        <f t="shared" si="7"/>
        <v>1.6666666666666665</v>
      </c>
      <c r="J32">
        <f t="shared" si="7"/>
        <v>1.6666666666666665</v>
      </c>
      <c r="K32">
        <f t="shared" si="7"/>
        <v>1.6666666666666665</v>
      </c>
      <c r="L32">
        <f t="shared" si="7"/>
        <v>1.6666666666666665</v>
      </c>
    </row>
    <row r="33" spans="1:12" x14ac:dyDescent="0.25">
      <c r="A33" s="157" t="s">
        <v>394</v>
      </c>
      <c r="B33" s="157">
        <v>0.01</v>
      </c>
      <c r="C33" s="157">
        <v>0.01</v>
      </c>
      <c r="D33" s="157">
        <v>0.01</v>
      </c>
      <c r="E33" s="157">
        <v>0.01</v>
      </c>
      <c r="F33" s="157">
        <v>0.01</v>
      </c>
      <c r="G33" s="157">
        <v>0.01</v>
      </c>
      <c r="H33" s="157">
        <v>0.01</v>
      </c>
      <c r="I33" s="157">
        <v>0.01</v>
      </c>
      <c r="J33" s="157">
        <v>0.01</v>
      </c>
      <c r="K33" s="157">
        <v>0.01</v>
      </c>
      <c r="L33" s="157">
        <v>0.01</v>
      </c>
    </row>
    <row r="35" spans="1:12" x14ac:dyDescent="0.25">
      <c r="A35" s="9" t="s">
        <v>163</v>
      </c>
      <c r="B35" s="9">
        <v>0</v>
      </c>
      <c r="C35" s="9">
        <v>1</v>
      </c>
      <c r="D35" s="9">
        <v>2</v>
      </c>
      <c r="E35" s="9">
        <v>3</v>
      </c>
      <c r="F35" s="9">
        <v>4</v>
      </c>
      <c r="G35" s="9">
        <v>5</v>
      </c>
      <c r="H35" s="9">
        <v>6</v>
      </c>
      <c r="I35" s="9">
        <v>7</v>
      </c>
      <c r="J35" s="9">
        <v>8</v>
      </c>
      <c r="K35" s="9">
        <v>9</v>
      </c>
      <c r="L35" s="9">
        <v>10</v>
      </c>
    </row>
    <row r="36" spans="1:12" x14ac:dyDescent="0.25">
      <c r="A36" t="s">
        <v>162</v>
      </c>
      <c r="B36">
        <f>'Game Assumptions'!B108</f>
        <v>5000</v>
      </c>
      <c r="C36">
        <f>B36</f>
        <v>5000</v>
      </c>
      <c r="D36">
        <f t="shared" ref="D36:L36" si="8">C36</f>
        <v>5000</v>
      </c>
      <c r="E36">
        <f t="shared" si="8"/>
        <v>5000</v>
      </c>
      <c r="F36">
        <f t="shared" si="8"/>
        <v>5000</v>
      </c>
      <c r="G36">
        <f t="shared" si="8"/>
        <v>5000</v>
      </c>
      <c r="H36">
        <f t="shared" si="8"/>
        <v>5000</v>
      </c>
      <c r="I36">
        <f t="shared" si="8"/>
        <v>5000</v>
      </c>
      <c r="J36">
        <f t="shared" si="8"/>
        <v>5000</v>
      </c>
      <c r="K36">
        <f t="shared" si="8"/>
        <v>5000</v>
      </c>
      <c r="L36">
        <f t="shared" si="8"/>
        <v>5000</v>
      </c>
    </row>
    <row r="38" spans="1:12" x14ac:dyDescent="0.25">
      <c r="A38" s="9" t="s">
        <v>164</v>
      </c>
      <c r="B38" s="9">
        <v>0</v>
      </c>
      <c r="C38" s="9">
        <v>1</v>
      </c>
      <c r="D38" s="9">
        <v>2</v>
      </c>
      <c r="E38" s="9">
        <v>3</v>
      </c>
      <c r="F38" s="9">
        <v>4</v>
      </c>
      <c r="G38" s="9">
        <v>5</v>
      </c>
      <c r="H38" s="9">
        <v>6</v>
      </c>
      <c r="I38" s="9">
        <v>7</v>
      </c>
      <c r="J38" s="9">
        <v>8</v>
      </c>
      <c r="K38" s="9">
        <v>9</v>
      </c>
      <c r="L38" s="9">
        <v>10</v>
      </c>
    </row>
    <row r="39" spans="1:12" x14ac:dyDescent="0.25">
      <c r="A39" t="s">
        <v>162</v>
      </c>
      <c r="B39" s="88">
        <v>0</v>
      </c>
      <c r="C39" s="88">
        <f>Gameplay!$D$21</f>
        <v>0</v>
      </c>
      <c r="D39" s="88">
        <f>Gameplay!$D$21</f>
        <v>0</v>
      </c>
      <c r="E39" s="88">
        <f>Gameplay!$D$21</f>
        <v>0</v>
      </c>
      <c r="F39" s="88">
        <f>Gameplay!$D$21</f>
        <v>0</v>
      </c>
      <c r="G39" s="88">
        <f>Gameplay!$D$21</f>
        <v>0</v>
      </c>
      <c r="H39" s="88">
        <f>Gameplay!$D$21</f>
        <v>0</v>
      </c>
      <c r="I39" s="88">
        <f>Gameplay!$D$21</f>
        <v>0</v>
      </c>
      <c r="J39" s="88">
        <f>Gameplay!$D$21</f>
        <v>0</v>
      </c>
      <c r="K39" s="88">
        <f>Gameplay!$D$21</f>
        <v>0</v>
      </c>
      <c r="L39" s="88">
        <f>Gameplay!$D$21</f>
        <v>0</v>
      </c>
    </row>
    <row r="40" spans="1:12" x14ac:dyDescent="0.25">
      <c r="B40" s="88"/>
      <c r="C40" s="88"/>
      <c r="D40" s="88"/>
      <c r="E40" s="88"/>
      <c r="F40" s="88"/>
      <c r="G40" s="88"/>
      <c r="H40" s="88"/>
      <c r="I40" s="88"/>
      <c r="J40" s="88"/>
      <c r="K40" s="88"/>
      <c r="L40" s="88"/>
    </row>
    <row r="41" spans="1:12" x14ac:dyDescent="0.25">
      <c r="A41" s="9" t="s">
        <v>165</v>
      </c>
      <c r="B41" s="9">
        <v>0</v>
      </c>
      <c r="C41" s="9">
        <v>1</v>
      </c>
      <c r="D41" s="9">
        <v>2</v>
      </c>
      <c r="E41" s="9">
        <v>3</v>
      </c>
      <c r="F41" s="9">
        <v>4</v>
      </c>
      <c r="G41" s="9">
        <v>5</v>
      </c>
      <c r="H41" s="9">
        <v>6</v>
      </c>
      <c r="I41" s="9">
        <v>7</v>
      </c>
      <c r="J41" s="9">
        <v>8</v>
      </c>
      <c r="K41" s="9">
        <v>9</v>
      </c>
      <c r="L41" s="9">
        <v>10</v>
      </c>
    </row>
    <row r="42" spans="1:12" x14ac:dyDescent="0.25">
      <c r="A42" t="s">
        <v>162</v>
      </c>
      <c r="B42">
        <f>B39+B36</f>
        <v>5000</v>
      </c>
      <c r="C42">
        <f>C39+B42</f>
        <v>5000</v>
      </c>
      <c r="D42">
        <f t="shared" ref="D42:L42" si="9">D39+C42</f>
        <v>5000</v>
      </c>
      <c r="E42">
        <f t="shared" si="9"/>
        <v>5000</v>
      </c>
      <c r="F42">
        <f t="shared" si="9"/>
        <v>5000</v>
      </c>
      <c r="G42">
        <f t="shared" si="9"/>
        <v>5000</v>
      </c>
      <c r="H42">
        <f t="shared" si="9"/>
        <v>5000</v>
      </c>
      <c r="I42">
        <f t="shared" si="9"/>
        <v>5000</v>
      </c>
      <c r="J42">
        <f t="shared" si="9"/>
        <v>5000</v>
      </c>
      <c r="K42">
        <f t="shared" si="9"/>
        <v>5000</v>
      </c>
      <c r="L42">
        <f t="shared" si="9"/>
        <v>5000</v>
      </c>
    </row>
    <row r="44" spans="1:12" x14ac:dyDescent="0.25">
      <c r="A44" s="9" t="s">
        <v>166</v>
      </c>
      <c r="B44" s="9">
        <v>0</v>
      </c>
      <c r="C44" s="9">
        <v>1</v>
      </c>
      <c r="D44" s="9">
        <v>2</v>
      </c>
      <c r="E44" s="9">
        <v>3</v>
      </c>
      <c r="F44" s="9">
        <v>4</v>
      </c>
      <c r="G44" s="9">
        <v>5</v>
      </c>
      <c r="H44" s="9">
        <v>6</v>
      </c>
      <c r="I44" s="9">
        <v>7</v>
      </c>
      <c r="J44" s="9">
        <v>8</v>
      </c>
      <c r="K44" s="9">
        <v>9</v>
      </c>
      <c r="L44" s="9">
        <v>10</v>
      </c>
    </row>
    <row r="45" spans="1:12" x14ac:dyDescent="0.25">
      <c r="A45" t="s">
        <v>167</v>
      </c>
      <c r="B45">
        <v>0</v>
      </c>
      <c r="C45">
        <f>(C42-B42)/B42</f>
        <v>0</v>
      </c>
      <c r="D45">
        <f t="shared" ref="D45:L45" si="10">(D42-C42)/C42</f>
        <v>0</v>
      </c>
      <c r="E45">
        <f t="shared" si="10"/>
        <v>0</v>
      </c>
      <c r="F45">
        <f t="shared" si="10"/>
        <v>0</v>
      </c>
      <c r="G45">
        <f t="shared" si="10"/>
        <v>0</v>
      </c>
      <c r="H45">
        <f t="shared" si="10"/>
        <v>0</v>
      </c>
      <c r="I45">
        <f t="shared" si="10"/>
        <v>0</v>
      </c>
      <c r="J45">
        <f t="shared" si="10"/>
        <v>0</v>
      </c>
      <c r="K45">
        <f t="shared" si="10"/>
        <v>0</v>
      </c>
      <c r="L45">
        <f t="shared" si="10"/>
        <v>0</v>
      </c>
    </row>
    <row r="47" spans="1:12" x14ac:dyDescent="0.25">
      <c r="A47" s="9" t="s">
        <v>150</v>
      </c>
      <c r="B47" s="9">
        <v>0</v>
      </c>
      <c r="C47" s="9">
        <v>1</v>
      </c>
      <c r="D47" s="9">
        <v>2</v>
      </c>
      <c r="E47" s="9">
        <v>3</v>
      </c>
      <c r="F47" s="9">
        <v>4</v>
      </c>
      <c r="G47" s="9">
        <v>5</v>
      </c>
      <c r="H47" s="9">
        <v>6</v>
      </c>
      <c r="I47" s="9">
        <v>7</v>
      </c>
      <c r="J47" s="9">
        <v>8</v>
      </c>
      <c r="K47" s="9">
        <v>9</v>
      </c>
      <c r="L47" s="9">
        <v>10</v>
      </c>
    </row>
    <row r="48" spans="1:12" x14ac:dyDescent="0.25">
      <c r="A48" t="s">
        <v>168</v>
      </c>
      <c r="B48">
        <f>'Game Assumptions'!$B$105</f>
        <v>0.186</v>
      </c>
      <c r="C48">
        <f>(1+C45)*B48</f>
        <v>0.186</v>
      </c>
      <c r="D48">
        <f t="shared" ref="D48:L48" si="11">(1+D45)*C48</f>
        <v>0.186</v>
      </c>
      <c r="E48">
        <f t="shared" si="11"/>
        <v>0.186</v>
      </c>
      <c r="F48">
        <f t="shared" si="11"/>
        <v>0.186</v>
      </c>
      <c r="G48">
        <f t="shared" si="11"/>
        <v>0.186</v>
      </c>
      <c r="H48">
        <f t="shared" si="11"/>
        <v>0.186</v>
      </c>
      <c r="I48">
        <f t="shared" si="11"/>
        <v>0.186</v>
      </c>
      <c r="J48">
        <f t="shared" si="11"/>
        <v>0.186</v>
      </c>
      <c r="K48">
        <f t="shared" si="11"/>
        <v>0.186</v>
      </c>
      <c r="L48">
        <f t="shared" si="11"/>
        <v>0.186</v>
      </c>
    </row>
    <row r="50" spans="1:12" x14ac:dyDescent="0.25">
      <c r="A50" s="9" t="s">
        <v>410</v>
      </c>
      <c r="B50" s="9">
        <v>0</v>
      </c>
      <c r="C50" s="9">
        <v>1</v>
      </c>
      <c r="D50" s="9">
        <v>2</v>
      </c>
      <c r="E50" s="9">
        <v>3</v>
      </c>
      <c r="F50" s="9">
        <v>4</v>
      </c>
      <c r="G50" s="9">
        <v>5</v>
      </c>
      <c r="H50" s="9">
        <v>6</v>
      </c>
      <c r="I50" s="9">
        <v>7</v>
      </c>
      <c r="J50" s="9">
        <v>8</v>
      </c>
      <c r="K50" s="9">
        <v>9</v>
      </c>
      <c r="L50" s="9">
        <v>10</v>
      </c>
    </row>
    <row r="51" spans="1:12" x14ac:dyDescent="0.25">
      <c r="A51" t="s">
        <v>250</v>
      </c>
      <c r="B51">
        <f>IF('Event Tracker'!B5&gt;0,'Game Assumptions'!$B$127,1)</f>
        <v>1</v>
      </c>
      <c r="C51">
        <f>IF('Event Tracker'!C5&gt;0,'Game Assumptions'!$B$127,1)</f>
        <v>1</v>
      </c>
      <c r="D51">
        <f>IF('Event Tracker'!D5&gt;0,'Game Assumptions'!$B$127,1)</f>
        <v>1</v>
      </c>
      <c r="E51">
        <f>IF('Event Tracker'!E5&gt;0,'Game Assumptions'!$B$127,1)</f>
        <v>1</v>
      </c>
      <c r="F51">
        <f>IF('Event Tracker'!F5&gt;0,'Game Assumptions'!$B$127,1)</f>
        <v>1</v>
      </c>
      <c r="G51">
        <f>IF('Event Tracker'!G5&gt;0,'Game Assumptions'!$B$127,1)</f>
        <v>1</v>
      </c>
      <c r="H51">
        <f>IF('Event Tracker'!H5&gt;0,'Game Assumptions'!$B$127,1)</f>
        <v>1</v>
      </c>
      <c r="I51">
        <f>IF('Event Tracker'!I5&gt;0,'Game Assumptions'!$B$127,1)</f>
        <v>1</v>
      </c>
      <c r="J51">
        <f>IF('Event Tracker'!J5&gt;0,'Game Assumptions'!$B$127,1)</f>
        <v>1</v>
      </c>
      <c r="K51">
        <f>IF('Event Tracker'!K5&gt;0,'Game Assumptions'!$B$127,1)</f>
        <v>1</v>
      </c>
      <c r="L51">
        <f>IF('Event Tracker'!L5&gt;0,'Game Assumptions'!$B$127,1)</f>
        <v>1</v>
      </c>
    </row>
    <row r="52" spans="1:12" x14ac:dyDescent="0.25">
      <c r="A52" t="s">
        <v>411</v>
      </c>
      <c r="B52">
        <f>'Event Tracker'!B5*'Game Assumptions'!$B$24</f>
        <v>0</v>
      </c>
      <c r="C52">
        <f>IF(AND('Event Tracker'!C5=1,'Event Tracker'!B5=0),1,0)*'Game Assumptions'!$B$24</f>
        <v>0</v>
      </c>
      <c r="D52">
        <f>IF(AND('Event Tracker'!D5=1,'Event Tracker'!C5=0),1,0)*'Game Assumptions'!$B$24</f>
        <v>0</v>
      </c>
      <c r="E52">
        <f>IF(AND('Event Tracker'!E5=1,'Event Tracker'!D5=0),1,0)*'Game Assumptions'!$B$24</f>
        <v>0</v>
      </c>
      <c r="F52">
        <f>IF(AND('Event Tracker'!F5=1,'Event Tracker'!E5=0),1,0)*'Game Assumptions'!$B$24</f>
        <v>0</v>
      </c>
      <c r="G52">
        <f>IF(AND('Event Tracker'!G5=1,'Event Tracker'!F5=0),1,0)*'Game Assumptions'!$B$24</f>
        <v>0</v>
      </c>
      <c r="H52">
        <f>IF(AND('Event Tracker'!H5=1,'Event Tracker'!G5=0),1,0)*'Game Assumptions'!$B$24</f>
        <v>0</v>
      </c>
      <c r="I52">
        <f>IF(AND('Event Tracker'!I5=1,'Event Tracker'!H5=0),1,0)*'Game Assumptions'!$B$24</f>
        <v>0</v>
      </c>
      <c r="J52">
        <f>IF(AND('Event Tracker'!J5=1,'Event Tracker'!I5=0),1,0)*'Game Assumptions'!$B$24</f>
        <v>0</v>
      </c>
      <c r="K52">
        <f>IF(AND('Event Tracker'!K5=1,'Event Tracker'!J5=0),1,0)*'Game Assumptions'!$B$24</f>
        <v>0</v>
      </c>
      <c r="L52">
        <f>IF(AND('Event Tracker'!L5=1,'Event Tracker'!K5=0),1,0)*'Game Assumptions'!$B$24</f>
        <v>0</v>
      </c>
    </row>
    <row r="54" spans="1:12" x14ac:dyDescent="0.25">
      <c r="A54" s="9" t="s">
        <v>169</v>
      </c>
      <c r="B54" s="9">
        <v>0</v>
      </c>
      <c r="C54" s="9">
        <v>1</v>
      </c>
      <c r="D54" s="9">
        <v>2</v>
      </c>
      <c r="E54" s="9">
        <v>3</v>
      </c>
      <c r="F54" s="9">
        <v>4</v>
      </c>
      <c r="G54" s="9">
        <v>5</v>
      </c>
      <c r="H54" s="9">
        <v>6</v>
      </c>
      <c r="I54" s="9">
        <v>7</v>
      </c>
      <c r="J54" s="9">
        <v>8</v>
      </c>
      <c r="K54" s="9">
        <v>9</v>
      </c>
      <c r="L54" s="9">
        <v>10</v>
      </c>
    </row>
    <row r="55" spans="1:12" x14ac:dyDescent="0.25">
      <c r="A55" t="s">
        <v>412</v>
      </c>
      <c r="B55">
        <f t="shared" ref="B55:L55" si="12">SUMPRODUCT(B19:B22,B29:B32)*B48*B51</f>
        <v>612.30288135167439</v>
      </c>
      <c r="C55">
        <f t="shared" si="12"/>
        <v>612.30288135167439</v>
      </c>
      <c r="D55">
        <f t="shared" si="12"/>
        <v>612.30288135167439</v>
      </c>
      <c r="E55">
        <f t="shared" si="12"/>
        <v>612.30288135167439</v>
      </c>
      <c r="F55">
        <f t="shared" si="12"/>
        <v>612.30288135167439</v>
      </c>
      <c r="G55">
        <f t="shared" si="12"/>
        <v>612.30288135167439</v>
      </c>
      <c r="H55">
        <f t="shared" si="12"/>
        <v>612.30288135167439</v>
      </c>
      <c r="I55">
        <f t="shared" si="12"/>
        <v>612.30288135167439</v>
      </c>
      <c r="J55">
        <f t="shared" si="12"/>
        <v>612.30288135167439</v>
      </c>
      <c r="K55">
        <f t="shared" si="12"/>
        <v>612.30288135167439</v>
      </c>
      <c r="L55">
        <f t="shared" si="12"/>
        <v>612.30288135167439</v>
      </c>
    </row>
    <row r="56" spans="1:12" x14ac:dyDescent="0.25">
      <c r="A56" t="s">
        <v>413</v>
      </c>
      <c r="B56">
        <f>SUM(B30*B20,B32*B22,B33*B23)</f>
        <v>181.01911637665063</v>
      </c>
      <c r="C56">
        <f t="shared" ref="C56:L56" si="13">SUM(C30*C20,C32*C22,C33*C23)</f>
        <v>181.01911637665063</v>
      </c>
      <c r="D56">
        <f t="shared" si="13"/>
        <v>181.01911637665063</v>
      </c>
      <c r="E56">
        <f t="shared" si="13"/>
        <v>181.01911637665063</v>
      </c>
      <c r="F56">
        <f t="shared" si="13"/>
        <v>181.01911637665063</v>
      </c>
      <c r="G56">
        <f t="shared" si="13"/>
        <v>181.01911637665063</v>
      </c>
      <c r="H56">
        <f t="shared" si="13"/>
        <v>181.01911637665063</v>
      </c>
      <c r="I56">
        <f t="shared" si="13"/>
        <v>181.01911637665063</v>
      </c>
      <c r="J56">
        <f t="shared" si="13"/>
        <v>181.01911637665063</v>
      </c>
      <c r="K56">
        <f t="shared" si="13"/>
        <v>181.01911637665063</v>
      </c>
      <c r="L56">
        <f t="shared" si="13"/>
        <v>181.01911637665063</v>
      </c>
    </row>
    <row r="58" spans="1:12" x14ac:dyDescent="0.25">
      <c r="A58" s="9" t="s">
        <v>170</v>
      </c>
      <c r="B58" s="9">
        <v>0</v>
      </c>
      <c r="C58" s="9">
        <v>1</v>
      </c>
      <c r="D58" s="9">
        <v>2</v>
      </c>
      <c r="E58" s="9">
        <v>3</v>
      </c>
      <c r="F58" s="9">
        <v>4</v>
      </c>
      <c r="G58" s="9">
        <v>5</v>
      </c>
      <c r="H58" s="9">
        <v>6</v>
      </c>
      <c r="I58" s="9">
        <v>7</v>
      </c>
      <c r="J58" s="9">
        <v>8</v>
      </c>
      <c r="K58" s="9">
        <v>9</v>
      </c>
      <c r="L58" s="9">
        <v>10</v>
      </c>
    </row>
    <row r="59" spans="1:12" x14ac:dyDescent="0.25">
      <c r="A59" t="s">
        <v>412</v>
      </c>
      <c r="B59" s="88">
        <f>MAX('Resource Mix and Demand'!B27,'Resource Mix and Demand'!B28)</f>
        <v>30</v>
      </c>
      <c r="C59" s="88">
        <f>MAX('Resource Mix and Demand'!C27,'Resource Mix and Demand'!C28)</f>
        <v>30</v>
      </c>
      <c r="D59" s="88">
        <f>MAX('Resource Mix and Demand'!D27,'Resource Mix and Demand'!D28)</f>
        <v>30</v>
      </c>
      <c r="E59" s="88">
        <f>MAX('Resource Mix and Demand'!E27,'Resource Mix and Demand'!E28)</f>
        <v>30</v>
      </c>
      <c r="F59" s="88">
        <f>MAX('Resource Mix and Demand'!F27,'Resource Mix and Demand'!F28)</f>
        <v>30</v>
      </c>
      <c r="G59" s="88">
        <f>MAX('Resource Mix and Demand'!G27,'Resource Mix and Demand'!G28)</f>
        <v>30</v>
      </c>
      <c r="H59" s="88">
        <f>MAX('Resource Mix and Demand'!H27,'Resource Mix and Demand'!H28)</f>
        <v>30</v>
      </c>
      <c r="I59" s="88">
        <f>MAX('Resource Mix and Demand'!I27,'Resource Mix and Demand'!I28)</f>
        <v>30</v>
      </c>
      <c r="J59" s="88">
        <f>MAX('Resource Mix and Demand'!J27,'Resource Mix and Demand'!J28)</f>
        <v>30</v>
      </c>
      <c r="K59" s="88">
        <f>MAX('Resource Mix and Demand'!K27,'Resource Mix and Demand'!K28)</f>
        <v>30</v>
      </c>
      <c r="L59" s="88">
        <f>MAX('Resource Mix and Demand'!L27,'Resource Mix and Demand'!L28)</f>
        <v>30</v>
      </c>
    </row>
    <row r="60" spans="1:12" x14ac:dyDescent="0.25">
      <c r="A60" t="s">
        <v>413</v>
      </c>
      <c r="B60" s="88">
        <f>'Resource Mix and Demand'!B32</f>
        <v>10</v>
      </c>
      <c r="C60" s="88">
        <f>'Resource Mix and Demand'!C32</f>
        <v>15</v>
      </c>
      <c r="D60" s="88">
        <f>'Resource Mix and Demand'!D32</f>
        <v>21</v>
      </c>
      <c r="E60" s="88">
        <f>'Resource Mix and Demand'!E32</f>
        <v>28</v>
      </c>
      <c r="F60" s="88">
        <f>'Resource Mix and Demand'!F32</f>
        <v>36</v>
      </c>
      <c r="G60" s="88">
        <f>'Resource Mix and Demand'!G32</f>
        <v>45</v>
      </c>
      <c r="H60" s="88">
        <f>'Resource Mix and Demand'!H32</f>
        <v>55</v>
      </c>
      <c r="I60" s="88">
        <f>'Resource Mix and Demand'!I32</f>
        <v>66</v>
      </c>
      <c r="J60" s="88">
        <f>'Resource Mix and Demand'!J32</f>
        <v>78</v>
      </c>
      <c r="K60" s="88">
        <f>'Resource Mix and Demand'!K32</f>
        <v>91</v>
      </c>
      <c r="L60" s="88">
        <f>'Resource Mix and Demand'!L32</f>
        <v>105</v>
      </c>
    </row>
    <row r="62" spans="1:12" x14ac:dyDescent="0.25">
      <c r="A62" s="9" t="s">
        <v>174</v>
      </c>
      <c r="B62" s="9">
        <v>0</v>
      </c>
      <c r="C62" s="9">
        <v>1</v>
      </c>
      <c r="D62" s="9">
        <v>2</v>
      </c>
      <c r="E62" s="9">
        <v>3</v>
      </c>
      <c r="F62" s="9">
        <v>4</v>
      </c>
      <c r="G62" s="9">
        <v>5</v>
      </c>
      <c r="H62" s="9">
        <v>6</v>
      </c>
      <c r="I62" s="9">
        <v>7</v>
      </c>
      <c r="J62" s="9">
        <v>8</v>
      </c>
      <c r="K62" s="9">
        <v>9</v>
      </c>
      <c r="L62" s="9">
        <v>10</v>
      </c>
    </row>
    <row r="63" spans="1:12" x14ac:dyDescent="0.25">
      <c r="A63" t="s">
        <v>173</v>
      </c>
      <c r="B63">
        <f>'Resource Mix and Demand'!B57/8760/('Game Assumptions'!$B$75*(1-'Game Assumptions'!$B$78)^Reliability!B62)</f>
        <v>2054.794520547945</v>
      </c>
      <c r="C63">
        <f>'Resource Mix and Demand'!C57/8760/('Game Assumptions'!$B$75*(1-'Game Assumptions'!$B$78)^Reliability!C62)</f>
        <v>2071.270536176623</v>
      </c>
      <c r="D63">
        <f>'Resource Mix and Demand'!D57/8760/('Game Assumptions'!$B$75*(1-'Game Assumptions'!$B$78)^Reliability!D62)</f>
        <v>2111.0653309204099</v>
      </c>
      <c r="E63">
        <f>'Resource Mix and Demand'!E57/8760/('Game Assumptions'!$B$75*(1-'Game Assumptions'!$B$78)^Reliability!E62)</f>
        <v>2126.3248385855536</v>
      </c>
      <c r="F63">
        <f>'Resource Mix and Demand'!F57/8760/('Game Assumptions'!$B$75*(1-'Game Assumptions'!$B$78)^Reliability!F62)</f>
        <v>2140.5089339308788</v>
      </c>
      <c r="G63">
        <f>'Resource Mix and Demand'!G57/8760/('Game Assumptions'!$B$75*(1-'Game Assumptions'!$B$78)^Reliability!G62)</f>
        <v>2233.2971115413466</v>
      </c>
      <c r="H63">
        <f>'Resource Mix and Demand'!H57/8760/('Game Assumptions'!$B$75*(1-'Game Assumptions'!$B$78)^Reliability!H62)</f>
        <v>2247.5498667941874</v>
      </c>
      <c r="I63">
        <f>'Resource Mix and Demand'!I57/8760/('Game Assumptions'!$B$75*(1-'Game Assumptions'!$B$78)^Reliability!I62)</f>
        <v>2260.5480178970961</v>
      </c>
      <c r="J63">
        <f>'Resource Mix and Demand'!J57/8760/('Game Assumptions'!$B$75*(1-'Game Assumptions'!$B$78)^Reliability!J62)</f>
        <v>2388.7234209737353</v>
      </c>
      <c r="K63">
        <f>'Resource Mix and Demand'!K57/8760/('Game Assumptions'!$B$75*(1-'Game Assumptions'!$B$78)^Reliability!K62)</f>
        <v>2432.5697397394088</v>
      </c>
      <c r="L63">
        <f>'Resource Mix and Demand'!L57/8760/('Game Assumptions'!$B$75*(1-'Game Assumptions'!$B$78)^Reliability!L62)</f>
        <v>2476.843313976743</v>
      </c>
    </row>
    <row r="65" spans="1:12" x14ac:dyDescent="0.25">
      <c r="A65" s="9" t="s">
        <v>175</v>
      </c>
      <c r="B65" s="9">
        <v>0</v>
      </c>
      <c r="C65" s="9">
        <v>1</v>
      </c>
      <c r="D65" s="9">
        <v>2</v>
      </c>
      <c r="E65" s="9">
        <v>3</v>
      </c>
      <c r="F65" s="9">
        <v>4</v>
      </c>
      <c r="G65" s="9">
        <v>5</v>
      </c>
      <c r="H65" s="9">
        <v>6</v>
      </c>
      <c r="I65" s="9">
        <v>7</v>
      </c>
      <c r="J65" s="9">
        <v>8</v>
      </c>
      <c r="K65" s="9">
        <v>9</v>
      </c>
      <c r="L65" s="9">
        <v>10</v>
      </c>
    </row>
    <row r="66" spans="1:12" x14ac:dyDescent="0.25">
      <c r="A66" t="s">
        <v>173</v>
      </c>
      <c r="B66">
        <f>'Resource Mix and Demand'!B60/8760/(('Game Assumptions'!$B$75*(1-'Game Assumptions'!$B$78)^Reliability!B65)+'Event Tracker'!B5*'Game Assumptions'!$B$76)-'Resource Mix and Demand'!B64</f>
        <v>2054.794520547945</v>
      </c>
      <c r="C66">
        <f>'Resource Mix and Demand'!C60/8760/(('Game Assumptions'!$B$75*(1-'Game Assumptions'!$B$78)^Reliability!C65)+'Event Tracker'!C5*'Game Assumptions'!$B$76)-'Resource Mix and Demand'!C64</f>
        <v>1988.4197147295581</v>
      </c>
      <c r="D66">
        <f>'Resource Mix and Demand'!D60/8760/(('Game Assumptions'!$B$75*(1-'Game Assumptions'!$B$78)^Reliability!D65)+'Event Tracker'!D5*'Game Assumptions'!$B$76)-'Resource Mix and Demand'!D64</f>
        <v>2216.6185974664309</v>
      </c>
      <c r="E66">
        <f>'Resource Mix and Demand'!E60/8760/(('Game Assumptions'!$B$75*(1-'Game Assumptions'!$B$78)^Reliability!E65)+'Event Tracker'!E5*'Game Assumptions'!$B$76)-'Resource Mix and Demand'!E64</f>
        <v>2211.3778321289756</v>
      </c>
      <c r="F66">
        <f>'Resource Mix and Demand'!F60/8760/(('Game Assumptions'!$B$75*(1-'Game Assumptions'!$B$78)^Reliability!F65)+'Event Tracker'!F5*'Game Assumptions'!$B$76)-'Resource Mix and Demand'!F64</f>
        <v>2247.5343806274223</v>
      </c>
      <c r="G66">
        <f>'Resource Mix and Demand'!G60/8760/(('Game Assumptions'!$B$75*(1-'Game Assumptions'!$B$78)^Reliability!G65)+'Event Tracker'!G5*'Game Assumptions'!$B$76)-'Resource Mix and Demand'!G64</f>
        <v>2277.9630537721737</v>
      </c>
      <c r="H66">
        <f>'Resource Mix and Demand'!H60/8760/(('Game Assumptions'!$B$75*(1-'Game Assumptions'!$B$78)^Reliability!H65)+'Event Tracker'!H5*'Game Assumptions'!$B$76)-'Resource Mix and Demand'!H64</f>
        <v>2180.1233707903621</v>
      </c>
      <c r="I66">
        <f>'Resource Mix and Demand'!I60/8760/(('Game Assumptions'!$B$75*(1-'Game Assumptions'!$B$78)^Reliability!I65)+'Event Tracker'!I5*'Game Assumptions'!$B$76)-'Resource Mix and Demand'!I64</f>
        <v>2373.5754187919511</v>
      </c>
      <c r="J66">
        <f>'Resource Mix and Demand'!J60/8760/(('Game Assumptions'!$B$75*(1-'Game Assumptions'!$B$78)^Reliability!J65)+'Event Tracker'!J5*'Game Assumptions'!$B$76)-'Resource Mix and Demand'!J64</f>
        <v>2364.8361867639978</v>
      </c>
      <c r="K66">
        <f>'Resource Mix and Demand'!K60/8760/(('Game Assumptions'!$B$75*(1-'Game Assumptions'!$B$78)^Reliability!K65)+'Event Tracker'!K5*'Game Assumptions'!$B$76)-'Resource Mix and Demand'!K64</f>
        <v>2335.2669501498326</v>
      </c>
      <c r="L66">
        <f>'Resource Mix and Demand'!L60/8760/(('Game Assumptions'!$B$75*(1-'Game Assumptions'!$B$78)^Reliability!L65)+'Event Tracker'!L5*'Game Assumptions'!$B$76)-'Resource Mix and Demand'!L64</f>
        <v>2476.843313976743</v>
      </c>
    </row>
    <row r="68" spans="1:12" x14ac:dyDescent="0.25">
      <c r="A68" s="9" t="s">
        <v>382</v>
      </c>
      <c r="B68" s="9">
        <v>0</v>
      </c>
      <c r="C68" s="9">
        <v>1</v>
      </c>
      <c r="D68" s="9">
        <v>2</v>
      </c>
      <c r="E68" s="9">
        <v>3</v>
      </c>
      <c r="F68" s="9">
        <v>4</v>
      </c>
      <c r="G68" s="9">
        <v>5</v>
      </c>
      <c r="H68" s="9">
        <v>6</v>
      </c>
      <c r="I68" s="9">
        <v>7</v>
      </c>
      <c r="J68" s="9">
        <v>8</v>
      </c>
      <c r="K68" s="9">
        <v>9</v>
      </c>
      <c r="L68" s="9">
        <v>10</v>
      </c>
    </row>
    <row r="69" spans="1:12" x14ac:dyDescent="0.25">
      <c r="A69" t="s">
        <v>7</v>
      </c>
      <c r="B69" s="16">
        <f>'Resource Mix and Demand'!B24*'Game Assumptions'!$H$55</f>
        <v>375</v>
      </c>
      <c r="C69" s="16">
        <f>'Resource Mix and Demand'!C24*'Game Assumptions'!$H$55</f>
        <v>150</v>
      </c>
      <c r="D69" s="16">
        <f>'Resource Mix and Demand'!D24*'Game Assumptions'!$H$55</f>
        <v>150</v>
      </c>
      <c r="E69" s="16">
        <f>'Resource Mix and Demand'!E24*'Game Assumptions'!$H$55</f>
        <v>150</v>
      </c>
      <c r="F69" s="16">
        <f>'Resource Mix and Demand'!F24*'Game Assumptions'!$H$55</f>
        <v>150</v>
      </c>
      <c r="G69" s="16">
        <f>'Resource Mix and Demand'!G24*'Game Assumptions'!$H$55</f>
        <v>75</v>
      </c>
      <c r="H69" s="16">
        <f>'Resource Mix and Demand'!H24*'Game Assumptions'!$H$55</f>
        <v>75</v>
      </c>
      <c r="I69" s="16">
        <f>'Resource Mix and Demand'!I24*'Game Assumptions'!$H$55</f>
        <v>75</v>
      </c>
      <c r="J69" s="16">
        <f>'Resource Mix and Demand'!J24*'Game Assumptions'!$H$55</f>
        <v>75</v>
      </c>
      <c r="K69" s="16">
        <f>'Resource Mix and Demand'!K24*'Game Assumptions'!$H$55</f>
        <v>75</v>
      </c>
      <c r="L69" s="16">
        <f>'Resource Mix and Demand'!L24*'Game Assumptions'!$H$55</f>
        <v>75</v>
      </c>
    </row>
    <row r="70" spans="1:12" x14ac:dyDescent="0.25">
      <c r="A70" t="s">
        <v>8</v>
      </c>
      <c r="B70" s="16">
        <f>'Resource Mix and Demand'!B25*'Game Assumptions'!$H$56</f>
        <v>1020</v>
      </c>
      <c r="C70" s="16">
        <f>'Resource Mix and Demand'!C25*'Game Assumptions'!$H$56</f>
        <v>1020</v>
      </c>
      <c r="D70" s="16">
        <f>'Resource Mix and Demand'!D25*'Game Assumptions'!$H$56</f>
        <v>1020</v>
      </c>
      <c r="E70" s="16">
        <f>'Resource Mix and Demand'!E25*'Game Assumptions'!$H$56</f>
        <v>1020</v>
      </c>
      <c r="F70" s="16">
        <f>'Resource Mix and Demand'!F25*'Game Assumptions'!$H$56</f>
        <v>1020</v>
      </c>
      <c r="G70" s="16">
        <f>'Resource Mix and Demand'!G25*'Game Assumptions'!$H$56</f>
        <v>1020</v>
      </c>
      <c r="H70" s="16">
        <f>'Resource Mix and Demand'!H25*'Game Assumptions'!$H$56</f>
        <v>1020</v>
      </c>
      <c r="I70" s="16">
        <f>'Resource Mix and Demand'!I25*'Game Assumptions'!$H$56</f>
        <v>1020</v>
      </c>
      <c r="J70" s="16">
        <f>'Resource Mix and Demand'!J25*'Game Assumptions'!$H$56</f>
        <v>1020</v>
      </c>
      <c r="K70" s="16">
        <f>'Resource Mix and Demand'!K25*'Game Assumptions'!$H$56</f>
        <v>1020</v>
      </c>
      <c r="L70" s="16">
        <f>'Resource Mix and Demand'!L25*'Game Assumptions'!$H$56</f>
        <v>1020</v>
      </c>
    </row>
    <row r="71" spans="1:12" x14ac:dyDescent="0.25">
      <c r="A71" t="s">
        <v>13</v>
      </c>
      <c r="B71" s="16">
        <f>'Resource Mix and Demand'!B26*'Game Assumptions'!$H$57</f>
        <v>450</v>
      </c>
      <c r="C71" s="16">
        <f>'Resource Mix and Demand'!C26*'Game Assumptions'!$H$57</f>
        <v>450</v>
      </c>
      <c r="D71" s="16">
        <f>'Resource Mix and Demand'!D26*'Game Assumptions'!$H$57</f>
        <v>450</v>
      </c>
      <c r="E71" s="16">
        <f>'Resource Mix and Demand'!E26*'Game Assumptions'!$H$57</f>
        <v>0</v>
      </c>
      <c r="F71" s="16">
        <f>'Resource Mix and Demand'!F26*'Game Assumptions'!$H$57</f>
        <v>0</v>
      </c>
      <c r="G71" s="16">
        <f>'Resource Mix and Demand'!G26*'Game Assumptions'!$H$57</f>
        <v>0</v>
      </c>
      <c r="H71" s="16">
        <f>'Resource Mix and Demand'!H26*'Game Assumptions'!$H$57</f>
        <v>0</v>
      </c>
      <c r="I71" s="16">
        <f>'Resource Mix and Demand'!I26*'Game Assumptions'!$H$57</f>
        <v>0</v>
      </c>
      <c r="J71" s="16">
        <f>'Resource Mix and Demand'!J26*'Game Assumptions'!$H$57</f>
        <v>0</v>
      </c>
      <c r="K71" s="16">
        <f>'Resource Mix and Demand'!K26*'Game Assumptions'!$H$57</f>
        <v>0</v>
      </c>
      <c r="L71" s="16">
        <f>'Resource Mix and Demand'!L26*'Game Assumptions'!$H$57</f>
        <v>0</v>
      </c>
    </row>
    <row r="72" spans="1:12" x14ac:dyDescent="0.25">
      <c r="A72" t="s">
        <v>9</v>
      </c>
      <c r="B72" s="16">
        <f>MIN('Resource Mix and Demand'!B27,B55)*'Game Assumptions'!$H$58</f>
        <v>7.5</v>
      </c>
      <c r="C72" s="16">
        <f>'Resource Mix and Demand'!C27*'Game Assumptions'!$H$58</f>
        <v>7.5</v>
      </c>
      <c r="D72" s="16">
        <f>'Resource Mix and Demand'!D27*'Game Assumptions'!$H$58</f>
        <v>7.5</v>
      </c>
      <c r="E72" s="16">
        <f>'Resource Mix and Demand'!E27*'Game Assumptions'!$H$58</f>
        <v>7.5</v>
      </c>
      <c r="F72" s="16">
        <f>'Resource Mix and Demand'!F27*'Game Assumptions'!$H$58</f>
        <v>7.5</v>
      </c>
      <c r="G72" s="16">
        <f>'Resource Mix and Demand'!G27*'Game Assumptions'!$H$58</f>
        <v>7.5</v>
      </c>
      <c r="H72" s="16">
        <f>'Resource Mix and Demand'!H27*'Game Assumptions'!$H$58</f>
        <v>7.5</v>
      </c>
      <c r="I72" s="16">
        <f>'Resource Mix and Demand'!I27*'Game Assumptions'!$H$58</f>
        <v>7.5</v>
      </c>
      <c r="J72" s="16">
        <f>'Resource Mix and Demand'!J27*'Game Assumptions'!$H$58</f>
        <v>7.5</v>
      </c>
      <c r="K72" s="16">
        <f>'Resource Mix and Demand'!K27*'Game Assumptions'!$H$58</f>
        <v>7.5</v>
      </c>
      <c r="L72" s="16">
        <f>'Resource Mix and Demand'!L27*'Game Assumptions'!$H$58</f>
        <v>7.5</v>
      </c>
    </row>
    <row r="73" spans="1:12" x14ac:dyDescent="0.25">
      <c r="A73" t="s">
        <v>10</v>
      </c>
      <c r="B73" s="16">
        <f>MIN('Resource Mix and Demand'!B28,B55)*'Game Assumptions'!$H$59</f>
        <v>9</v>
      </c>
      <c r="C73" s="16">
        <f>'Resource Mix and Demand'!C28*'Game Assumptions'!$H$59</f>
        <v>9</v>
      </c>
      <c r="D73" s="16">
        <f>'Resource Mix and Demand'!D28*'Game Assumptions'!$H$59</f>
        <v>9</v>
      </c>
      <c r="E73" s="16">
        <f>'Resource Mix and Demand'!E28*'Game Assumptions'!$H$59</f>
        <v>9</v>
      </c>
      <c r="F73" s="16">
        <f>'Resource Mix and Demand'!F28*'Game Assumptions'!$H$59</f>
        <v>9</v>
      </c>
      <c r="G73" s="16">
        <f>'Resource Mix and Demand'!G28*'Game Assumptions'!$H$59</f>
        <v>9</v>
      </c>
      <c r="H73" s="16">
        <f>'Resource Mix and Demand'!H28*'Game Assumptions'!$H$59</f>
        <v>9</v>
      </c>
      <c r="I73" s="16">
        <f>'Resource Mix and Demand'!I28*'Game Assumptions'!$H$59</f>
        <v>9</v>
      </c>
      <c r="J73" s="16">
        <f>'Resource Mix and Demand'!J28*'Game Assumptions'!$H$59</f>
        <v>9</v>
      </c>
      <c r="K73" s="16">
        <f>'Resource Mix and Demand'!K28*'Game Assumptions'!$H$59</f>
        <v>9</v>
      </c>
      <c r="L73" s="16">
        <f>'Resource Mix and Demand'!L28*'Game Assumptions'!$H$59</f>
        <v>9</v>
      </c>
    </row>
    <row r="74" spans="1:12" x14ac:dyDescent="0.25">
      <c r="A74" t="s">
        <v>11</v>
      </c>
      <c r="B74" s="16">
        <f>'Resource Mix and Demand'!B29*'Game Assumptions'!$H$60</f>
        <v>18</v>
      </c>
      <c r="C74" s="16">
        <f>'Resource Mix and Demand'!C29*'Game Assumptions'!$H$60</f>
        <v>18</v>
      </c>
      <c r="D74" s="16">
        <f>'Resource Mix and Demand'!D29*'Game Assumptions'!$H$60</f>
        <v>18</v>
      </c>
      <c r="E74" s="16">
        <f>'Resource Mix and Demand'!E29*'Game Assumptions'!$H$60</f>
        <v>18</v>
      </c>
      <c r="F74" s="16">
        <f>'Resource Mix and Demand'!F29*'Game Assumptions'!$H$60</f>
        <v>18</v>
      </c>
      <c r="G74" s="16">
        <f>'Resource Mix and Demand'!G29*'Game Assumptions'!$H$60</f>
        <v>18</v>
      </c>
      <c r="H74" s="16">
        <f>'Resource Mix and Demand'!H29*'Game Assumptions'!$H$60</f>
        <v>18</v>
      </c>
      <c r="I74" s="16">
        <f>'Resource Mix and Demand'!I29*'Game Assumptions'!$H$60</f>
        <v>18</v>
      </c>
      <c r="J74" s="16">
        <f>'Resource Mix and Demand'!J29*'Game Assumptions'!$H$60</f>
        <v>18</v>
      </c>
      <c r="K74" s="16">
        <f>'Resource Mix and Demand'!K29*'Game Assumptions'!$H$60</f>
        <v>18</v>
      </c>
      <c r="L74" s="16">
        <f>'Resource Mix and Demand'!L29*'Game Assumptions'!$H$60</f>
        <v>18</v>
      </c>
    </row>
    <row r="75" spans="1:12" x14ac:dyDescent="0.25">
      <c r="A75" t="s">
        <v>176</v>
      </c>
      <c r="B75" s="16">
        <f t="shared" ref="B75:L75" si="14">B19</f>
        <v>300</v>
      </c>
      <c r="C75" s="16">
        <f t="shared" si="14"/>
        <v>300</v>
      </c>
      <c r="D75" s="16">
        <f t="shared" si="14"/>
        <v>300</v>
      </c>
      <c r="E75" s="16">
        <f t="shared" si="14"/>
        <v>300</v>
      </c>
      <c r="F75" s="16">
        <f t="shared" si="14"/>
        <v>300</v>
      </c>
      <c r="G75" s="16">
        <f t="shared" si="14"/>
        <v>300</v>
      </c>
      <c r="H75" s="16">
        <f t="shared" si="14"/>
        <v>300</v>
      </c>
      <c r="I75" s="16">
        <f t="shared" si="14"/>
        <v>300</v>
      </c>
      <c r="J75" s="16">
        <f t="shared" si="14"/>
        <v>300</v>
      </c>
      <c r="K75" s="16">
        <f t="shared" si="14"/>
        <v>300</v>
      </c>
      <c r="L75" s="16">
        <f t="shared" si="14"/>
        <v>300</v>
      </c>
    </row>
    <row r="76" spans="1:12" x14ac:dyDescent="0.25">
      <c r="A76" t="s">
        <v>155</v>
      </c>
      <c r="B76" s="16">
        <f t="shared" ref="B76:L76" si="15">B20</f>
        <v>10</v>
      </c>
      <c r="C76" s="16">
        <f t="shared" si="15"/>
        <v>10</v>
      </c>
      <c r="D76" s="16">
        <f t="shared" si="15"/>
        <v>10</v>
      </c>
      <c r="E76" s="16">
        <f t="shared" si="15"/>
        <v>10</v>
      </c>
      <c r="F76" s="16">
        <f t="shared" si="15"/>
        <v>10</v>
      </c>
      <c r="G76" s="16">
        <f t="shared" si="15"/>
        <v>10</v>
      </c>
      <c r="H76" s="16">
        <f t="shared" si="15"/>
        <v>10</v>
      </c>
      <c r="I76" s="16">
        <f t="shared" si="15"/>
        <v>10</v>
      </c>
      <c r="J76" s="16">
        <f t="shared" si="15"/>
        <v>10</v>
      </c>
      <c r="K76" s="16">
        <f t="shared" si="15"/>
        <v>10</v>
      </c>
      <c r="L76" s="16">
        <f t="shared" si="15"/>
        <v>10</v>
      </c>
    </row>
    <row r="77" spans="1:12" x14ac:dyDescent="0.25">
      <c r="A77" t="s">
        <v>154</v>
      </c>
      <c r="B77" s="16">
        <f t="shared" ref="B77:L77" si="16">B21</f>
        <v>200</v>
      </c>
      <c r="C77" s="16">
        <f t="shared" si="16"/>
        <v>200</v>
      </c>
      <c r="D77" s="16">
        <f t="shared" si="16"/>
        <v>200</v>
      </c>
      <c r="E77" s="16">
        <f t="shared" si="16"/>
        <v>200</v>
      </c>
      <c r="F77" s="16">
        <f t="shared" si="16"/>
        <v>200</v>
      </c>
      <c r="G77" s="16">
        <f t="shared" si="16"/>
        <v>200</v>
      </c>
      <c r="H77" s="16">
        <f t="shared" si="16"/>
        <v>200</v>
      </c>
      <c r="I77" s="16">
        <f t="shared" si="16"/>
        <v>200</v>
      </c>
      <c r="J77" s="16">
        <f t="shared" si="16"/>
        <v>200</v>
      </c>
      <c r="K77" s="16">
        <f t="shared" si="16"/>
        <v>200</v>
      </c>
      <c r="L77" s="16">
        <f t="shared" si="16"/>
        <v>200</v>
      </c>
    </row>
    <row r="78" spans="1:12" x14ac:dyDescent="0.25">
      <c r="A78" t="s">
        <v>261</v>
      </c>
      <c r="B78" s="16">
        <f t="shared" ref="B78:L78" si="17">B24</f>
        <v>10</v>
      </c>
      <c r="C78" s="16">
        <f t="shared" si="17"/>
        <v>10</v>
      </c>
      <c r="D78" s="16">
        <f t="shared" si="17"/>
        <v>10</v>
      </c>
      <c r="E78" s="16">
        <f t="shared" si="17"/>
        <v>10</v>
      </c>
      <c r="F78" s="16">
        <f t="shared" si="17"/>
        <v>10</v>
      </c>
      <c r="G78" s="16">
        <f t="shared" si="17"/>
        <v>10</v>
      </c>
      <c r="H78" s="16">
        <f t="shared" si="17"/>
        <v>10</v>
      </c>
      <c r="I78" s="16">
        <f t="shared" si="17"/>
        <v>10</v>
      </c>
      <c r="J78" s="16">
        <f t="shared" si="17"/>
        <v>10</v>
      </c>
      <c r="K78" s="16">
        <f t="shared" si="17"/>
        <v>10</v>
      </c>
      <c r="L78" s="16">
        <f t="shared" si="17"/>
        <v>10</v>
      </c>
    </row>
    <row r="79" spans="1:12" x14ac:dyDescent="0.25">
      <c r="A79" t="s">
        <v>262</v>
      </c>
      <c r="B79" s="16">
        <f>B25</f>
        <v>10</v>
      </c>
      <c r="C79" s="16">
        <f t="shared" ref="C79:L79" si="18">C25</f>
        <v>10.5</v>
      </c>
      <c r="D79" s="16">
        <f t="shared" si="18"/>
        <v>11.5</v>
      </c>
      <c r="E79" s="16">
        <f t="shared" si="18"/>
        <v>13</v>
      </c>
      <c r="F79" s="16">
        <f t="shared" si="18"/>
        <v>15</v>
      </c>
      <c r="G79" s="16">
        <f t="shared" si="18"/>
        <v>17.5</v>
      </c>
      <c r="H79" s="16">
        <f t="shared" si="18"/>
        <v>20.5</v>
      </c>
      <c r="I79" s="16">
        <f t="shared" si="18"/>
        <v>24</v>
      </c>
      <c r="J79" s="16">
        <f t="shared" si="18"/>
        <v>28</v>
      </c>
      <c r="K79" s="16">
        <f t="shared" si="18"/>
        <v>32.5</v>
      </c>
      <c r="L79" s="16">
        <f t="shared" si="18"/>
        <v>37.5</v>
      </c>
    </row>
    <row r="80" spans="1:12" x14ac:dyDescent="0.25">
      <c r="A80" t="s">
        <v>399</v>
      </c>
      <c r="B80" s="16">
        <f>MIN(B26,B56)*'Game Assumptions'!$H$63</f>
        <v>2.5</v>
      </c>
      <c r="C80" s="16">
        <f>MIN(C26,C56)*'Game Assumptions'!$H$63</f>
        <v>3.75</v>
      </c>
      <c r="D80" s="16">
        <f>MIN(D26,D56)*'Game Assumptions'!$H$63</f>
        <v>5.25</v>
      </c>
      <c r="E80" s="16">
        <f>MIN(E26,E56)*'Game Assumptions'!$H$63</f>
        <v>7</v>
      </c>
      <c r="F80" s="16">
        <f>MIN(F26,F56)*'Game Assumptions'!$H$63</f>
        <v>9</v>
      </c>
      <c r="G80" s="16">
        <f>MIN(G26,G56)*'Game Assumptions'!$H$63</f>
        <v>11.25</v>
      </c>
      <c r="H80" s="16">
        <f>MIN(H26,H56)*'Game Assumptions'!$H$63</f>
        <v>13.75</v>
      </c>
      <c r="I80" s="16">
        <f>MIN(I26,I56)*'Game Assumptions'!$H$63</f>
        <v>16.5</v>
      </c>
      <c r="J80" s="16">
        <f>MIN(J26,J56)*'Game Assumptions'!$H$63</f>
        <v>19.5</v>
      </c>
      <c r="K80" s="16">
        <f>MIN(K26,K56)*'Game Assumptions'!$H$63</f>
        <v>22.75</v>
      </c>
      <c r="L80" s="16">
        <f>MIN(L26,L56)*'Game Assumptions'!$H$63</f>
        <v>26.25</v>
      </c>
    </row>
    <row r="82" spans="1:12" x14ac:dyDescent="0.25">
      <c r="A82" s="9" t="s">
        <v>383</v>
      </c>
      <c r="B82" s="87"/>
      <c r="C82" s="87"/>
      <c r="D82" s="87"/>
      <c r="E82" s="87"/>
      <c r="F82" s="87"/>
      <c r="G82" s="87"/>
      <c r="H82" s="87"/>
      <c r="I82" s="87"/>
      <c r="J82" s="87"/>
      <c r="K82" s="87"/>
      <c r="L82" s="87"/>
    </row>
    <row r="83" spans="1:12" x14ac:dyDescent="0.25">
      <c r="A83" t="s">
        <v>261</v>
      </c>
      <c r="B83" s="16">
        <f t="shared" ref="B83:L83" si="19">B24</f>
        <v>10</v>
      </c>
      <c r="C83" s="16">
        <f t="shared" si="19"/>
        <v>10</v>
      </c>
      <c r="D83" s="16">
        <f t="shared" si="19"/>
        <v>10</v>
      </c>
      <c r="E83" s="16">
        <f t="shared" si="19"/>
        <v>10</v>
      </c>
      <c r="F83" s="16">
        <f t="shared" si="19"/>
        <v>10</v>
      </c>
      <c r="G83" s="16">
        <f t="shared" si="19"/>
        <v>10</v>
      </c>
      <c r="H83" s="16">
        <f t="shared" si="19"/>
        <v>10</v>
      </c>
      <c r="I83" s="16">
        <f t="shared" si="19"/>
        <v>10</v>
      </c>
      <c r="J83" s="16">
        <f t="shared" si="19"/>
        <v>10</v>
      </c>
      <c r="K83" s="16">
        <f t="shared" si="19"/>
        <v>10</v>
      </c>
      <c r="L83" s="16">
        <f t="shared" si="19"/>
        <v>10</v>
      </c>
    </row>
    <row r="84" spans="1:12" x14ac:dyDescent="0.25">
      <c r="A84" t="s">
        <v>262</v>
      </c>
      <c r="B84" s="16">
        <f t="shared" ref="B84:L84" si="20">B25</f>
        <v>10</v>
      </c>
      <c r="C84" s="16">
        <f t="shared" si="20"/>
        <v>10.5</v>
      </c>
      <c r="D84" s="16">
        <f t="shared" si="20"/>
        <v>11.5</v>
      </c>
      <c r="E84" s="16">
        <f t="shared" si="20"/>
        <v>13</v>
      </c>
      <c r="F84" s="16">
        <f t="shared" si="20"/>
        <v>15</v>
      </c>
      <c r="G84" s="16">
        <f t="shared" si="20"/>
        <v>17.5</v>
      </c>
      <c r="H84" s="16">
        <f t="shared" si="20"/>
        <v>20.5</v>
      </c>
      <c r="I84" s="16">
        <f t="shared" si="20"/>
        <v>24</v>
      </c>
      <c r="J84" s="16">
        <f t="shared" si="20"/>
        <v>28</v>
      </c>
      <c r="K84" s="16">
        <f t="shared" si="20"/>
        <v>32.5</v>
      </c>
      <c r="L84" s="16">
        <f t="shared" si="20"/>
        <v>37.5</v>
      </c>
    </row>
    <row r="85" spans="1:12" x14ac:dyDescent="0.25">
      <c r="A85" t="s">
        <v>36</v>
      </c>
      <c r="B85" s="16">
        <f t="shared" ref="B85:L85" si="21">B22</f>
        <v>50</v>
      </c>
      <c r="C85" s="16">
        <f t="shared" si="21"/>
        <v>50</v>
      </c>
      <c r="D85" s="16">
        <f t="shared" si="21"/>
        <v>50</v>
      </c>
      <c r="E85" s="16">
        <f t="shared" si="21"/>
        <v>50</v>
      </c>
      <c r="F85" s="16">
        <f t="shared" si="21"/>
        <v>50</v>
      </c>
      <c r="G85" s="16">
        <f t="shared" si="21"/>
        <v>50</v>
      </c>
      <c r="H85" s="16">
        <f t="shared" si="21"/>
        <v>50</v>
      </c>
      <c r="I85" s="16">
        <f t="shared" si="21"/>
        <v>50</v>
      </c>
      <c r="J85" s="16">
        <f t="shared" si="21"/>
        <v>50</v>
      </c>
      <c r="K85" s="16">
        <f t="shared" si="21"/>
        <v>50</v>
      </c>
      <c r="L85" s="16">
        <f t="shared" si="21"/>
        <v>50</v>
      </c>
    </row>
    <row r="86" spans="1:12" x14ac:dyDescent="0.25">
      <c r="A86" t="s">
        <v>363</v>
      </c>
      <c r="B86" s="16">
        <f t="shared" ref="B86:L86" si="22">B23</f>
        <v>1984.794520547945</v>
      </c>
      <c r="C86" s="16">
        <f t="shared" si="22"/>
        <v>1984.794520547945</v>
      </c>
      <c r="D86" s="16">
        <f t="shared" si="22"/>
        <v>1984.794520547945</v>
      </c>
      <c r="E86" s="16">
        <f t="shared" si="22"/>
        <v>1984.794520547945</v>
      </c>
      <c r="F86" s="16">
        <f t="shared" si="22"/>
        <v>1984.794520547945</v>
      </c>
      <c r="G86" s="16">
        <f t="shared" si="22"/>
        <v>1984.794520547945</v>
      </c>
      <c r="H86" s="16">
        <f t="shared" si="22"/>
        <v>1984.794520547945</v>
      </c>
      <c r="I86" s="16">
        <f t="shared" si="22"/>
        <v>1984.794520547945</v>
      </c>
      <c r="J86" s="16">
        <f t="shared" si="22"/>
        <v>1984.794520547945</v>
      </c>
      <c r="K86" s="16">
        <f t="shared" si="22"/>
        <v>1984.794520547945</v>
      </c>
      <c r="L86" s="16">
        <f t="shared" si="22"/>
        <v>1984.794520547945</v>
      </c>
    </row>
    <row r="88" spans="1:12" x14ac:dyDescent="0.25">
      <c r="A88" s="9" t="s">
        <v>384</v>
      </c>
      <c r="B88" s="9">
        <v>0</v>
      </c>
      <c r="C88" s="9">
        <v>1</v>
      </c>
      <c r="D88" s="9">
        <v>2</v>
      </c>
      <c r="E88" s="9">
        <v>3</v>
      </c>
      <c r="F88" s="9">
        <v>4</v>
      </c>
      <c r="G88" s="9">
        <v>5</v>
      </c>
      <c r="H88" s="9">
        <v>6</v>
      </c>
      <c r="I88" s="9">
        <v>7</v>
      </c>
      <c r="J88" s="9">
        <v>8</v>
      </c>
      <c r="K88" s="9">
        <v>9</v>
      </c>
      <c r="L88" s="9">
        <v>10</v>
      </c>
    </row>
    <row r="89" spans="1:12" x14ac:dyDescent="0.25">
      <c r="A89" t="s">
        <v>173</v>
      </c>
      <c r="B89" s="5">
        <f>SUM(B69:B80)/B66-1</f>
        <v>0.17384000000000022</v>
      </c>
      <c r="C89" s="5">
        <f t="shared" ref="C89:L89" si="23">SUM(C69:C80)/C66-1</f>
        <v>0.10074849076704528</v>
      </c>
      <c r="D89" s="5">
        <f t="shared" si="23"/>
        <v>-1.1444728243021562E-2</v>
      </c>
      <c r="E89" s="5">
        <f t="shared" si="23"/>
        <v>-0.21112531081108599</v>
      </c>
      <c r="F89" s="5">
        <f t="shared" si="23"/>
        <v>-0.22203637235934592</v>
      </c>
      <c r="G89" s="5">
        <f t="shared" si="23"/>
        <v>-0.26326724341691321</v>
      </c>
      <c r="H89" s="5">
        <f t="shared" si="23"/>
        <v>-0.22768132181914613</v>
      </c>
      <c r="I89" s="5">
        <f t="shared" si="23"/>
        <v>-0.28799397456680009</v>
      </c>
      <c r="J89" s="5">
        <f t="shared" si="23"/>
        <v>-0.28240272645601461</v>
      </c>
      <c r="K89" s="5">
        <f t="shared" si="23"/>
        <v>-0.26999780479459878</v>
      </c>
      <c r="L89" s="5">
        <f t="shared" si="23"/>
        <v>-0.30829294274200225</v>
      </c>
    </row>
    <row r="90" spans="1:12" ht="17.100000000000001" customHeight="1" x14ac:dyDescent="0.25"/>
    <row r="91" spans="1:12" ht="17.100000000000001" customHeight="1" x14ac:dyDescent="0.25">
      <c r="A91" s="9" t="s">
        <v>385</v>
      </c>
      <c r="B91" s="9">
        <v>0</v>
      </c>
      <c r="C91" s="9">
        <v>1</v>
      </c>
      <c r="D91" s="9">
        <v>2</v>
      </c>
      <c r="E91" s="9">
        <v>3</v>
      </c>
      <c r="F91" s="9">
        <v>4</v>
      </c>
      <c r="G91" s="9">
        <v>5</v>
      </c>
      <c r="H91" s="9">
        <v>6</v>
      </c>
      <c r="I91" s="9">
        <v>7</v>
      </c>
      <c r="J91" s="9">
        <v>8</v>
      </c>
      <c r="K91" s="9">
        <v>9</v>
      </c>
      <c r="L91" s="9">
        <v>10</v>
      </c>
    </row>
    <row r="92" spans="1:12" ht="17.100000000000001" customHeight="1" x14ac:dyDescent="0.25">
      <c r="A92" t="s">
        <v>173</v>
      </c>
      <c r="B92" s="5">
        <f>SUM(B83:B86)/B66-1</f>
        <v>0</v>
      </c>
      <c r="C92" s="5">
        <f t="shared" ref="C92:L92" si="24">SUM(C83:C86)/C66-1</f>
        <v>3.3632137784090688E-2</v>
      </c>
      <c r="D92" s="5">
        <f t="shared" si="24"/>
        <v>-7.2328219704433816E-2</v>
      </c>
      <c r="E92" s="5">
        <f t="shared" si="24"/>
        <v>-6.9451411400452634E-2</v>
      </c>
      <c r="F92" s="5">
        <f t="shared" si="24"/>
        <v>-8.3531474177969023E-2</v>
      </c>
      <c r="G92" s="5">
        <f t="shared" si="24"/>
        <v>-9.4676045279616927E-2</v>
      </c>
      <c r="H92" s="5">
        <f t="shared" si="24"/>
        <v>-5.2670803763177898E-2</v>
      </c>
      <c r="I92" s="5">
        <f t="shared" si="24"/>
        <v>-0.12840582011045876</v>
      </c>
      <c r="J92" s="5">
        <f t="shared" si="24"/>
        <v>-0.12349340214371374</v>
      </c>
      <c r="K92" s="5">
        <f t="shared" si="24"/>
        <v>-0.11046806858005498</v>
      </c>
      <c r="L92" s="5">
        <f t="shared" si="24"/>
        <v>-0.15929501523264411</v>
      </c>
    </row>
    <row r="93" spans="1:12" ht="17.100000000000001" customHeight="1" x14ac:dyDescent="0.25"/>
    <row r="94" spans="1:12" x14ac:dyDescent="0.25">
      <c r="A94" s="9" t="s">
        <v>352</v>
      </c>
      <c r="B94" s="9">
        <v>0</v>
      </c>
      <c r="C94" s="9">
        <v>1</v>
      </c>
      <c r="D94" s="9">
        <v>2</v>
      </c>
      <c r="E94" s="9">
        <v>3</v>
      </c>
      <c r="F94" s="9">
        <v>4</v>
      </c>
      <c r="G94" s="9">
        <v>5</v>
      </c>
      <c r="H94" s="9">
        <v>6</v>
      </c>
      <c r="I94" s="9">
        <v>7</v>
      </c>
      <c r="J94" s="9">
        <v>8</v>
      </c>
      <c r="K94" s="9">
        <v>9</v>
      </c>
      <c r="L94" s="9">
        <v>10</v>
      </c>
    </row>
    <row r="95" spans="1:12" x14ac:dyDescent="0.25">
      <c r="A95" t="s">
        <v>353</v>
      </c>
      <c r="B95">
        <f>'Game Assumptions'!$B$133</f>
        <v>287</v>
      </c>
      <c r="C95" s="16">
        <f>(1-C92)*'Game Assumptions'!$B$133</f>
        <v>277.34757645596596</v>
      </c>
      <c r="D95" s="16">
        <f>(1-D92)*'Game Assumptions'!$B$133</f>
        <v>307.75819905517255</v>
      </c>
      <c r="E95" s="16">
        <f>(1-E92)*'Game Assumptions'!$B$133</f>
        <v>306.93255507192993</v>
      </c>
      <c r="F95" s="16">
        <f>(1-F92)*'Game Assumptions'!$B$133</f>
        <v>310.97353308907714</v>
      </c>
      <c r="G95" s="16">
        <f>(1-G92)*'Game Assumptions'!$B$133</f>
        <v>314.17202499525007</v>
      </c>
      <c r="H95" s="16">
        <f>(1-H92)*'Game Assumptions'!$B$133</f>
        <v>302.11652068003201</v>
      </c>
      <c r="I95" s="16">
        <f>(1-I92)*'Game Assumptions'!$B$133</f>
        <v>323.85247037170166</v>
      </c>
      <c r="J95" s="16">
        <f>(1-J92)*'Game Assumptions'!$B$133</f>
        <v>322.44260641524585</v>
      </c>
      <c r="K95" s="16">
        <f>(1-K92)*'Game Assumptions'!$B$133</f>
        <v>318.7043356824758</v>
      </c>
      <c r="L95" s="16">
        <f>(1-L92)*'Game Assumptions'!$B$133</f>
        <v>332.71766937176886</v>
      </c>
    </row>
    <row r="97" spans="1:12" x14ac:dyDescent="0.25">
      <c r="A97" s="9" t="s">
        <v>462</v>
      </c>
      <c r="B97" s="9">
        <v>0</v>
      </c>
      <c r="C97" s="9">
        <v>1</v>
      </c>
      <c r="D97" s="9">
        <v>2</v>
      </c>
      <c r="E97" s="9">
        <v>3</v>
      </c>
      <c r="F97" s="9">
        <v>4</v>
      </c>
      <c r="G97" s="9">
        <v>5</v>
      </c>
      <c r="H97" s="9">
        <v>6</v>
      </c>
      <c r="I97" s="9">
        <v>7</v>
      </c>
      <c r="J97" s="9">
        <v>8</v>
      </c>
      <c r="K97" s="9">
        <v>9</v>
      </c>
      <c r="L97" s="9">
        <v>10</v>
      </c>
    </row>
    <row r="98" spans="1:12" x14ac:dyDescent="0.25">
      <c r="A98" t="s">
        <v>353</v>
      </c>
      <c r="B98">
        <f>B95</f>
        <v>287</v>
      </c>
      <c r="C98" s="16">
        <f>($L$98-$B$98)/COUNT($C$97:$L$97)+B98</f>
        <v>281.3</v>
      </c>
      <c r="D98" s="16">
        <f t="shared" ref="D98:K98" si="25">($L$98-$B$98)/COUNT($C$97:$L$97)+C98</f>
        <v>275.60000000000002</v>
      </c>
      <c r="E98" s="16">
        <f t="shared" si="25"/>
        <v>269.90000000000003</v>
      </c>
      <c r="F98" s="16">
        <f t="shared" si="25"/>
        <v>264.20000000000005</v>
      </c>
      <c r="G98" s="16">
        <f t="shared" si="25"/>
        <v>258.50000000000006</v>
      </c>
      <c r="H98" s="16">
        <f t="shared" si="25"/>
        <v>252.80000000000007</v>
      </c>
      <c r="I98" s="16">
        <f t="shared" si="25"/>
        <v>247.10000000000008</v>
      </c>
      <c r="J98" s="16">
        <f t="shared" si="25"/>
        <v>241.40000000000009</v>
      </c>
      <c r="K98" s="16">
        <f t="shared" si="25"/>
        <v>235.7000000000001</v>
      </c>
      <c r="L98">
        <f>'Game Assumptions'!B161</f>
        <v>230</v>
      </c>
    </row>
    <row r="99" spans="1:12" x14ac:dyDescent="0.25">
      <c r="A99" t="s">
        <v>463</v>
      </c>
      <c r="B99">
        <f>B98</f>
        <v>287</v>
      </c>
      <c r="C99" s="16">
        <f>AVERAGE(B98:C98)</f>
        <v>284.14999999999998</v>
      </c>
      <c r="D99" s="16">
        <f t="shared" ref="D99:L99" si="26">AVERAGE(C98:D98)</f>
        <v>278.45000000000005</v>
      </c>
      <c r="E99" s="16">
        <f t="shared" si="26"/>
        <v>272.75</v>
      </c>
      <c r="F99" s="16">
        <f t="shared" si="26"/>
        <v>267.05000000000007</v>
      </c>
      <c r="G99" s="16">
        <f t="shared" si="26"/>
        <v>261.35000000000002</v>
      </c>
      <c r="H99" s="16">
        <f t="shared" si="26"/>
        <v>255.65000000000006</v>
      </c>
      <c r="I99" s="16">
        <f t="shared" si="26"/>
        <v>249.95000000000007</v>
      </c>
      <c r="J99" s="16">
        <f t="shared" si="26"/>
        <v>244.25000000000009</v>
      </c>
      <c r="K99" s="16">
        <f t="shared" si="26"/>
        <v>238.5500000000001</v>
      </c>
      <c r="L99" s="16">
        <f t="shared" si="26"/>
        <v>232.85000000000005</v>
      </c>
    </row>
    <row r="101" spans="1:12" x14ac:dyDescent="0.25">
      <c r="C101">
        <f>IF(OR('Event Tracker'!$B$18=1,'Event Tracker'!$B$20=1),0,IF(Reliability!C95&lt;Reliability!C98,'Utility Revenue'!C105/3,IF(Reliability!C95&gt;Reliability!B98,'Utility Revenue'!C105/3*-1,IF(Reliability!C95&gt;Reliability!C99,Reliability!C99-Reliability!C95,Reliability!C95-Reliability!C99)*ABS(('Utility Revenue'!C105/3)/(Reliability!C99-Reliability!C98)))))</f>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tabColor theme="5"/>
  </sheetPr>
  <dimension ref="A1:L155"/>
  <sheetViews>
    <sheetView topLeftCell="A17" workbookViewId="0">
      <selection activeCell="B137" sqref="B137"/>
    </sheetView>
  </sheetViews>
  <sheetFormatPr defaultRowHeight="15" x14ac:dyDescent="0.25"/>
  <cols>
    <col min="1" max="1" width="62.42578125" customWidth="1"/>
    <col min="2" max="2" width="25.42578125" customWidth="1"/>
    <col min="3" max="3" width="17.7109375" bestFit="1" customWidth="1"/>
    <col min="4" max="4" width="15.28515625" customWidth="1"/>
    <col min="5" max="12" width="16.28515625" bestFit="1" customWidth="1"/>
  </cols>
  <sheetData>
    <row r="1" spans="1:12" ht="15.75" thickBot="1" x14ac:dyDescent="0.3">
      <c r="A1" s="1" t="s">
        <v>15</v>
      </c>
      <c r="B1" s="32">
        <f>'Event Tracker'!P1</f>
        <v>0</v>
      </c>
    </row>
    <row r="2" spans="1:12" ht="15.75" thickBot="1" x14ac:dyDescent="0.3">
      <c r="A2" s="1" t="s">
        <v>34</v>
      </c>
      <c r="B2" s="32" t="str">
        <f>'Initial Setup'!B3</f>
        <v>Vertically Integrated Cost of Service Model</v>
      </c>
    </row>
    <row r="6" spans="1:12" x14ac:dyDescent="0.25">
      <c r="A6" s="9" t="s">
        <v>39</v>
      </c>
      <c r="B6" s="9">
        <v>0</v>
      </c>
      <c r="C6" s="9">
        <v>1</v>
      </c>
      <c r="D6" s="9">
        <v>2</v>
      </c>
      <c r="E6" s="9">
        <v>3</v>
      </c>
      <c r="F6" s="9">
        <v>4</v>
      </c>
      <c r="G6" s="9">
        <v>5</v>
      </c>
      <c r="H6" s="9">
        <v>6</v>
      </c>
      <c r="I6" s="9">
        <v>7</v>
      </c>
      <c r="J6" s="9">
        <v>8</v>
      </c>
      <c r="K6" s="9">
        <v>9</v>
      </c>
      <c r="L6" s="9">
        <v>10</v>
      </c>
    </row>
    <row r="7" spans="1:12" x14ac:dyDescent="0.25">
      <c r="A7" s="24" t="s">
        <v>81</v>
      </c>
    </row>
    <row r="8" spans="1:12" x14ac:dyDescent="0.25">
      <c r="A8" s="28" t="s">
        <v>38</v>
      </c>
      <c r="B8" s="27"/>
      <c r="C8" s="27"/>
      <c r="D8" s="27"/>
      <c r="E8" s="27"/>
      <c r="F8" s="27"/>
      <c r="G8" s="27"/>
      <c r="H8" s="27"/>
      <c r="I8" s="27"/>
      <c r="J8" s="27"/>
      <c r="K8" s="27"/>
      <c r="L8" s="27"/>
    </row>
    <row r="9" spans="1:12" x14ac:dyDescent="0.25">
      <c r="A9" s="26" t="s">
        <v>64</v>
      </c>
      <c r="B9" s="27">
        <f>PMT('Game Assumptions'!$B$5,'Game Assumptions'!$B$14,'Game Assumptions'!$B$2)*-1</f>
        <v>100000000</v>
      </c>
      <c r="C9" s="27">
        <f>PMT('Game Assumptions'!$B$5,'Game Assumptions'!$B$14,'Game Assumptions'!$B$2)*-1</f>
        <v>100000000</v>
      </c>
      <c r="D9" s="27">
        <f>PMT('Game Assumptions'!$B$5,'Game Assumptions'!$B$14,'Game Assumptions'!$B$2)*-1</f>
        <v>100000000</v>
      </c>
      <c r="E9" s="27">
        <f>PMT('Game Assumptions'!$B$5,'Game Assumptions'!$B$14,'Game Assumptions'!$B$2)*-1</f>
        <v>100000000</v>
      </c>
      <c r="F9" s="27">
        <f>PMT('Game Assumptions'!$B$5,'Game Assumptions'!$B$14,'Game Assumptions'!$B$2)*-1</f>
        <v>100000000</v>
      </c>
      <c r="G9" s="27">
        <f>PMT('Game Assumptions'!$B$5,'Game Assumptions'!$B$14,'Game Assumptions'!$B$2)*-1</f>
        <v>100000000</v>
      </c>
      <c r="H9" s="27">
        <f>PMT('Game Assumptions'!$B$5,'Game Assumptions'!$B$14,'Game Assumptions'!$B$2)*-1</f>
        <v>100000000</v>
      </c>
      <c r="I9" s="27">
        <f>PMT('Game Assumptions'!$B$5,'Game Assumptions'!$B$14,'Game Assumptions'!$B$2)*-1</f>
        <v>100000000</v>
      </c>
      <c r="J9" s="27">
        <f>PMT('Game Assumptions'!$B$5,'Game Assumptions'!$B$14,'Game Assumptions'!$B$2)*-1</f>
        <v>100000000</v>
      </c>
      <c r="K9" s="27">
        <f>PMT('Game Assumptions'!$B$5,'Game Assumptions'!$B$14,'Game Assumptions'!$B$2)*-1</f>
        <v>100000000</v>
      </c>
      <c r="L9" s="27">
        <f>PMT('Game Assumptions'!$B$5,'Game Assumptions'!$B$14,'Game Assumptions'!$B$2)*-1</f>
        <v>100000000</v>
      </c>
    </row>
    <row r="10" spans="1:12" x14ac:dyDescent="0.25">
      <c r="A10" s="26" t="s">
        <v>65</v>
      </c>
      <c r="B10" s="27">
        <f>PMT('Game Assumptions'!$B$5,'Game Assumptions'!$B$14,'Game Assumptions'!$B$2)*-1</f>
        <v>100000000</v>
      </c>
      <c r="C10" s="27">
        <f>PMT('Game Assumptions'!$B$5,'Game Assumptions'!$B$14,'Game Assumptions'!$B$2)*-1</f>
        <v>100000000</v>
      </c>
      <c r="D10" s="27">
        <f>PMT('Game Assumptions'!$B$5,'Game Assumptions'!$B$14,'Game Assumptions'!$B$2)*-1</f>
        <v>100000000</v>
      </c>
      <c r="E10" s="27">
        <f>PMT('Game Assumptions'!$B$5,'Game Assumptions'!$B$14,'Game Assumptions'!$B$2)*-1</f>
        <v>100000000</v>
      </c>
      <c r="F10" s="27">
        <f>PMT('Game Assumptions'!$B$5,'Game Assumptions'!$B$14,'Game Assumptions'!$B$2)*-1</f>
        <v>100000000</v>
      </c>
      <c r="G10" s="27">
        <f>PMT('Game Assumptions'!$B$5,'Game Assumptions'!$B$14,'Game Assumptions'!$B$2)*-1</f>
        <v>100000000</v>
      </c>
      <c r="H10" s="27">
        <f>PMT('Game Assumptions'!$B$5,'Game Assumptions'!$B$14,'Game Assumptions'!$B$2)*-1</f>
        <v>100000000</v>
      </c>
      <c r="I10" s="27">
        <f>PMT('Game Assumptions'!$B$5,'Game Assumptions'!$B$14,'Game Assumptions'!$B$2)*-1</f>
        <v>100000000</v>
      </c>
      <c r="J10" s="27">
        <f>PMT('Game Assumptions'!$B$5,'Game Assumptions'!$B$14,'Game Assumptions'!$B$2)*-1</f>
        <v>100000000</v>
      </c>
      <c r="K10" s="27">
        <f>PMT('Game Assumptions'!$B$5,'Game Assumptions'!$B$14,'Game Assumptions'!$B$2)*-1</f>
        <v>100000000</v>
      </c>
      <c r="L10" s="27">
        <f>PMT('Game Assumptions'!$B$5,'Game Assumptions'!$B$14,'Game Assumptions'!$B$2)*-1</f>
        <v>100000000</v>
      </c>
    </row>
    <row r="11" spans="1:12" x14ac:dyDescent="0.25">
      <c r="A11" s="29" t="s">
        <v>66</v>
      </c>
      <c r="B11" s="23">
        <f>PMT('Game Assumptions'!$B$5,'Game Assumptions'!$B$14,'Game Assumptions'!$B$2)*-1</f>
        <v>100000000</v>
      </c>
      <c r="C11" s="23">
        <f>PMT('Game Assumptions'!$B$5,'Game Assumptions'!$B$14,'Game Assumptions'!$B$2)*-1</f>
        <v>100000000</v>
      </c>
      <c r="D11" s="23">
        <f>PMT('Game Assumptions'!$B$5,'Game Assumptions'!$B$14,'Game Assumptions'!$B$2)*-1</f>
        <v>100000000</v>
      </c>
      <c r="E11" s="23">
        <f>PMT('Game Assumptions'!$B$5,'Game Assumptions'!$B$14,'Game Assumptions'!$B$2)*-1</f>
        <v>100000000</v>
      </c>
      <c r="F11" s="23">
        <f>PMT('Game Assumptions'!$B$5,'Game Assumptions'!$B$14,'Game Assumptions'!$B$2)*-1</f>
        <v>100000000</v>
      </c>
      <c r="G11" s="23">
        <f>PMT('Game Assumptions'!$B$5,'Game Assumptions'!$B$14,'Game Assumptions'!$B$2)*-1</f>
        <v>100000000</v>
      </c>
      <c r="H11" s="23">
        <f>PMT('Game Assumptions'!$B$5,'Game Assumptions'!$B$14,'Game Assumptions'!$B$2)*-1</f>
        <v>100000000</v>
      </c>
      <c r="I11" s="23">
        <f>PMT('Game Assumptions'!$B$5,'Game Assumptions'!$B$14,'Game Assumptions'!$B$2)*-1</f>
        <v>100000000</v>
      </c>
      <c r="J11" s="23">
        <f>PMT('Game Assumptions'!$B$5,'Game Assumptions'!$B$14,'Game Assumptions'!$B$2)*-1</f>
        <v>100000000</v>
      </c>
      <c r="K11" s="23">
        <f>PMT('Game Assumptions'!$B$5,'Game Assumptions'!$B$14,'Game Assumptions'!$B$2)*-1</f>
        <v>100000000</v>
      </c>
      <c r="L11" s="23">
        <f>PMT('Game Assumptions'!$B$5,'Game Assumptions'!$B$14,'Game Assumptions'!$B$2)*-1</f>
        <v>100000000</v>
      </c>
    </row>
    <row r="12" spans="1:12" x14ac:dyDescent="0.25">
      <c r="A12" s="4" t="s">
        <v>43</v>
      </c>
    </row>
    <row r="13" spans="1:12" x14ac:dyDescent="0.25">
      <c r="A13" t="s">
        <v>40</v>
      </c>
      <c r="B13" s="7">
        <f>PMT('Game Assumptions'!$B$5,'Game Assumptions'!$B$14,'Game Assumptions'!$G28*'Resource Mix and Demand'!B2)*-1</f>
        <v>0</v>
      </c>
      <c r="C13" s="7">
        <f>PMT('Game Assumptions'!$B$5,'Game Assumptions'!$B$14,'Game Assumptions'!$G28*'Resource Mix and Demand'!C2)*-1+B13</f>
        <v>0</v>
      </c>
      <c r="D13" s="7">
        <f>PMT('Game Assumptions'!$B$5,'Game Assumptions'!$B$14,'Game Assumptions'!$G28*'Resource Mix and Demand'!D2)*-1+C13</f>
        <v>0</v>
      </c>
      <c r="E13" s="7">
        <f>PMT('Game Assumptions'!$B$5,'Game Assumptions'!$B$14,'Game Assumptions'!$G28*'Resource Mix and Demand'!E2)*-1+D13</f>
        <v>0</v>
      </c>
      <c r="F13" s="7">
        <f>PMT('Game Assumptions'!$B$5,'Game Assumptions'!$B$14,'Game Assumptions'!$G28*'Resource Mix and Demand'!F2)*-1+E13</f>
        <v>0</v>
      </c>
      <c r="G13" s="7">
        <f>PMT('Game Assumptions'!$B$5,'Game Assumptions'!$B$14,'Game Assumptions'!$G28*'Resource Mix and Demand'!G2)*-1+F13</f>
        <v>0</v>
      </c>
      <c r="H13" s="7">
        <f>PMT('Game Assumptions'!$B$5,'Game Assumptions'!$B$14,'Game Assumptions'!$G28*'Resource Mix and Demand'!H2)*-1+G13</f>
        <v>0</v>
      </c>
      <c r="I13" s="7">
        <f>PMT('Game Assumptions'!$B$5,'Game Assumptions'!$B$14,'Game Assumptions'!$G28*'Resource Mix and Demand'!I2)*-1+H13</f>
        <v>0</v>
      </c>
      <c r="J13" s="7">
        <f>PMT('Game Assumptions'!$B$5,'Game Assumptions'!$B$14,'Game Assumptions'!$G28*'Resource Mix and Demand'!J2)*-1+I13</f>
        <v>0</v>
      </c>
      <c r="K13" s="7">
        <f>PMT('Game Assumptions'!$B$5,'Game Assumptions'!$B$14,'Game Assumptions'!$G28*'Resource Mix and Demand'!K2)*-1+J13</f>
        <v>0</v>
      </c>
      <c r="L13" s="7">
        <f>PMT('Game Assumptions'!$B$5,'Game Assumptions'!$B$14,'Game Assumptions'!$G28*'Resource Mix and Demand'!L2)*-1+K13</f>
        <v>0</v>
      </c>
    </row>
    <row r="14" spans="1:12" x14ac:dyDescent="0.25">
      <c r="A14" t="s">
        <v>46</v>
      </c>
      <c r="B14" s="7">
        <f>PMT('Game Assumptions'!$B$5,'Game Assumptions'!$B$14,'Game Assumptions'!$G29*'Resource Mix and Demand'!B3)*-1</f>
        <v>0</v>
      </c>
      <c r="C14" s="7">
        <f>PMT('Game Assumptions'!$B$5,'Game Assumptions'!$B$14,'Game Assumptions'!$G29*'Resource Mix and Demand'!C3)*-1+B14</f>
        <v>0</v>
      </c>
      <c r="D14" s="7">
        <f>PMT('Game Assumptions'!$B$5,'Game Assumptions'!$B$14,'Game Assumptions'!$G29*'Resource Mix and Demand'!D3)*-1+C14</f>
        <v>0</v>
      </c>
      <c r="E14" s="7">
        <f>PMT('Game Assumptions'!$B$5,'Game Assumptions'!$B$14,'Game Assumptions'!$G29*'Resource Mix and Demand'!E3)*-1+D14</f>
        <v>0</v>
      </c>
      <c r="F14" s="7">
        <f>PMT('Game Assumptions'!$B$5,'Game Assumptions'!$B$14,'Game Assumptions'!$G29*'Resource Mix and Demand'!F3)*-1+E14</f>
        <v>0</v>
      </c>
      <c r="G14" s="7">
        <f>PMT('Game Assumptions'!$B$5,'Game Assumptions'!$B$14,'Game Assumptions'!$G29*'Resource Mix and Demand'!G3)*-1+F14</f>
        <v>0</v>
      </c>
      <c r="H14" s="7">
        <f>PMT('Game Assumptions'!$B$5,'Game Assumptions'!$B$14,'Game Assumptions'!$G29*'Resource Mix and Demand'!H3)*-1+G14</f>
        <v>0</v>
      </c>
      <c r="I14" s="7">
        <f>PMT('Game Assumptions'!$B$5,'Game Assumptions'!$B$14,'Game Assumptions'!$G29*'Resource Mix and Demand'!I3)*-1+H14</f>
        <v>0</v>
      </c>
      <c r="J14" s="7">
        <f>PMT('Game Assumptions'!$B$5,'Game Assumptions'!$B$14,'Game Assumptions'!$G29*'Resource Mix and Demand'!J3)*-1+I14</f>
        <v>0</v>
      </c>
      <c r="K14" s="7">
        <f>PMT('Game Assumptions'!$B$5,'Game Assumptions'!$B$14,'Game Assumptions'!$G29*'Resource Mix and Demand'!K3)*-1+J14</f>
        <v>0</v>
      </c>
      <c r="L14" s="7">
        <f>PMT('Game Assumptions'!$B$5,'Game Assumptions'!$B$14,'Game Assumptions'!$G29*'Resource Mix and Demand'!L3)*-1+K14</f>
        <v>0</v>
      </c>
    </row>
    <row r="15" spans="1:12" x14ac:dyDescent="0.25">
      <c r="A15" t="s">
        <v>41</v>
      </c>
      <c r="B15" s="7">
        <f>PMT('Game Assumptions'!$B$5,'Game Assumptions'!$B$14,'Game Assumptions'!$G30*'Resource Mix and Demand'!B4)*-1</f>
        <v>0</v>
      </c>
      <c r="C15" s="7">
        <f>PMT('Game Assumptions'!$B$5,'Game Assumptions'!$B$14,'Game Assumptions'!$G30*'Resource Mix and Demand'!C4)*-1+B15</f>
        <v>0</v>
      </c>
      <c r="D15" s="7">
        <f>PMT('Game Assumptions'!$B$5,'Game Assumptions'!$B$14,'Game Assumptions'!$G30*'Resource Mix and Demand'!D4)*-1+C15</f>
        <v>0</v>
      </c>
      <c r="E15" s="7">
        <f>PMT('Game Assumptions'!$B$5,'Game Assumptions'!$B$14,'Game Assumptions'!$G30*'Resource Mix and Demand'!E4)*-1+D15</f>
        <v>0</v>
      </c>
      <c r="F15" s="7">
        <f>PMT('Game Assumptions'!$B$5,'Game Assumptions'!$B$14,'Game Assumptions'!$G30*'Resource Mix and Demand'!F4)*-1+E15</f>
        <v>0</v>
      </c>
      <c r="G15" s="7">
        <f>PMT('Game Assumptions'!$B$5,'Game Assumptions'!$B$14,'Game Assumptions'!$G30*'Resource Mix and Demand'!G4)*-1+F15</f>
        <v>0</v>
      </c>
      <c r="H15" s="7">
        <f>PMT('Game Assumptions'!$B$5,'Game Assumptions'!$B$14,'Game Assumptions'!$G30*'Resource Mix and Demand'!H4)*-1+G15</f>
        <v>0</v>
      </c>
      <c r="I15" s="7">
        <f>PMT('Game Assumptions'!$B$5,'Game Assumptions'!$B$14,'Game Assumptions'!$G30*'Resource Mix and Demand'!I4)*-1+H15</f>
        <v>0</v>
      </c>
      <c r="J15" s="7">
        <f>PMT('Game Assumptions'!$B$5,'Game Assumptions'!$B$14,'Game Assumptions'!$G30*'Resource Mix and Demand'!J4)*-1+I15</f>
        <v>0</v>
      </c>
      <c r="K15" s="7">
        <f>PMT('Game Assumptions'!$B$5,'Game Assumptions'!$B$14,'Game Assumptions'!$G30*'Resource Mix and Demand'!K4)*-1+J15</f>
        <v>0</v>
      </c>
      <c r="L15" s="7">
        <f>PMT('Game Assumptions'!$B$5,'Game Assumptions'!$B$14,'Game Assumptions'!$G30*'Resource Mix and Demand'!L4)*-1+K15</f>
        <v>0</v>
      </c>
    </row>
    <row r="16" spans="1:12" x14ac:dyDescent="0.25">
      <c r="A16" t="s">
        <v>44</v>
      </c>
      <c r="B16" s="7">
        <f>PMT('Game Assumptions'!$B$5,'Game Assumptions'!$B$14,'Game Assumptions'!$G31*'Resource Mix and Demand'!B5)*-1</f>
        <v>0</v>
      </c>
      <c r="C16" s="7">
        <f>PMT('Game Assumptions'!$B$5,'Game Assumptions'!$B$14,'Game Assumptions'!$G31*'Resource Mix and Demand'!C5)*-1+B16</f>
        <v>0</v>
      </c>
      <c r="D16" s="7">
        <f>PMT('Game Assumptions'!$B$5,'Game Assumptions'!$B$14,'Game Assumptions'!$G31*'Resource Mix and Demand'!D5)*-1+C16</f>
        <v>0</v>
      </c>
      <c r="E16" s="7">
        <f>PMT('Game Assumptions'!$B$5,'Game Assumptions'!$B$14,'Game Assumptions'!$G31*'Resource Mix and Demand'!E5)*-1+D16</f>
        <v>0</v>
      </c>
      <c r="F16" s="7">
        <f>PMT('Game Assumptions'!$B$5,'Game Assumptions'!$B$14,'Game Assumptions'!$G31*'Resource Mix and Demand'!F5)*-1+E16</f>
        <v>0</v>
      </c>
      <c r="G16" s="7">
        <f>PMT('Game Assumptions'!$B$5,'Game Assumptions'!$B$14,'Game Assumptions'!$G31*'Resource Mix and Demand'!G5)*-1+F16</f>
        <v>0</v>
      </c>
      <c r="H16" s="7">
        <f>PMT('Game Assumptions'!$B$5,'Game Assumptions'!$B$14,'Game Assumptions'!$G31*'Resource Mix and Demand'!H5)*-1+G16</f>
        <v>0</v>
      </c>
      <c r="I16" s="7">
        <f>PMT('Game Assumptions'!$B$5,'Game Assumptions'!$B$14,'Game Assumptions'!$G31*'Resource Mix and Demand'!I5)*-1+H16</f>
        <v>0</v>
      </c>
      <c r="J16" s="7">
        <f>PMT('Game Assumptions'!$B$5,'Game Assumptions'!$B$14,'Game Assumptions'!$G31*'Resource Mix and Demand'!J5)*-1+I16</f>
        <v>0</v>
      </c>
      <c r="K16" s="7">
        <f>PMT('Game Assumptions'!$B$5,'Game Assumptions'!$B$14,'Game Assumptions'!$G31*'Resource Mix and Demand'!K5)*-1+J16</f>
        <v>0</v>
      </c>
      <c r="L16" s="7">
        <f>PMT('Game Assumptions'!$B$5,'Game Assumptions'!$B$14,'Game Assumptions'!$G31*'Resource Mix and Demand'!L5)*-1+K16</f>
        <v>0</v>
      </c>
    </row>
    <row r="17" spans="1:12" x14ac:dyDescent="0.25">
      <c r="A17" t="s">
        <v>45</v>
      </c>
      <c r="B17" s="7">
        <f>PMT('Game Assumptions'!$B$5,'Game Assumptions'!$B$14,'Game Assumptions'!$G32*'Resource Mix and Demand'!B6)*-1</f>
        <v>0</v>
      </c>
      <c r="C17" s="7">
        <f>PMT('Game Assumptions'!$B$5,'Game Assumptions'!$B$14,'Game Assumptions'!$G32*'Resource Mix and Demand'!C6)*-1+B17</f>
        <v>0</v>
      </c>
      <c r="D17" s="7">
        <f>PMT('Game Assumptions'!$B$5,'Game Assumptions'!$B$14,'Game Assumptions'!$G32*'Resource Mix and Demand'!D6)*-1+C17</f>
        <v>0</v>
      </c>
      <c r="E17" s="7">
        <f>PMT('Game Assumptions'!$B$5,'Game Assumptions'!$B$14,'Game Assumptions'!$G32*'Resource Mix and Demand'!E6)*-1+D17</f>
        <v>0</v>
      </c>
      <c r="F17" s="7">
        <f>PMT('Game Assumptions'!$B$5,'Game Assumptions'!$B$14,'Game Assumptions'!$G32*'Resource Mix and Demand'!F6)*-1+E17</f>
        <v>0</v>
      </c>
      <c r="G17" s="7">
        <f>PMT('Game Assumptions'!$B$5,'Game Assumptions'!$B$14,'Game Assumptions'!$G32*'Resource Mix and Demand'!G6)*-1+F17</f>
        <v>0</v>
      </c>
      <c r="H17" s="7">
        <f>PMT('Game Assumptions'!$B$5,'Game Assumptions'!$B$14,'Game Assumptions'!$G32*'Resource Mix and Demand'!H6)*-1+G17</f>
        <v>0</v>
      </c>
      <c r="I17" s="7">
        <f>PMT('Game Assumptions'!$B$5,'Game Assumptions'!$B$14,'Game Assumptions'!$G32*'Resource Mix and Demand'!I6)*-1+H17</f>
        <v>0</v>
      </c>
      <c r="J17" s="7">
        <f>PMT('Game Assumptions'!$B$5,'Game Assumptions'!$B$14,'Game Assumptions'!$G32*'Resource Mix and Demand'!J6)*-1+I17</f>
        <v>0</v>
      </c>
      <c r="K17" s="7">
        <f>PMT('Game Assumptions'!$B$5,'Game Assumptions'!$B$14,'Game Assumptions'!$G32*'Resource Mix and Demand'!K6)*-1+J17</f>
        <v>0</v>
      </c>
      <c r="L17" s="7">
        <f>PMT('Game Assumptions'!$B$5,'Game Assumptions'!$B$14,'Game Assumptions'!$G32*'Resource Mix and Demand'!L6)*-1+K17</f>
        <v>0</v>
      </c>
    </row>
    <row r="18" spans="1:12" x14ac:dyDescent="0.25">
      <c r="A18" t="s">
        <v>42</v>
      </c>
      <c r="B18" s="7">
        <f>PMT('Game Assumptions'!$B$5,'Game Assumptions'!$B$14,'Game Assumptions'!$G33*'Resource Mix and Demand'!B7)*-1</f>
        <v>0</v>
      </c>
      <c r="C18" s="7">
        <f>PMT('Game Assumptions'!$B$5,'Game Assumptions'!$B$14,'Game Assumptions'!$G33*'Resource Mix and Demand'!C7)*-1+B18</f>
        <v>0</v>
      </c>
      <c r="D18" s="7">
        <f>PMT('Game Assumptions'!$B$5,'Game Assumptions'!$B$14,'Game Assumptions'!$G33*'Resource Mix and Demand'!D7)*-1+C18</f>
        <v>0</v>
      </c>
      <c r="E18" s="7">
        <f>PMT('Game Assumptions'!$B$5,'Game Assumptions'!$B$14,'Game Assumptions'!$G33*'Resource Mix and Demand'!E7)*-1+D18</f>
        <v>0</v>
      </c>
      <c r="F18" s="7">
        <f>PMT('Game Assumptions'!$B$5,'Game Assumptions'!$B$14,'Game Assumptions'!$G33*'Resource Mix and Demand'!F7)*-1+E18</f>
        <v>0</v>
      </c>
      <c r="G18" s="7">
        <f>PMT('Game Assumptions'!$B$5,'Game Assumptions'!$B$14,'Game Assumptions'!$G33*'Resource Mix and Demand'!G7)*-1+F18</f>
        <v>0</v>
      </c>
      <c r="H18" s="7">
        <f>PMT('Game Assumptions'!$B$5,'Game Assumptions'!$B$14,'Game Assumptions'!$G33*'Resource Mix and Demand'!H7)*-1+G18</f>
        <v>0</v>
      </c>
      <c r="I18" s="7">
        <f>PMT('Game Assumptions'!$B$5,'Game Assumptions'!$B$14,'Game Assumptions'!$G33*'Resource Mix and Demand'!I7)*-1+H18</f>
        <v>0</v>
      </c>
      <c r="J18" s="7">
        <f>PMT('Game Assumptions'!$B$5,'Game Assumptions'!$B$14,'Game Assumptions'!$G33*'Resource Mix and Demand'!J7)*-1+I18</f>
        <v>0</v>
      </c>
      <c r="K18" s="7">
        <f>PMT('Game Assumptions'!$B$5,'Game Assumptions'!$B$14,'Game Assumptions'!$G33*'Resource Mix and Demand'!K7)*-1+J18</f>
        <v>0</v>
      </c>
      <c r="L18" s="7">
        <f>PMT('Game Assumptions'!$B$5,'Game Assumptions'!$B$14,'Game Assumptions'!$G33*'Resource Mix and Demand'!L7)*-1+K18</f>
        <v>0</v>
      </c>
    </row>
    <row r="19" spans="1:12" x14ac:dyDescent="0.25">
      <c r="A19" s="12" t="s">
        <v>47</v>
      </c>
      <c r="B19" s="7">
        <f>PMT(0,'Game Assumptions'!$B$14,'Game Assumptions'!$G34*'Resource Mix and Demand'!B8)*-1</f>
        <v>0</v>
      </c>
      <c r="C19" s="7">
        <f>PMT(0,'Game Assumptions'!$B$14,'Game Assumptions'!$G34*'Resource Mix and Demand'!C8)*-1+B19</f>
        <v>0</v>
      </c>
      <c r="D19" s="7">
        <f>PMT(0,'Game Assumptions'!$B$14,'Game Assumptions'!$G34*'Resource Mix and Demand'!D8)*-1+C19</f>
        <v>0</v>
      </c>
      <c r="E19" s="7">
        <f>PMT(0,'Game Assumptions'!$B$14,'Game Assumptions'!$G34*'Resource Mix and Demand'!E8)*-1+D19</f>
        <v>0</v>
      </c>
      <c r="F19" s="7">
        <f>PMT(0,'Game Assumptions'!$B$14,'Game Assumptions'!$G34*'Resource Mix and Demand'!F8)*-1+E19</f>
        <v>0</v>
      </c>
      <c r="G19" s="7">
        <f>PMT(0,'Game Assumptions'!$B$14,'Game Assumptions'!$G34*'Resource Mix and Demand'!G8)*-1+F19</f>
        <v>0</v>
      </c>
      <c r="H19" s="7">
        <f>PMT(0,'Game Assumptions'!$B$14,'Game Assumptions'!$G34*'Resource Mix and Demand'!H8)*-1+G19</f>
        <v>0</v>
      </c>
      <c r="I19" s="7">
        <f>PMT(0,'Game Assumptions'!$B$14,'Game Assumptions'!$G34*'Resource Mix and Demand'!I8)*-1+H19</f>
        <v>0</v>
      </c>
      <c r="J19" s="7">
        <f>PMT(0,'Game Assumptions'!$B$14,'Game Assumptions'!$G34*'Resource Mix and Demand'!J8)*-1+I19</f>
        <v>0</v>
      </c>
      <c r="K19" s="7">
        <f>PMT(0,'Game Assumptions'!$B$14,'Game Assumptions'!$G34*'Resource Mix and Demand'!K8)*-1+J19</f>
        <v>0</v>
      </c>
      <c r="L19" s="7">
        <f>PMT(0,'Game Assumptions'!$B$14,'Game Assumptions'!$G34*'Resource Mix and Demand'!L8)*-1+K19</f>
        <v>0</v>
      </c>
    </row>
    <row r="20" spans="1:12" x14ac:dyDescent="0.25">
      <c r="A20" t="s">
        <v>311</v>
      </c>
      <c r="B20" s="7">
        <f>PMT('Game Assumptions'!$B$5,'Game Assumptions'!$B$14,Reliability!B9*'Game Assumptions'!$G35)*-1</f>
        <v>0</v>
      </c>
      <c r="C20" s="7">
        <f>PMT('Game Assumptions'!$B$5,'Game Assumptions'!$B$14,Reliability!C9*'Game Assumptions'!$G35)*-1+B20</f>
        <v>0</v>
      </c>
      <c r="D20" s="7">
        <f>PMT('Game Assumptions'!$B$5,'Game Assumptions'!$B$14,Reliability!D9*'Game Assumptions'!$G35)*-1+C20</f>
        <v>0</v>
      </c>
      <c r="E20" s="7">
        <f>PMT('Game Assumptions'!$B$5,'Game Assumptions'!$B$14,Reliability!E9*'Game Assumptions'!$G35)*-1+D20</f>
        <v>0</v>
      </c>
      <c r="F20" s="7">
        <f>PMT('Game Assumptions'!$B$5,'Game Assumptions'!$B$14,Reliability!F9*'Game Assumptions'!$G35)*-1+E20</f>
        <v>0</v>
      </c>
      <c r="G20" s="7">
        <f>PMT('Game Assumptions'!$B$5,'Game Assumptions'!$B$14,Reliability!G9*'Game Assumptions'!$G35)*-1+F20</f>
        <v>0</v>
      </c>
      <c r="H20" s="7">
        <f>PMT('Game Assumptions'!$B$5,'Game Assumptions'!$B$14,Reliability!H9*'Game Assumptions'!$G35)*-1+G20</f>
        <v>0</v>
      </c>
      <c r="I20" s="7">
        <f>PMT('Game Assumptions'!$B$5,'Game Assumptions'!$B$14,Reliability!I9*'Game Assumptions'!$G35)*-1+H20</f>
        <v>0</v>
      </c>
      <c r="J20" s="7">
        <f>PMT('Game Assumptions'!$B$5,'Game Assumptions'!$B$14,Reliability!J9*'Game Assumptions'!$G35)*-1+I20</f>
        <v>0</v>
      </c>
      <c r="K20" s="7">
        <f>PMT('Game Assumptions'!$B$5,'Game Assumptions'!$B$14,Reliability!K9*'Game Assumptions'!$G35)*-1+J20</f>
        <v>0</v>
      </c>
      <c r="L20" s="7">
        <f>PMT('Game Assumptions'!$B$5,'Game Assumptions'!$B$14,Reliability!L9*'Game Assumptions'!$G35)*-1+K20</f>
        <v>0</v>
      </c>
    </row>
    <row r="21" spans="1:12" x14ac:dyDescent="0.25">
      <c r="A21" t="s">
        <v>312</v>
      </c>
      <c r="B21" s="7">
        <f>PMT('Game Assumptions'!$B$5,'Game Assumptions'!$B$14,Reliability!B10*'Game Assumptions'!$G36)*-1</f>
        <v>0</v>
      </c>
      <c r="C21" s="7">
        <f>PMT('Game Assumptions'!$B$5,'Game Assumptions'!$B$14,Reliability!C10*'Game Assumptions'!$G36)*-1+B21</f>
        <v>0</v>
      </c>
      <c r="D21" s="7">
        <f>PMT('Game Assumptions'!$B$5,'Game Assumptions'!$B$14,Reliability!D10*'Game Assumptions'!$G36)*-1+C21</f>
        <v>0</v>
      </c>
      <c r="E21" s="7">
        <f>PMT('Game Assumptions'!$B$5,'Game Assumptions'!$B$14,Reliability!E10*'Game Assumptions'!$G36)*-1+D21</f>
        <v>0</v>
      </c>
      <c r="F21" s="7">
        <f>PMT('Game Assumptions'!$B$5,'Game Assumptions'!$B$14,Reliability!F10*'Game Assumptions'!$G36)*-1+E21</f>
        <v>0</v>
      </c>
      <c r="G21" s="7">
        <f>PMT('Game Assumptions'!$B$5,'Game Assumptions'!$B$14,Reliability!G10*'Game Assumptions'!$G36)*-1+F21</f>
        <v>0</v>
      </c>
      <c r="H21" s="7">
        <f>PMT('Game Assumptions'!$B$5,'Game Assumptions'!$B$14,Reliability!H10*'Game Assumptions'!$G36)*-1+G21</f>
        <v>0</v>
      </c>
      <c r="I21" s="7">
        <f>PMT('Game Assumptions'!$B$5,'Game Assumptions'!$B$14,Reliability!I10*'Game Assumptions'!$G36)*-1+H21</f>
        <v>0</v>
      </c>
      <c r="J21" s="7">
        <f>PMT('Game Assumptions'!$B$5,'Game Assumptions'!$B$14,Reliability!J10*'Game Assumptions'!$G36)*-1+I21</f>
        <v>0</v>
      </c>
      <c r="K21" s="7">
        <f>PMT('Game Assumptions'!$B$5,'Game Assumptions'!$B$14,Reliability!K10*'Game Assumptions'!$G36)*-1+J21</f>
        <v>0</v>
      </c>
      <c r="L21" s="7">
        <f>PMT('Game Assumptions'!$B$5,'Game Assumptions'!$B$14,Reliability!L10*'Game Assumptions'!$G36)*-1+K21</f>
        <v>0</v>
      </c>
    </row>
    <row r="22" spans="1:12" x14ac:dyDescent="0.25">
      <c r="A22" t="s">
        <v>313</v>
      </c>
      <c r="B22" s="7">
        <f>PMT('Game Assumptions'!$B$5,'Game Assumptions'!$B$14,Reliability!B11*'Game Assumptions'!$G37)*-1</f>
        <v>0</v>
      </c>
      <c r="C22" s="7">
        <f>PMT('Game Assumptions'!$B$5,'Game Assumptions'!$B$14,Reliability!C11*'Game Assumptions'!$G37)*-1*+B22</f>
        <v>0</v>
      </c>
      <c r="D22" s="7">
        <f>PMT('Game Assumptions'!$B$5,'Game Assumptions'!$B$14,Reliability!D11*'Game Assumptions'!$G37)*-1*+C22</f>
        <v>0</v>
      </c>
      <c r="E22" s="7">
        <f>PMT('Game Assumptions'!$B$5,'Game Assumptions'!$B$14,Reliability!E11*'Game Assumptions'!$G37)*-1*+D22</f>
        <v>0</v>
      </c>
      <c r="F22" s="7">
        <f>PMT('Game Assumptions'!$B$5,'Game Assumptions'!$B$14,Reliability!F11*'Game Assumptions'!$G37)*-1*+E22</f>
        <v>0</v>
      </c>
      <c r="G22" s="7">
        <f>PMT('Game Assumptions'!$B$5,'Game Assumptions'!$B$14,Reliability!G11*'Game Assumptions'!$G37)*-1*+F22</f>
        <v>0</v>
      </c>
      <c r="H22" s="7">
        <f>PMT('Game Assumptions'!$B$5,'Game Assumptions'!$B$14,Reliability!H11*'Game Assumptions'!$G37)*-1*+G22</f>
        <v>0</v>
      </c>
      <c r="I22" s="7">
        <f>PMT('Game Assumptions'!$B$5,'Game Assumptions'!$B$14,Reliability!I11*'Game Assumptions'!$G37)*-1*+H22</f>
        <v>0</v>
      </c>
      <c r="J22" s="7">
        <f>PMT('Game Assumptions'!$B$5,'Game Assumptions'!$B$14,Reliability!J11*'Game Assumptions'!$G37)*-1*+I22</f>
        <v>0</v>
      </c>
      <c r="K22" s="7">
        <f>PMT('Game Assumptions'!$B$5,'Game Assumptions'!$B$14,Reliability!K11*'Game Assumptions'!$G37)*-1*+J22</f>
        <v>0</v>
      </c>
      <c r="L22" s="7">
        <f>PMT('Game Assumptions'!$B$5,'Game Assumptions'!$B$14,Reliability!L11*'Game Assumptions'!$G37)*-1*+K22</f>
        <v>0</v>
      </c>
    </row>
    <row r="23" spans="1:12" s="149" customFormat="1" x14ac:dyDescent="0.25">
      <c r="A23" s="149" t="s">
        <v>314</v>
      </c>
      <c r="B23" s="150">
        <f>PMT(0,'Game Assumptions'!$B$14,Reliability!B12*'Game Assumptions'!$G38)*-1</f>
        <v>0</v>
      </c>
      <c r="C23" s="150">
        <f>PMT(0,'Game Assumptions'!$B$14,Reliability!C12*'Game Assumptions'!$G38)*-1+B23</f>
        <v>0</v>
      </c>
      <c r="D23" s="150">
        <f>PMT(0,'Game Assumptions'!$B$14,Reliability!D12*'Game Assumptions'!$G38)*-1+C23</f>
        <v>0</v>
      </c>
      <c r="E23" s="150">
        <f>PMT(0,'Game Assumptions'!$B$14,Reliability!E12*'Game Assumptions'!$G38)*-1+D23</f>
        <v>0</v>
      </c>
      <c r="F23" s="150">
        <f>PMT(0,'Game Assumptions'!$B$14,Reliability!F12*'Game Assumptions'!$G38)*-1+E23</f>
        <v>0</v>
      </c>
      <c r="G23" s="150">
        <f>PMT(0,'Game Assumptions'!$B$14,Reliability!G12*'Game Assumptions'!$G38)*-1+F23</f>
        <v>0</v>
      </c>
      <c r="H23" s="150">
        <f>PMT(0,'Game Assumptions'!$B$14,Reliability!H12*'Game Assumptions'!$G38)*-1+G23</f>
        <v>0</v>
      </c>
      <c r="I23" s="150">
        <f>PMT(0,'Game Assumptions'!$B$14,Reliability!I12*'Game Assumptions'!$G38)*-1+H23</f>
        <v>0</v>
      </c>
      <c r="J23" s="150">
        <f>PMT(0,'Game Assumptions'!$B$14,Reliability!J12*'Game Assumptions'!$G38)*-1+I23</f>
        <v>0</v>
      </c>
      <c r="K23" s="150">
        <f>PMT(0,'Game Assumptions'!$B$14,Reliability!K12*'Game Assumptions'!$G38)*-1+J23</f>
        <v>0</v>
      </c>
      <c r="L23" s="150">
        <f>PMT(0,'Game Assumptions'!$B$14,Reliability!L12*'Game Assumptions'!$G38)*-1+K23</f>
        <v>0</v>
      </c>
    </row>
    <row r="24" spans="1:12" x14ac:dyDescent="0.25">
      <c r="A24" s="12" t="s">
        <v>67</v>
      </c>
      <c r="B24" s="27">
        <f>PMT('Game Assumptions'!$B$5,'Game Assumptions'!$B$14,Reliability!B39*'Game Assumptions'!$B$111)*-1</f>
        <v>0</v>
      </c>
      <c r="C24" s="27">
        <f>PMT('Game Assumptions'!$B$5,'Game Assumptions'!$B$14,Reliability!C39*'Game Assumptions'!$B$111)*-1+B24</f>
        <v>0</v>
      </c>
      <c r="D24" s="27">
        <f>PMT('Game Assumptions'!$B$5,'Game Assumptions'!$B$14,Reliability!D39*'Game Assumptions'!$B$111)*-1+C24</f>
        <v>0</v>
      </c>
      <c r="E24" s="27">
        <f>PMT('Game Assumptions'!$B$5,'Game Assumptions'!$B$14,Reliability!E39*'Game Assumptions'!$B$111)*-1+D24</f>
        <v>0</v>
      </c>
      <c r="F24" s="27">
        <f>PMT('Game Assumptions'!$B$5,'Game Assumptions'!$B$14,Reliability!F39*'Game Assumptions'!$B$111)*-1+E24</f>
        <v>0</v>
      </c>
      <c r="G24" s="27">
        <f>PMT('Game Assumptions'!$B$5,'Game Assumptions'!$B$14,Reliability!G39*'Game Assumptions'!$B$111)*-1+F24</f>
        <v>0</v>
      </c>
      <c r="H24" s="27">
        <f>PMT('Game Assumptions'!$B$5,'Game Assumptions'!$B$14,Reliability!H39*'Game Assumptions'!$B$111)*-1+G24</f>
        <v>0</v>
      </c>
      <c r="I24" s="27">
        <f>PMT('Game Assumptions'!$B$5,'Game Assumptions'!$B$14,Reliability!I39*'Game Assumptions'!$B$111)*-1+H24</f>
        <v>0</v>
      </c>
      <c r="J24" s="27">
        <f>PMT('Game Assumptions'!$B$5,'Game Assumptions'!$B$14,Reliability!J39*'Game Assumptions'!$B$111)*-1+I24</f>
        <v>0</v>
      </c>
      <c r="K24" s="27">
        <f>PMT('Game Assumptions'!$B$5,'Game Assumptions'!$B$14,Reliability!K39*'Game Assumptions'!$B$111)*-1+J24</f>
        <v>0</v>
      </c>
      <c r="L24" s="27">
        <f>PMT('Game Assumptions'!$B$5,'Game Assumptions'!$B$14,Reliability!L39*'Game Assumptions'!$B$111)*-1+K24</f>
        <v>0</v>
      </c>
    </row>
    <row r="25" spans="1:12" x14ac:dyDescent="0.25">
      <c r="A25" s="12" t="s">
        <v>68</v>
      </c>
      <c r="B25" s="148">
        <f>PMT('Game Assumptions'!$B$5,'Game Assumptions'!$B$14,SUM('Game Assumptions'!$B$135:$B$136)*Reliability!B13)*-1</f>
        <v>0</v>
      </c>
      <c r="C25" s="148">
        <f>PMT('Game Assumptions'!$B$5,'Game Assumptions'!$B$14,SUM('Game Assumptions'!$B$135:$B$136)*Reliability!C13)*-1+B25</f>
        <v>0</v>
      </c>
      <c r="D25" s="148">
        <f>PMT('Game Assumptions'!$B$5,'Game Assumptions'!$B$14,SUM('Game Assumptions'!$B$135:$B$136)*Reliability!D13)*-1+C25</f>
        <v>0</v>
      </c>
      <c r="E25" s="148">
        <f>PMT('Game Assumptions'!$B$5,'Game Assumptions'!$B$14,SUM('Game Assumptions'!$B$135:$B$136)*Reliability!E13)*-1+D25</f>
        <v>0</v>
      </c>
      <c r="F25" s="148">
        <f>PMT('Game Assumptions'!$B$5,'Game Assumptions'!$B$14,SUM('Game Assumptions'!$B$135:$B$136)*Reliability!F13)*-1+E25</f>
        <v>0</v>
      </c>
      <c r="G25" s="148">
        <f>PMT('Game Assumptions'!$B$5,'Game Assumptions'!$B$14,SUM('Game Assumptions'!$B$135:$B$136)*Reliability!G13)*-1+F25</f>
        <v>0</v>
      </c>
      <c r="H25" s="148">
        <f>PMT('Game Assumptions'!$B$5,'Game Assumptions'!$B$14,SUM('Game Assumptions'!$B$135:$B$136)*Reliability!H13)*-1+G25</f>
        <v>0</v>
      </c>
      <c r="I25" s="148">
        <f>PMT('Game Assumptions'!$B$5,'Game Assumptions'!$B$14,SUM('Game Assumptions'!$B$135:$B$136)*Reliability!I13)*-1+H25</f>
        <v>0</v>
      </c>
      <c r="J25" s="148">
        <f>PMT('Game Assumptions'!$B$5,'Game Assumptions'!$B$14,SUM('Game Assumptions'!$B$135:$B$136)*Reliability!J13)*-1+I25</f>
        <v>0</v>
      </c>
      <c r="K25" s="148">
        <f>PMT('Game Assumptions'!$B$5,'Game Assumptions'!$B$14,SUM('Game Assumptions'!$B$135:$B$136)*Reliability!K13)*-1+J25</f>
        <v>0</v>
      </c>
      <c r="L25" s="148">
        <f>PMT('Game Assumptions'!$B$5,'Game Assumptions'!$B$14,SUM('Game Assumptions'!$B$135:$B$136)*Reliability!L13)*-1+K25</f>
        <v>0</v>
      </c>
    </row>
    <row r="26" spans="1:12" x14ac:dyDescent="0.25">
      <c r="A26" s="12" t="s">
        <v>429</v>
      </c>
      <c r="B26" s="80"/>
      <c r="C26" s="80"/>
      <c r="D26" s="80"/>
      <c r="E26" s="80"/>
      <c r="F26" s="80"/>
      <c r="G26" s="80"/>
      <c r="H26" s="80"/>
      <c r="I26" s="80"/>
      <c r="J26" s="80"/>
      <c r="K26" s="80"/>
      <c r="L26" s="80"/>
    </row>
    <row r="27" spans="1:12" x14ac:dyDescent="0.25">
      <c r="A27" s="34" t="s">
        <v>80</v>
      </c>
      <c r="B27" s="166"/>
      <c r="C27" s="166"/>
      <c r="D27" s="166"/>
      <c r="E27" s="166"/>
      <c r="F27" s="166"/>
      <c r="G27" s="166"/>
      <c r="H27" s="166"/>
      <c r="I27" s="166"/>
      <c r="J27" s="166"/>
      <c r="K27" s="166"/>
      <c r="L27" s="166"/>
    </row>
    <row r="28" spans="1:12" ht="15.75" thickBot="1" x14ac:dyDescent="0.3">
      <c r="A28" s="75" t="s">
        <v>78</v>
      </c>
      <c r="B28" s="36"/>
      <c r="C28" s="36"/>
      <c r="D28" s="36"/>
      <c r="E28" s="36"/>
      <c r="F28" s="36"/>
      <c r="G28" s="36"/>
      <c r="H28" s="36"/>
      <c r="I28" s="36"/>
      <c r="J28" s="36"/>
      <c r="K28" s="36"/>
      <c r="L28" s="36"/>
    </row>
    <row r="29" spans="1:12" ht="15.75" thickTop="1" x14ac:dyDescent="0.25">
      <c r="A29" t="s">
        <v>55</v>
      </c>
      <c r="B29" s="7">
        <f>SUMPRODUCT('Resource Mix and Demand'!B$24:B$30,'Game Assumptions'!$B$41:$B$47)+SUMPRODUCT(Reliability!B$19:B$22,'Game Assumptions'!$B$48:$B$51)</f>
        <v>87508900</v>
      </c>
      <c r="C29" s="7">
        <f>SUMPRODUCT('Resource Mix and Demand'!C$24:C$30,'Game Assumptions'!$B$41:$B$47)+SUMPRODUCT(Reliability!C$19:C$22,'Game Assumptions'!$B$48:$B$51)</f>
        <v>78152500</v>
      </c>
      <c r="D29" s="7">
        <f>SUMPRODUCT('Resource Mix and Demand'!D$24:D$30,'Game Assumptions'!$B$41:$B$47)+SUMPRODUCT(Reliability!D$19:D$22,'Game Assumptions'!$B$48:$B$51)</f>
        <v>78152500</v>
      </c>
      <c r="E29" s="7">
        <f>SUMPRODUCT('Resource Mix and Demand'!E$24:E$30,'Game Assumptions'!$B$41:$B$47)+SUMPRODUCT(Reliability!E$19:E$22,'Game Assumptions'!$B$48:$B$51)</f>
        <v>31512500</v>
      </c>
      <c r="F29" s="7">
        <f>SUMPRODUCT('Resource Mix and Demand'!F$24:F$30,'Game Assumptions'!$B$41:$B$47)+SUMPRODUCT(Reliability!F$19:F$22,'Game Assumptions'!$B$48:$B$51)</f>
        <v>31512500</v>
      </c>
      <c r="G29" s="7">
        <f>SUMPRODUCT('Resource Mix and Demand'!G$24:G$30,'Game Assumptions'!$B$41:$B$47)+SUMPRODUCT(Reliability!G$19:G$22,'Game Assumptions'!$B$48:$B$51)</f>
        <v>28393700</v>
      </c>
      <c r="H29" s="7">
        <f>SUMPRODUCT('Resource Mix and Demand'!H$24:H$30,'Game Assumptions'!$B$41:$B$47)+SUMPRODUCT(Reliability!H$19:H$22,'Game Assumptions'!$B$48:$B$51)</f>
        <v>28393700</v>
      </c>
      <c r="I29" s="7">
        <f>SUMPRODUCT('Resource Mix and Demand'!I$24:I$30,'Game Assumptions'!$B$41:$B$47)+SUMPRODUCT(Reliability!I$19:I$22,'Game Assumptions'!$B$48:$B$51)</f>
        <v>28393700</v>
      </c>
      <c r="J29" s="7">
        <f>SUMPRODUCT('Resource Mix and Demand'!J$24:J$30,'Game Assumptions'!$B$41:$B$47)+SUMPRODUCT(Reliability!J$19:J$22,'Game Assumptions'!$B$48:$B$51)</f>
        <v>28393700</v>
      </c>
      <c r="K29" s="7">
        <f>SUMPRODUCT('Resource Mix and Demand'!K$24:K$30,'Game Assumptions'!$B$41:$B$47)+SUMPRODUCT(Reliability!K$19:K$22,'Game Assumptions'!$B$48:$B$51)</f>
        <v>28393700</v>
      </c>
      <c r="L29" s="7">
        <f>SUMPRODUCT('Resource Mix and Demand'!L$24:L$30,'Game Assumptions'!$B$41:$B$47)+SUMPRODUCT(Reliability!L$19:L$22,'Game Assumptions'!$B$48:$B$51)</f>
        <v>28393700</v>
      </c>
    </row>
    <row r="30" spans="1:12" x14ac:dyDescent="0.25">
      <c r="A30" t="s">
        <v>56</v>
      </c>
      <c r="B30" s="7">
        <f>SUMPRODUCT(Dispatch!B118:B124,'Game Assumptions'!$G$41:$G$47)</f>
        <v>34089442.200000003</v>
      </c>
      <c r="C30" s="7">
        <f>SUMPRODUCT(Dispatch!C118:C124,'Game Assumptions'!$G$41:$G$47)</f>
        <v>33733932.299999997</v>
      </c>
      <c r="D30" s="7">
        <f>SUMPRODUCT(Dispatch!D118:D124,'Game Assumptions'!$G$41:$G$47)</f>
        <v>38143545.299999997</v>
      </c>
      <c r="E30" s="7">
        <f>SUMPRODUCT(Dispatch!E118:E124,'Game Assumptions'!$G$41:$G$47)</f>
        <v>33682681.799999997</v>
      </c>
      <c r="F30" s="7">
        <f>SUMPRODUCT(Dispatch!F118:F124,'Game Assumptions'!$G$41:$G$47)</f>
        <v>33682681.799999997</v>
      </c>
      <c r="G30" s="7">
        <f>SUMPRODUCT(Dispatch!G118:G124,'Game Assumptions'!$G$41:$G$47)</f>
        <v>31333249.800000001</v>
      </c>
      <c r="H30" s="7">
        <f>SUMPRODUCT(Dispatch!H118:H124,'Game Assumptions'!$G$41:$G$47)</f>
        <v>31333249.800000001</v>
      </c>
      <c r="I30" s="7">
        <f>SUMPRODUCT(Dispatch!I118:I124,'Game Assumptions'!$G$41:$G$47)</f>
        <v>31333249.800000001</v>
      </c>
      <c r="J30" s="7">
        <f>SUMPRODUCT(Dispatch!J118:J124,'Game Assumptions'!$G$41:$G$47)</f>
        <v>31333249.800000001</v>
      </c>
      <c r="K30" s="7">
        <f>SUMPRODUCT(Dispatch!K118:K124,'Game Assumptions'!$G$41:$G$47)</f>
        <v>31333249.800000001</v>
      </c>
      <c r="L30" s="7">
        <f>SUMPRODUCT(Dispatch!L118:L124,'Game Assumptions'!$G$41:$G$47)</f>
        <v>31333249.800000001</v>
      </c>
    </row>
    <row r="31" spans="1:12" x14ac:dyDescent="0.25">
      <c r="A31" s="12" t="s">
        <v>57</v>
      </c>
      <c r="B31" s="27">
        <f>SUMPRODUCT(Dispatch!B127:B129,'Game Assumptions'!B68:B70)</f>
        <v>156582030.59999999</v>
      </c>
      <c r="C31" s="27">
        <f>SUMPRODUCT(Dispatch!C127:C129,'Game Assumptions'!C68:C70)</f>
        <v>160536709.80000001</v>
      </c>
      <c r="D31" s="27">
        <f>SUMPRODUCT(Dispatch!D127:D129,'Game Assumptions'!D68:D70)</f>
        <v>167041593</v>
      </c>
      <c r="E31" s="27">
        <f>SUMPRODUCT(Dispatch!E127:E129,'Game Assumptions'!E68:E70)</f>
        <v>150918418.80000001</v>
      </c>
      <c r="F31" s="27">
        <f>SUMPRODUCT(Dispatch!F127:F129,'Game Assumptions'!F68:F70)</f>
        <v>150564690</v>
      </c>
      <c r="G31" s="27">
        <f>SUMPRODUCT(Dispatch!G127:G129,'Game Assumptions'!G68:G70)</f>
        <v>142066789.19999999</v>
      </c>
      <c r="H31" s="27">
        <f>SUMPRODUCT(Dispatch!H127:H129,'Game Assumptions'!H68:H70)</f>
        <v>154579748.40000001</v>
      </c>
      <c r="I31" s="27">
        <f>SUMPRODUCT(Dispatch!I127:I129,'Game Assumptions'!I68:I70)</f>
        <v>167092707.59999999</v>
      </c>
      <c r="J31" s="27">
        <f>SUMPRODUCT(Dispatch!J127:J129,'Game Assumptions'!J68:J70)</f>
        <v>174744918</v>
      </c>
      <c r="K31" s="27">
        <f>SUMPRODUCT(Dispatch!K127:K129,'Game Assumptions'!K68:K70)</f>
        <v>179197407</v>
      </c>
      <c r="L31" s="27">
        <f>SUMPRODUCT(Dispatch!L127:L129,'Game Assumptions'!L68:L70)</f>
        <v>184221748.79999998</v>
      </c>
    </row>
    <row r="32" spans="1:12" ht="15.75" thickBot="1" x14ac:dyDescent="0.3">
      <c r="A32" s="75" t="s">
        <v>217</v>
      </c>
      <c r="B32" s="36"/>
      <c r="C32" s="36"/>
      <c r="D32" s="36"/>
      <c r="E32" s="36"/>
      <c r="F32" s="36"/>
      <c r="G32" s="36"/>
      <c r="H32" s="36"/>
      <c r="I32" s="36"/>
      <c r="J32" s="36"/>
      <c r="K32" s="36"/>
      <c r="L32" s="36"/>
    </row>
    <row r="33" spans="1:12" ht="15.75" thickTop="1" x14ac:dyDescent="0.25">
      <c r="A33" s="71" t="s">
        <v>218</v>
      </c>
      <c r="B33" s="27">
        <f>Reliability!B42*'Game Assumptions'!$B$117</f>
        <v>29791461.006910168</v>
      </c>
      <c r="C33" s="27">
        <f>Reliability!C42*'Game Assumptions'!$B$117</f>
        <v>29791461.006910168</v>
      </c>
      <c r="D33" s="27">
        <f>Reliability!D42*'Game Assumptions'!$B$117</f>
        <v>29791461.006910168</v>
      </c>
      <c r="E33" s="27">
        <f>Reliability!E42*'Game Assumptions'!$B$117</f>
        <v>29791461.006910168</v>
      </c>
      <c r="F33" s="27">
        <f>Reliability!F42*'Game Assumptions'!$B$117</f>
        <v>29791461.006910168</v>
      </c>
      <c r="G33" s="27">
        <f>Reliability!G42*'Game Assumptions'!$B$117</f>
        <v>29791461.006910168</v>
      </c>
      <c r="H33" s="27">
        <f>Reliability!H42*'Game Assumptions'!$B$117</f>
        <v>29791461.006910168</v>
      </c>
      <c r="I33" s="27">
        <f>Reliability!I42*'Game Assumptions'!$B$117</f>
        <v>29791461.006910168</v>
      </c>
      <c r="J33" s="27">
        <f>Reliability!J42*'Game Assumptions'!$B$117</f>
        <v>29791461.006910168</v>
      </c>
      <c r="K33" s="27">
        <f>Reliability!K42*'Game Assumptions'!$B$117</f>
        <v>29791461.006910168</v>
      </c>
      <c r="L33" s="27">
        <f>Reliability!L42*'Game Assumptions'!$B$117</f>
        <v>29791461.006910168</v>
      </c>
    </row>
    <row r="34" spans="1:12" x14ac:dyDescent="0.25">
      <c r="A34" s="72" t="s">
        <v>220</v>
      </c>
      <c r="B34" s="27">
        <f>'Game Assumptions'!$B$124*'Game Assumptions'!$B$120</f>
        <v>424000</v>
      </c>
      <c r="C34" s="27">
        <f>'Game Assumptions'!$B$124*'Game Assumptions'!$B$120</f>
        <v>424000</v>
      </c>
      <c r="D34" s="27">
        <f>'Game Assumptions'!$B$124*'Game Assumptions'!$B$120</f>
        <v>424000</v>
      </c>
      <c r="E34" s="27">
        <f>'Game Assumptions'!$B$124*'Game Assumptions'!$B$120</f>
        <v>424000</v>
      </c>
      <c r="F34" s="27">
        <f>'Game Assumptions'!$B$124*'Game Assumptions'!$B$120</f>
        <v>424000</v>
      </c>
      <c r="G34" s="27">
        <f>'Game Assumptions'!$B$124*'Game Assumptions'!$B$120</f>
        <v>424000</v>
      </c>
      <c r="H34" s="27">
        <f>'Game Assumptions'!$B$124*'Game Assumptions'!$B$120</f>
        <v>424000</v>
      </c>
      <c r="I34" s="27">
        <f>'Game Assumptions'!$B$124*'Game Assumptions'!$B$120</f>
        <v>424000</v>
      </c>
      <c r="J34" s="27">
        <f>'Game Assumptions'!$B$124*'Game Assumptions'!$B$120</f>
        <v>424000</v>
      </c>
      <c r="K34" s="27">
        <f>'Game Assumptions'!$B$124*'Game Assumptions'!$B$120</f>
        <v>424000</v>
      </c>
      <c r="L34" s="27">
        <f>'Game Assumptions'!$B$124*'Game Assumptions'!$B$120</f>
        <v>424000</v>
      </c>
    </row>
    <row r="35" spans="1:12" x14ac:dyDescent="0.25">
      <c r="A35" s="34" t="s">
        <v>441</v>
      </c>
      <c r="B35" s="98">
        <f t="shared" ref="B35:L35" si="0">SUM(B29:B31,B13:B26,B9:B11,B33:B34)</f>
        <v>608395833.80691016</v>
      </c>
      <c r="C35" s="98">
        <f t="shared" si="0"/>
        <v>602638603.10691023</v>
      </c>
      <c r="D35" s="98">
        <f t="shared" si="0"/>
        <v>613553099.30691016</v>
      </c>
      <c r="E35" s="98">
        <f t="shared" si="0"/>
        <v>546329061.60691023</v>
      </c>
      <c r="F35" s="98">
        <f t="shared" si="0"/>
        <v>545975332.80691016</v>
      </c>
      <c r="G35" s="98">
        <f t="shared" si="0"/>
        <v>532009200.00691015</v>
      </c>
      <c r="H35" s="98">
        <f t="shared" si="0"/>
        <v>544522159.20691013</v>
      </c>
      <c r="I35" s="98">
        <f t="shared" si="0"/>
        <v>557035118.40691018</v>
      </c>
      <c r="J35" s="98">
        <f t="shared" si="0"/>
        <v>564687328.80691016</v>
      </c>
      <c r="K35" s="98">
        <f t="shared" si="0"/>
        <v>569139817.80691016</v>
      </c>
      <c r="L35" s="98">
        <f t="shared" si="0"/>
        <v>574164159.60691011</v>
      </c>
    </row>
    <row r="36" spans="1:12" x14ac:dyDescent="0.25">
      <c r="A36" s="34" t="s">
        <v>442</v>
      </c>
      <c r="B36" s="98">
        <f>SUM(B11,B19,B21,B23,B25,B29:B31,B34)</f>
        <v>378604372.79999995</v>
      </c>
      <c r="C36" s="98">
        <f t="shared" ref="C36:L36" si="1">SUM(C11,C19,C21,C23,C25,C29:C31,C34)</f>
        <v>372847142.10000002</v>
      </c>
      <c r="D36" s="98">
        <f t="shared" si="1"/>
        <v>383761638.30000001</v>
      </c>
      <c r="E36" s="98">
        <f t="shared" si="1"/>
        <v>316537600.60000002</v>
      </c>
      <c r="F36" s="98">
        <f t="shared" si="1"/>
        <v>316183871.80000001</v>
      </c>
      <c r="G36" s="98">
        <f t="shared" si="1"/>
        <v>302217739</v>
      </c>
      <c r="H36" s="98">
        <f t="shared" si="1"/>
        <v>314730698.20000005</v>
      </c>
      <c r="I36" s="98">
        <f t="shared" si="1"/>
        <v>327243657.39999998</v>
      </c>
      <c r="J36" s="98">
        <f t="shared" si="1"/>
        <v>334895867.80000001</v>
      </c>
      <c r="K36" s="98">
        <f t="shared" si="1"/>
        <v>339348356.80000001</v>
      </c>
      <c r="L36" s="98">
        <f t="shared" si="1"/>
        <v>344372698.60000002</v>
      </c>
    </row>
    <row r="38" spans="1:12" x14ac:dyDescent="0.25">
      <c r="A38" s="9" t="s">
        <v>83</v>
      </c>
      <c r="B38" s="9">
        <v>0</v>
      </c>
      <c r="C38" s="9">
        <v>1</v>
      </c>
      <c r="D38" s="9">
        <v>2</v>
      </c>
      <c r="E38" s="9">
        <v>3</v>
      </c>
      <c r="F38" s="9">
        <v>4</v>
      </c>
      <c r="G38" s="9">
        <v>5</v>
      </c>
      <c r="H38" s="9">
        <v>6</v>
      </c>
      <c r="I38" s="9">
        <v>7</v>
      </c>
      <c r="J38" s="9">
        <v>8</v>
      </c>
      <c r="K38" s="9">
        <v>9</v>
      </c>
      <c r="L38" s="9">
        <v>10</v>
      </c>
    </row>
    <row r="39" spans="1:12" x14ac:dyDescent="0.25">
      <c r="A39" s="28" t="s">
        <v>38</v>
      </c>
    </row>
    <row r="40" spans="1:12" x14ac:dyDescent="0.25">
      <c r="A40" s="26" t="s">
        <v>64</v>
      </c>
      <c r="B40" s="7">
        <f>'Game Assumptions'!$B$7*'Utility Revenue'!B9*IF('Event Tracker'!B$4=1,2,1)</f>
        <v>25000000</v>
      </c>
      <c r="C40" s="7">
        <f>'Game Assumptions'!$B$7*'Utility Revenue'!C9*IF('Event Tracker'!C$4=1,2,1)</f>
        <v>25000000</v>
      </c>
      <c r="D40" s="7">
        <f>'Game Assumptions'!$B$7*'Utility Revenue'!D9*IF('Event Tracker'!D$4=1,2,1)</f>
        <v>25000000</v>
      </c>
      <c r="E40" s="7">
        <f>'Game Assumptions'!$B$7*'Utility Revenue'!E9*IF('Event Tracker'!E$4=1,2,1)</f>
        <v>25000000</v>
      </c>
      <c r="F40" s="7">
        <f>'Game Assumptions'!$B$7*'Utility Revenue'!F9*IF('Event Tracker'!F$4=1,2,1)</f>
        <v>25000000</v>
      </c>
      <c r="G40" s="7">
        <f>'Game Assumptions'!$B$7*'Utility Revenue'!G9*IF('Event Tracker'!G$4=1,2,1)</f>
        <v>25000000</v>
      </c>
      <c r="H40" s="7">
        <f>'Game Assumptions'!$B$7*'Utility Revenue'!H9*IF('Event Tracker'!H$4=1,2,1)</f>
        <v>25000000</v>
      </c>
      <c r="I40" s="7">
        <f>'Game Assumptions'!$B$7*'Utility Revenue'!I9*IF('Event Tracker'!I$4=1,2,1)</f>
        <v>25000000</v>
      </c>
      <c r="J40" s="7">
        <f>'Game Assumptions'!$B$7*'Utility Revenue'!J9*IF('Event Tracker'!J$4=1,2,1)</f>
        <v>25000000</v>
      </c>
      <c r="K40" s="7">
        <f>'Game Assumptions'!$B$7*'Utility Revenue'!K9*IF('Event Tracker'!K$4=1,2,1)</f>
        <v>25000000</v>
      </c>
      <c r="L40" s="7">
        <f>'Game Assumptions'!$B$7*'Utility Revenue'!L9*IF('Event Tracker'!L$4=1,2,1)</f>
        <v>25000000</v>
      </c>
    </row>
    <row r="41" spans="1:12" x14ac:dyDescent="0.25">
      <c r="A41" s="26" t="s">
        <v>65</v>
      </c>
      <c r="B41" s="7">
        <f>'Game Assumptions'!$B$7*'Utility Revenue'!B10*IF('Event Tracker'!B$4=1,2,1)</f>
        <v>25000000</v>
      </c>
      <c r="C41" s="7">
        <f>'Game Assumptions'!$B$7*'Utility Revenue'!C10*IF('Event Tracker'!C$4=1,2,1)</f>
        <v>25000000</v>
      </c>
      <c r="D41" s="7">
        <f>'Game Assumptions'!$B$7*'Utility Revenue'!D10*IF('Event Tracker'!D$4=1,2,1)</f>
        <v>25000000</v>
      </c>
      <c r="E41" s="7">
        <f>'Game Assumptions'!$B$7*'Utility Revenue'!E10*IF('Event Tracker'!E$4=1,2,1)</f>
        <v>25000000</v>
      </c>
      <c r="F41" s="7">
        <f>'Game Assumptions'!$B$7*'Utility Revenue'!F10*IF('Event Tracker'!F$4=1,2,1)</f>
        <v>25000000</v>
      </c>
      <c r="G41" s="7">
        <f>'Game Assumptions'!$B$7*'Utility Revenue'!G10*IF('Event Tracker'!G$4=1,2,1)</f>
        <v>25000000</v>
      </c>
      <c r="H41" s="7">
        <f>'Game Assumptions'!$B$7*'Utility Revenue'!H10*IF('Event Tracker'!H$4=1,2,1)</f>
        <v>25000000</v>
      </c>
      <c r="I41" s="7">
        <f>'Game Assumptions'!$B$7*'Utility Revenue'!I10*IF('Event Tracker'!I$4=1,2,1)</f>
        <v>25000000</v>
      </c>
      <c r="J41" s="7">
        <f>'Game Assumptions'!$B$7*'Utility Revenue'!J10*IF('Event Tracker'!J$4=1,2,1)</f>
        <v>25000000</v>
      </c>
      <c r="K41" s="7">
        <f>'Game Assumptions'!$B$7*'Utility Revenue'!K10*IF('Event Tracker'!K$4=1,2,1)</f>
        <v>25000000</v>
      </c>
      <c r="L41" s="7">
        <f>'Game Assumptions'!$B$7*'Utility Revenue'!L10*IF('Event Tracker'!L$4=1,2,1)</f>
        <v>25000000</v>
      </c>
    </row>
    <row r="42" spans="1:12" x14ac:dyDescent="0.25">
      <c r="A42" s="29" t="s">
        <v>66</v>
      </c>
      <c r="B42" s="23">
        <f>'Game Assumptions'!$B$7*'Utility Revenue'!B11*IF('Event Tracker'!B$4=1,2,1)</f>
        <v>25000000</v>
      </c>
      <c r="C42" s="23">
        <f>'Game Assumptions'!$B$7*'Utility Revenue'!C11*IF('Event Tracker'!C$4=1,2,1)</f>
        <v>25000000</v>
      </c>
      <c r="D42" s="23">
        <f>'Game Assumptions'!$B$7*'Utility Revenue'!D11*IF('Event Tracker'!D$4=1,2,1)</f>
        <v>25000000</v>
      </c>
      <c r="E42" s="23">
        <f>'Game Assumptions'!$B$7*'Utility Revenue'!E11*IF('Event Tracker'!E$4=1,2,1)</f>
        <v>25000000</v>
      </c>
      <c r="F42" s="23">
        <f>'Game Assumptions'!$B$7*'Utility Revenue'!F11*IF('Event Tracker'!F$4=1,2,1)</f>
        <v>25000000</v>
      </c>
      <c r="G42" s="23">
        <f>'Game Assumptions'!$B$7*'Utility Revenue'!G11*IF('Event Tracker'!G$4=1,2,1)</f>
        <v>25000000</v>
      </c>
      <c r="H42" s="23">
        <f>'Game Assumptions'!$B$7*'Utility Revenue'!H11*IF('Event Tracker'!H$4=1,2,1)</f>
        <v>25000000</v>
      </c>
      <c r="I42" s="23">
        <f>'Game Assumptions'!$B$7*'Utility Revenue'!I11*IF('Event Tracker'!I$4=1,2,1)</f>
        <v>25000000</v>
      </c>
      <c r="J42" s="23">
        <f>'Game Assumptions'!$B$7*'Utility Revenue'!J11*IF('Event Tracker'!J$4=1,2,1)</f>
        <v>25000000</v>
      </c>
      <c r="K42" s="23">
        <f>'Game Assumptions'!$B$7*'Utility Revenue'!K11*IF('Event Tracker'!K$4=1,2,1)</f>
        <v>25000000</v>
      </c>
      <c r="L42" s="23">
        <f>'Game Assumptions'!$B$7*'Utility Revenue'!L11*IF('Event Tracker'!L$4=1,2,1)</f>
        <v>25000000</v>
      </c>
    </row>
    <row r="43" spans="1:12" x14ac:dyDescent="0.25">
      <c r="A43" s="4" t="s">
        <v>43</v>
      </c>
    </row>
    <row r="44" spans="1:12" x14ac:dyDescent="0.25">
      <c r="A44" t="s">
        <v>40</v>
      </c>
      <c r="B44" s="27">
        <f>'Game Assumptions'!$B$7*'Utility Revenue'!B13*IF('Event Tracker'!B$4=1,2,1)</f>
        <v>0</v>
      </c>
      <c r="C44" s="27">
        <f>'Game Assumptions'!$B$7*'Utility Revenue'!C13*IF('Event Tracker'!C$4=1,2,1)</f>
        <v>0</v>
      </c>
      <c r="D44" s="27">
        <f>'Game Assumptions'!$B$7*'Utility Revenue'!D13*IF('Event Tracker'!D$4=1,2,1)</f>
        <v>0</v>
      </c>
      <c r="E44" s="27">
        <f>'Game Assumptions'!$B$7*'Utility Revenue'!E13*IF('Event Tracker'!E$4=1,2,1)</f>
        <v>0</v>
      </c>
      <c r="F44" s="27">
        <f>'Game Assumptions'!$B$7*'Utility Revenue'!F13*IF('Event Tracker'!F$4=1,2,1)</f>
        <v>0</v>
      </c>
      <c r="G44" s="27">
        <f>'Game Assumptions'!$B$7*'Utility Revenue'!G13*IF('Event Tracker'!G$4=1,2,1)</f>
        <v>0</v>
      </c>
      <c r="H44" s="27">
        <f>'Game Assumptions'!$B$7*'Utility Revenue'!H13*IF('Event Tracker'!H$4=1,2,1)</f>
        <v>0</v>
      </c>
      <c r="I44" s="27">
        <f>'Game Assumptions'!$B$7*'Utility Revenue'!I13*IF('Event Tracker'!I$4=1,2,1)</f>
        <v>0</v>
      </c>
      <c r="J44" s="27">
        <f>'Game Assumptions'!$B$7*'Utility Revenue'!J13*IF('Event Tracker'!J$4=1,2,1)</f>
        <v>0</v>
      </c>
      <c r="K44" s="27">
        <f>'Game Assumptions'!$B$7*'Utility Revenue'!K13*IF('Event Tracker'!K$4=1,2,1)</f>
        <v>0</v>
      </c>
      <c r="L44" s="27">
        <f>'Game Assumptions'!$B$7*'Utility Revenue'!L13*IF('Event Tracker'!L$4=1,2,1)</f>
        <v>0</v>
      </c>
    </row>
    <row r="45" spans="1:12" x14ac:dyDescent="0.25">
      <c r="A45" t="s">
        <v>46</v>
      </c>
      <c r="B45" s="27">
        <f>'Game Assumptions'!$B$7*'Utility Revenue'!B14*IF('Event Tracker'!B$4=1,2,1)</f>
        <v>0</v>
      </c>
      <c r="C45" s="27">
        <f>'Game Assumptions'!$B$7*'Utility Revenue'!C14*IF('Event Tracker'!C$4=1,2,1)</f>
        <v>0</v>
      </c>
      <c r="D45" s="27">
        <f>'Game Assumptions'!$B$7*'Utility Revenue'!D14*IF('Event Tracker'!D$4=1,2,1)</f>
        <v>0</v>
      </c>
      <c r="E45" s="27">
        <f>'Game Assumptions'!$B$7*'Utility Revenue'!E14*IF('Event Tracker'!E$4=1,2,1)</f>
        <v>0</v>
      </c>
      <c r="F45" s="27">
        <f>'Game Assumptions'!$B$7*'Utility Revenue'!F14*IF('Event Tracker'!F$4=1,2,1)</f>
        <v>0</v>
      </c>
      <c r="G45" s="27">
        <f>'Game Assumptions'!$B$7*'Utility Revenue'!G14*IF('Event Tracker'!G$4=1,2,1)</f>
        <v>0</v>
      </c>
      <c r="H45" s="27">
        <f>'Game Assumptions'!$B$7*'Utility Revenue'!H14*IF('Event Tracker'!H$4=1,2,1)</f>
        <v>0</v>
      </c>
      <c r="I45" s="27">
        <f>'Game Assumptions'!$B$7*'Utility Revenue'!I14*IF('Event Tracker'!I$4=1,2,1)</f>
        <v>0</v>
      </c>
      <c r="J45" s="27">
        <f>'Game Assumptions'!$B$7*'Utility Revenue'!J14*IF('Event Tracker'!J$4=1,2,1)</f>
        <v>0</v>
      </c>
      <c r="K45" s="27">
        <f>'Game Assumptions'!$B$7*'Utility Revenue'!K14*IF('Event Tracker'!K$4=1,2,1)</f>
        <v>0</v>
      </c>
      <c r="L45" s="27">
        <f>'Game Assumptions'!$B$7*'Utility Revenue'!L14*IF('Event Tracker'!L$4=1,2,1)</f>
        <v>0</v>
      </c>
    </row>
    <row r="46" spans="1:12" x14ac:dyDescent="0.25">
      <c r="A46" t="s">
        <v>41</v>
      </c>
      <c r="B46" s="27">
        <f>'Game Assumptions'!$B$7*'Utility Revenue'!B15*IF('Event Tracker'!B$4=1,2,1)</f>
        <v>0</v>
      </c>
      <c r="C46" s="27">
        <f>'Game Assumptions'!$B$7*'Utility Revenue'!C15*IF('Event Tracker'!C$4=1,2,1)</f>
        <v>0</v>
      </c>
      <c r="D46" s="27">
        <f>'Game Assumptions'!$B$7*'Utility Revenue'!D15*IF('Event Tracker'!D$4=1,2,1)</f>
        <v>0</v>
      </c>
      <c r="E46" s="27">
        <f>'Game Assumptions'!$B$7*'Utility Revenue'!E15*IF('Event Tracker'!E$4=1,2,1)</f>
        <v>0</v>
      </c>
      <c r="F46" s="27">
        <f>'Game Assumptions'!$B$7*'Utility Revenue'!F15*IF('Event Tracker'!F$4=1,2,1)</f>
        <v>0</v>
      </c>
      <c r="G46" s="27">
        <f>'Game Assumptions'!$B$7*'Utility Revenue'!G15*IF('Event Tracker'!G$4=1,2,1)</f>
        <v>0</v>
      </c>
      <c r="H46" s="27">
        <f>'Game Assumptions'!$B$7*'Utility Revenue'!H15*IF('Event Tracker'!H$4=1,2,1)</f>
        <v>0</v>
      </c>
      <c r="I46" s="27">
        <f>'Game Assumptions'!$B$7*'Utility Revenue'!I15*IF('Event Tracker'!I$4=1,2,1)</f>
        <v>0</v>
      </c>
      <c r="J46" s="27">
        <f>'Game Assumptions'!$B$7*'Utility Revenue'!J15*IF('Event Tracker'!J$4=1,2,1)</f>
        <v>0</v>
      </c>
      <c r="K46" s="27">
        <f>'Game Assumptions'!$B$7*'Utility Revenue'!K15*IF('Event Tracker'!K$4=1,2,1)</f>
        <v>0</v>
      </c>
      <c r="L46" s="27">
        <f>'Game Assumptions'!$B$7*'Utility Revenue'!L15*IF('Event Tracker'!L$4=1,2,1)</f>
        <v>0</v>
      </c>
    </row>
    <row r="47" spans="1:12" x14ac:dyDescent="0.25">
      <c r="A47" t="s">
        <v>44</v>
      </c>
      <c r="B47" s="27">
        <f>'Game Assumptions'!$B$7*'Utility Revenue'!B16*IF('Event Tracker'!B$4=1,2,1)</f>
        <v>0</v>
      </c>
      <c r="C47" s="27">
        <f>'Game Assumptions'!$B$7*'Utility Revenue'!C16*IF('Event Tracker'!C$4=1,2,1)</f>
        <v>0</v>
      </c>
      <c r="D47" s="27">
        <f>'Game Assumptions'!$B$7*'Utility Revenue'!D16*IF('Event Tracker'!D$4=1,2,1)</f>
        <v>0</v>
      </c>
      <c r="E47" s="27">
        <f>'Game Assumptions'!$B$7*'Utility Revenue'!E16*IF('Event Tracker'!E$4=1,2,1)</f>
        <v>0</v>
      </c>
      <c r="F47" s="27">
        <f>'Game Assumptions'!$B$7*'Utility Revenue'!F16*IF('Event Tracker'!F$4=1,2,1)</f>
        <v>0</v>
      </c>
      <c r="G47" s="27">
        <f>'Game Assumptions'!$B$7*'Utility Revenue'!G16*IF('Event Tracker'!G$4=1,2,1)</f>
        <v>0</v>
      </c>
      <c r="H47" s="27">
        <f>'Game Assumptions'!$B$7*'Utility Revenue'!H16*IF('Event Tracker'!H$4=1,2,1)</f>
        <v>0</v>
      </c>
      <c r="I47" s="27">
        <f>'Game Assumptions'!$B$7*'Utility Revenue'!I16*IF('Event Tracker'!I$4=1,2,1)</f>
        <v>0</v>
      </c>
      <c r="J47" s="27">
        <f>'Game Assumptions'!$B$7*'Utility Revenue'!J16*IF('Event Tracker'!J$4=1,2,1)</f>
        <v>0</v>
      </c>
      <c r="K47" s="27">
        <f>'Game Assumptions'!$B$7*'Utility Revenue'!K16*IF('Event Tracker'!K$4=1,2,1)</f>
        <v>0</v>
      </c>
      <c r="L47" s="27">
        <f>'Game Assumptions'!$B$7*'Utility Revenue'!L16*IF('Event Tracker'!L$4=1,2,1)</f>
        <v>0</v>
      </c>
    </row>
    <row r="48" spans="1:12" x14ac:dyDescent="0.25">
      <c r="A48" t="s">
        <v>45</v>
      </c>
      <c r="B48" s="27">
        <f>'Game Assumptions'!$B$7*'Utility Revenue'!B17*IF('Event Tracker'!B$4=1,2,1)</f>
        <v>0</v>
      </c>
      <c r="C48" s="27">
        <f>'Game Assumptions'!$B$7*'Utility Revenue'!C17*IF('Event Tracker'!C$4=1,2,1)</f>
        <v>0</v>
      </c>
      <c r="D48" s="27">
        <f>'Game Assumptions'!$B$7*'Utility Revenue'!D17*IF('Event Tracker'!D$4=1,2,1)</f>
        <v>0</v>
      </c>
      <c r="E48" s="27">
        <f>'Game Assumptions'!$B$7*'Utility Revenue'!E17*IF('Event Tracker'!E$4=1,2,1)</f>
        <v>0</v>
      </c>
      <c r="F48" s="27">
        <f>'Game Assumptions'!$B$7*'Utility Revenue'!F17*IF('Event Tracker'!F$4=1,2,1)</f>
        <v>0</v>
      </c>
      <c r="G48" s="27">
        <f>'Game Assumptions'!$B$7*'Utility Revenue'!G17*IF('Event Tracker'!G$4=1,2,1)</f>
        <v>0</v>
      </c>
      <c r="H48" s="27">
        <f>'Game Assumptions'!$B$7*'Utility Revenue'!H17*IF('Event Tracker'!H$4=1,2,1)</f>
        <v>0</v>
      </c>
      <c r="I48" s="27">
        <f>'Game Assumptions'!$B$7*'Utility Revenue'!I17*IF('Event Tracker'!I$4=1,2,1)</f>
        <v>0</v>
      </c>
      <c r="J48" s="27">
        <f>'Game Assumptions'!$B$7*'Utility Revenue'!J17*IF('Event Tracker'!J$4=1,2,1)</f>
        <v>0</v>
      </c>
      <c r="K48" s="27">
        <f>'Game Assumptions'!$B$7*'Utility Revenue'!K17*IF('Event Tracker'!K$4=1,2,1)</f>
        <v>0</v>
      </c>
      <c r="L48" s="27">
        <f>'Game Assumptions'!$B$7*'Utility Revenue'!L17*IF('Event Tracker'!L$4=1,2,1)</f>
        <v>0</v>
      </c>
    </row>
    <row r="49" spans="1:12" x14ac:dyDescent="0.25">
      <c r="A49" t="s">
        <v>42</v>
      </c>
      <c r="B49" s="27">
        <f>'Game Assumptions'!$B$7*'Utility Revenue'!B18*IF('Event Tracker'!B$4=1,2,1)</f>
        <v>0</v>
      </c>
      <c r="C49" s="27">
        <f>'Game Assumptions'!$B$7*'Utility Revenue'!C18*IF('Event Tracker'!C$4=1,2,1)</f>
        <v>0</v>
      </c>
      <c r="D49" s="27">
        <f>'Game Assumptions'!$B$7*'Utility Revenue'!D18*IF('Event Tracker'!D$4=1,2,1)</f>
        <v>0</v>
      </c>
      <c r="E49" s="27">
        <f>'Game Assumptions'!$B$7*'Utility Revenue'!E18*IF('Event Tracker'!E$4=1,2,1)</f>
        <v>0</v>
      </c>
      <c r="F49" s="27">
        <f>'Game Assumptions'!$B$7*'Utility Revenue'!F18*IF('Event Tracker'!F$4=1,2,1)</f>
        <v>0</v>
      </c>
      <c r="G49" s="27">
        <f>'Game Assumptions'!$B$7*'Utility Revenue'!G18*IF('Event Tracker'!G$4=1,2,1)</f>
        <v>0</v>
      </c>
      <c r="H49" s="27">
        <f>'Game Assumptions'!$B$7*'Utility Revenue'!H18*IF('Event Tracker'!H$4=1,2,1)</f>
        <v>0</v>
      </c>
      <c r="I49" s="27">
        <f>'Game Assumptions'!$B$7*'Utility Revenue'!I18*IF('Event Tracker'!I$4=1,2,1)</f>
        <v>0</v>
      </c>
      <c r="J49" s="27">
        <f>'Game Assumptions'!$B$7*'Utility Revenue'!J18*IF('Event Tracker'!J$4=1,2,1)</f>
        <v>0</v>
      </c>
      <c r="K49" s="27">
        <f>'Game Assumptions'!$B$7*'Utility Revenue'!K18*IF('Event Tracker'!K$4=1,2,1)</f>
        <v>0</v>
      </c>
      <c r="L49" s="27">
        <f>'Game Assumptions'!$B$7*'Utility Revenue'!L18*IF('Event Tracker'!L$4=1,2,1)</f>
        <v>0</v>
      </c>
    </row>
    <row r="50" spans="1:12" x14ac:dyDescent="0.25">
      <c r="A50" s="12" t="s">
        <v>47</v>
      </c>
      <c r="B50" s="27">
        <f>'Game Assumptions'!$B$7*'Utility Revenue'!B19*IF('Event Tracker'!B$4=1,2,1)</f>
        <v>0</v>
      </c>
      <c r="C50" s="27">
        <f>'Game Assumptions'!$B$7*'Utility Revenue'!C19*IF('Event Tracker'!C$4=1,2,1)</f>
        <v>0</v>
      </c>
      <c r="D50" s="27">
        <f>'Game Assumptions'!$B$7*'Utility Revenue'!D19*IF('Event Tracker'!D$4=1,2,1)</f>
        <v>0</v>
      </c>
      <c r="E50" s="27">
        <f>'Game Assumptions'!$B$7*'Utility Revenue'!E19*IF('Event Tracker'!E$4=1,2,1)</f>
        <v>0</v>
      </c>
      <c r="F50" s="27">
        <f>'Game Assumptions'!$B$7*'Utility Revenue'!F19*IF('Event Tracker'!F$4=1,2,1)</f>
        <v>0</v>
      </c>
      <c r="G50" s="27">
        <f>'Game Assumptions'!$B$7*'Utility Revenue'!G19*IF('Event Tracker'!G$4=1,2,1)</f>
        <v>0</v>
      </c>
      <c r="H50" s="27">
        <f>'Game Assumptions'!$B$7*'Utility Revenue'!H19*IF('Event Tracker'!H$4=1,2,1)</f>
        <v>0</v>
      </c>
      <c r="I50" s="27">
        <f>'Game Assumptions'!$B$7*'Utility Revenue'!I19*IF('Event Tracker'!I$4=1,2,1)</f>
        <v>0</v>
      </c>
      <c r="J50" s="27">
        <f>'Game Assumptions'!$B$7*'Utility Revenue'!J19*IF('Event Tracker'!J$4=1,2,1)</f>
        <v>0</v>
      </c>
      <c r="K50" s="27">
        <f>'Game Assumptions'!$B$7*'Utility Revenue'!K19*IF('Event Tracker'!K$4=1,2,1)</f>
        <v>0</v>
      </c>
      <c r="L50" s="27">
        <f>'Game Assumptions'!$B$7*'Utility Revenue'!L19*IF('Event Tracker'!L$4=1,2,1)</f>
        <v>0</v>
      </c>
    </row>
    <row r="51" spans="1:12" x14ac:dyDescent="0.25">
      <c r="A51" t="s">
        <v>311</v>
      </c>
      <c r="B51" s="27">
        <f>'Game Assumptions'!$B$7*'Utility Revenue'!B20*IF('Event Tracker'!B$4=1,2,1)</f>
        <v>0</v>
      </c>
      <c r="C51" s="27">
        <f>'Game Assumptions'!$B$7*'Utility Revenue'!C20*IF('Event Tracker'!C$4=1,2,1)</f>
        <v>0</v>
      </c>
      <c r="D51" s="27">
        <f>'Game Assumptions'!$B$7*'Utility Revenue'!D20*IF('Event Tracker'!D$4=1,2,1)</f>
        <v>0</v>
      </c>
      <c r="E51" s="27">
        <f>'Game Assumptions'!$B$7*'Utility Revenue'!E20*IF('Event Tracker'!E$4=1,2,1)</f>
        <v>0</v>
      </c>
      <c r="F51" s="27">
        <f>'Game Assumptions'!$B$7*'Utility Revenue'!F20*IF('Event Tracker'!F$4=1,2,1)</f>
        <v>0</v>
      </c>
      <c r="G51" s="27">
        <f>'Game Assumptions'!$B$7*'Utility Revenue'!G20*IF('Event Tracker'!G$4=1,2,1)</f>
        <v>0</v>
      </c>
      <c r="H51" s="27">
        <f>'Game Assumptions'!$B$7*'Utility Revenue'!H20*IF('Event Tracker'!H$4=1,2,1)</f>
        <v>0</v>
      </c>
      <c r="I51" s="27">
        <f>'Game Assumptions'!$B$7*'Utility Revenue'!I20*IF('Event Tracker'!I$4=1,2,1)</f>
        <v>0</v>
      </c>
      <c r="J51" s="27">
        <f>'Game Assumptions'!$B$7*'Utility Revenue'!J20*IF('Event Tracker'!J$4=1,2,1)</f>
        <v>0</v>
      </c>
      <c r="K51" s="27">
        <f>'Game Assumptions'!$B$7*'Utility Revenue'!K20*IF('Event Tracker'!K$4=1,2,1)</f>
        <v>0</v>
      </c>
      <c r="L51" s="27">
        <f>'Game Assumptions'!$B$7*'Utility Revenue'!L20*IF('Event Tracker'!L$4=1,2,1)</f>
        <v>0</v>
      </c>
    </row>
    <row r="52" spans="1:12" x14ac:dyDescent="0.25">
      <c r="A52" t="s">
        <v>312</v>
      </c>
      <c r="B52" s="27">
        <f>'Game Assumptions'!$B$7*'Utility Revenue'!B21*IF('Event Tracker'!B$4=1,2,1)</f>
        <v>0</v>
      </c>
      <c r="C52" s="27">
        <f>'Game Assumptions'!$B$7*'Utility Revenue'!C21*IF('Event Tracker'!C$4=1,2,1)</f>
        <v>0</v>
      </c>
      <c r="D52" s="27">
        <f>'Game Assumptions'!$B$7*'Utility Revenue'!D21*IF('Event Tracker'!D$4=1,2,1)</f>
        <v>0</v>
      </c>
      <c r="E52" s="27">
        <f>'Game Assumptions'!$B$7*'Utility Revenue'!E21*IF('Event Tracker'!E$4=1,2,1)</f>
        <v>0</v>
      </c>
      <c r="F52" s="27">
        <f>'Game Assumptions'!$B$7*'Utility Revenue'!F21*IF('Event Tracker'!F$4=1,2,1)</f>
        <v>0</v>
      </c>
      <c r="G52" s="27">
        <f>'Game Assumptions'!$B$7*'Utility Revenue'!G21*IF('Event Tracker'!G$4=1,2,1)</f>
        <v>0</v>
      </c>
      <c r="H52" s="27">
        <f>'Game Assumptions'!$B$7*'Utility Revenue'!H21*IF('Event Tracker'!H$4=1,2,1)</f>
        <v>0</v>
      </c>
      <c r="I52" s="27">
        <f>'Game Assumptions'!$B$7*'Utility Revenue'!I21*IF('Event Tracker'!I$4=1,2,1)</f>
        <v>0</v>
      </c>
      <c r="J52" s="27">
        <f>'Game Assumptions'!$B$7*'Utility Revenue'!J21*IF('Event Tracker'!J$4=1,2,1)</f>
        <v>0</v>
      </c>
      <c r="K52" s="27">
        <f>'Game Assumptions'!$B$7*'Utility Revenue'!K21*IF('Event Tracker'!K$4=1,2,1)</f>
        <v>0</v>
      </c>
      <c r="L52" s="27">
        <f>'Game Assumptions'!$B$7*'Utility Revenue'!L21*IF('Event Tracker'!L$4=1,2,1)</f>
        <v>0</v>
      </c>
    </row>
    <row r="53" spans="1:12" x14ac:dyDescent="0.25">
      <c r="A53" t="s">
        <v>313</v>
      </c>
      <c r="B53" s="27">
        <f>'Game Assumptions'!$B$7*'Utility Revenue'!B22*IF('Event Tracker'!B$4=1,2,1)</f>
        <v>0</v>
      </c>
      <c r="C53" s="27">
        <f>'Game Assumptions'!$B$7*'Utility Revenue'!C22*IF('Event Tracker'!C$4=1,2,1)</f>
        <v>0</v>
      </c>
      <c r="D53" s="27">
        <f>'Game Assumptions'!$B$7*'Utility Revenue'!D22*IF('Event Tracker'!D$4=1,2,1)</f>
        <v>0</v>
      </c>
      <c r="E53" s="27">
        <f>'Game Assumptions'!$B$7*'Utility Revenue'!E22*IF('Event Tracker'!E$4=1,2,1)</f>
        <v>0</v>
      </c>
      <c r="F53" s="27">
        <f>'Game Assumptions'!$B$7*'Utility Revenue'!F22*IF('Event Tracker'!F$4=1,2,1)</f>
        <v>0</v>
      </c>
      <c r="G53" s="27">
        <f>'Game Assumptions'!$B$7*'Utility Revenue'!G22*IF('Event Tracker'!G$4=1,2,1)</f>
        <v>0</v>
      </c>
      <c r="H53" s="27">
        <f>'Game Assumptions'!$B$7*'Utility Revenue'!H22*IF('Event Tracker'!H$4=1,2,1)</f>
        <v>0</v>
      </c>
      <c r="I53" s="27">
        <f>'Game Assumptions'!$B$7*'Utility Revenue'!I22*IF('Event Tracker'!I$4=1,2,1)</f>
        <v>0</v>
      </c>
      <c r="J53" s="27">
        <f>'Game Assumptions'!$B$7*'Utility Revenue'!J22*IF('Event Tracker'!J$4=1,2,1)</f>
        <v>0</v>
      </c>
      <c r="K53" s="27">
        <f>'Game Assumptions'!$B$7*'Utility Revenue'!K22*IF('Event Tracker'!K$4=1,2,1)</f>
        <v>0</v>
      </c>
      <c r="L53" s="27">
        <f>'Game Assumptions'!$B$7*'Utility Revenue'!L22*IF('Event Tracker'!L$4=1,2,1)</f>
        <v>0</v>
      </c>
    </row>
    <row r="54" spans="1:12" x14ac:dyDescent="0.25">
      <c r="A54" t="s">
        <v>314</v>
      </c>
      <c r="B54" s="27">
        <f>'Game Assumptions'!$B$7*'Utility Revenue'!B23*IF('Event Tracker'!B$4=1,2,1)</f>
        <v>0</v>
      </c>
      <c r="C54" s="27">
        <f>'Game Assumptions'!$B$7*'Utility Revenue'!C23*IF('Event Tracker'!C$4=1,2,1)</f>
        <v>0</v>
      </c>
      <c r="D54" s="27">
        <f>'Game Assumptions'!$B$7*'Utility Revenue'!D23*IF('Event Tracker'!D$4=1,2,1)</f>
        <v>0</v>
      </c>
      <c r="E54" s="27">
        <f>'Game Assumptions'!$B$7*'Utility Revenue'!E23*IF('Event Tracker'!E$4=1,2,1)</f>
        <v>0</v>
      </c>
      <c r="F54" s="27">
        <f>'Game Assumptions'!$B$7*'Utility Revenue'!F23*IF('Event Tracker'!F$4=1,2,1)</f>
        <v>0</v>
      </c>
      <c r="G54" s="27">
        <f>'Game Assumptions'!$B$7*'Utility Revenue'!G23*IF('Event Tracker'!G$4=1,2,1)</f>
        <v>0</v>
      </c>
      <c r="H54" s="27">
        <f>'Game Assumptions'!$B$7*'Utility Revenue'!H23*IF('Event Tracker'!H$4=1,2,1)</f>
        <v>0</v>
      </c>
      <c r="I54" s="27">
        <f>'Game Assumptions'!$B$7*'Utility Revenue'!I23*IF('Event Tracker'!I$4=1,2,1)</f>
        <v>0</v>
      </c>
      <c r="J54" s="27">
        <f>'Game Assumptions'!$B$7*'Utility Revenue'!J23*IF('Event Tracker'!J$4=1,2,1)</f>
        <v>0</v>
      </c>
      <c r="K54" s="27">
        <f>'Game Assumptions'!$B$7*'Utility Revenue'!K23*IF('Event Tracker'!K$4=1,2,1)</f>
        <v>0</v>
      </c>
      <c r="L54" s="27">
        <f>'Game Assumptions'!$B$7*'Utility Revenue'!L23*IF('Event Tracker'!L$4=1,2,1)</f>
        <v>0</v>
      </c>
    </row>
    <row r="55" spans="1:12" x14ac:dyDescent="0.25">
      <c r="A55" s="12" t="s">
        <v>67</v>
      </c>
      <c r="B55" s="27">
        <f>'Game Assumptions'!$B$7*'Utility Revenue'!B24*IF('Event Tracker'!B$4=1,2,1)</f>
        <v>0</v>
      </c>
      <c r="C55" s="27">
        <f>'Game Assumptions'!$B$7*'Utility Revenue'!C24*IF('Event Tracker'!C$4=1,2,1)</f>
        <v>0</v>
      </c>
      <c r="D55" s="27">
        <f>'Game Assumptions'!$B$7*'Utility Revenue'!D24*IF('Event Tracker'!D$4=1,2,1)</f>
        <v>0</v>
      </c>
      <c r="E55" s="27">
        <f>'Game Assumptions'!$B$7*'Utility Revenue'!E24*IF('Event Tracker'!E$4=1,2,1)</f>
        <v>0</v>
      </c>
      <c r="F55" s="27">
        <f>'Game Assumptions'!$B$7*'Utility Revenue'!F24*IF('Event Tracker'!F$4=1,2,1)</f>
        <v>0</v>
      </c>
      <c r="G55" s="27">
        <f>'Game Assumptions'!$B$7*'Utility Revenue'!G24*IF('Event Tracker'!G$4=1,2,1)</f>
        <v>0</v>
      </c>
      <c r="H55" s="27">
        <f>'Game Assumptions'!$B$7*'Utility Revenue'!H24*IF('Event Tracker'!H$4=1,2,1)</f>
        <v>0</v>
      </c>
      <c r="I55" s="27">
        <f>'Game Assumptions'!$B$7*'Utility Revenue'!I24*IF('Event Tracker'!I$4=1,2,1)</f>
        <v>0</v>
      </c>
      <c r="J55" s="27">
        <f>'Game Assumptions'!$B$7*'Utility Revenue'!J24*IF('Event Tracker'!J$4=1,2,1)</f>
        <v>0</v>
      </c>
      <c r="K55" s="27">
        <f>'Game Assumptions'!$B$7*'Utility Revenue'!K24*IF('Event Tracker'!K$4=1,2,1)</f>
        <v>0</v>
      </c>
      <c r="L55" s="27">
        <f>'Game Assumptions'!$B$7*'Utility Revenue'!L24*IF('Event Tracker'!L$4=1,2,1)</f>
        <v>0</v>
      </c>
    </row>
    <row r="56" spans="1:12" x14ac:dyDescent="0.25">
      <c r="A56" s="12" t="s">
        <v>68</v>
      </c>
      <c r="B56" s="27">
        <f>'Game Assumptions'!$B$7*'Utility Revenue'!B25*IF('Event Tracker'!B$4=1,2,1)</f>
        <v>0</v>
      </c>
      <c r="C56" s="27">
        <f>'Game Assumptions'!$B$7*'Utility Revenue'!C25*IF('Event Tracker'!C$4=1,2,1)</f>
        <v>0</v>
      </c>
      <c r="D56" s="27">
        <f>'Game Assumptions'!$B$7*'Utility Revenue'!D25*IF('Event Tracker'!D$4=1,2,1)</f>
        <v>0</v>
      </c>
      <c r="E56" s="27">
        <f>'Game Assumptions'!$B$7*'Utility Revenue'!E25*IF('Event Tracker'!E$4=1,2,1)</f>
        <v>0</v>
      </c>
      <c r="F56" s="27">
        <f>'Game Assumptions'!$B$7*'Utility Revenue'!F25*IF('Event Tracker'!F$4=1,2,1)</f>
        <v>0</v>
      </c>
      <c r="G56" s="27">
        <f>'Game Assumptions'!$B$7*'Utility Revenue'!G25*IF('Event Tracker'!G$4=1,2,1)</f>
        <v>0</v>
      </c>
      <c r="H56" s="27">
        <f>'Game Assumptions'!$B$7*'Utility Revenue'!H25*IF('Event Tracker'!H$4=1,2,1)</f>
        <v>0</v>
      </c>
      <c r="I56" s="27">
        <f>'Game Assumptions'!$B$7*'Utility Revenue'!I25*IF('Event Tracker'!I$4=1,2,1)</f>
        <v>0</v>
      </c>
      <c r="J56" s="27">
        <f>'Game Assumptions'!$B$7*'Utility Revenue'!J25*IF('Event Tracker'!J$4=1,2,1)</f>
        <v>0</v>
      </c>
      <c r="K56" s="27">
        <f>'Game Assumptions'!$B$7*'Utility Revenue'!K25*IF('Event Tracker'!K$4=1,2,1)</f>
        <v>0</v>
      </c>
      <c r="L56" s="27">
        <f>'Game Assumptions'!$B$7*'Utility Revenue'!L25*IF('Event Tracker'!L$4=1,2,1)</f>
        <v>0</v>
      </c>
    </row>
    <row r="57" spans="1:12" x14ac:dyDescent="0.25">
      <c r="A57" s="22" t="s">
        <v>429</v>
      </c>
      <c r="B57" s="23">
        <f>'Game Assumptions'!$B$7*'Utility Revenue'!B26*IF('Event Tracker'!B$4=1,2,1)</f>
        <v>0</v>
      </c>
      <c r="C57" s="23">
        <f>'Game Assumptions'!$B$7*'Utility Revenue'!C26*IF('Event Tracker'!C$4=1,2,1)</f>
        <v>0</v>
      </c>
      <c r="D57" s="23">
        <f>'Game Assumptions'!$B$7*'Utility Revenue'!D26*IF('Event Tracker'!D$4=1,2,1)</f>
        <v>0</v>
      </c>
      <c r="E57" s="23">
        <f>'Game Assumptions'!$B$7*'Utility Revenue'!E26*IF('Event Tracker'!E$4=1,2,1)</f>
        <v>0</v>
      </c>
      <c r="F57" s="23">
        <f>'Game Assumptions'!$B$7*'Utility Revenue'!F26*IF('Event Tracker'!F$4=1,2,1)</f>
        <v>0</v>
      </c>
      <c r="G57" s="23">
        <f>'Game Assumptions'!$B$7*'Utility Revenue'!G26*IF('Event Tracker'!G$4=1,2,1)</f>
        <v>0</v>
      </c>
      <c r="H57" s="23">
        <f>'Game Assumptions'!$B$7*'Utility Revenue'!H26*IF('Event Tracker'!H$4=1,2,1)</f>
        <v>0</v>
      </c>
      <c r="I57" s="23">
        <f>'Game Assumptions'!$B$7*'Utility Revenue'!I26*IF('Event Tracker'!I$4=1,2,1)</f>
        <v>0</v>
      </c>
      <c r="J57" s="23">
        <f>'Game Assumptions'!$B$7*'Utility Revenue'!J26*IF('Event Tracker'!J$4=1,2,1)</f>
        <v>0</v>
      </c>
      <c r="K57" s="23">
        <f>'Game Assumptions'!$B$7*'Utility Revenue'!K26*IF('Event Tracker'!K$4=1,2,1)</f>
        <v>0</v>
      </c>
      <c r="L57" s="23">
        <f>'Game Assumptions'!$B$7*'Utility Revenue'!L26*IF('Event Tracker'!L$4=1,2,1)</f>
        <v>0</v>
      </c>
    </row>
    <row r="58" spans="1:12" ht="15.75" thickBot="1" x14ac:dyDescent="0.3">
      <c r="A58" s="37" t="s">
        <v>226</v>
      </c>
      <c r="B58" s="38">
        <f>'Game Assumptions'!B82</f>
        <v>8000000</v>
      </c>
      <c r="C58" s="38">
        <f>B58</f>
        <v>8000000</v>
      </c>
      <c r="D58" s="38">
        <f t="shared" ref="D58:L58" si="2">C58</f>
        <v>8000000</v>
      </c>
      <c r="E58" s="38">
        <f t="shared" si="2"/>
        <v>8000000</v>
      </c>
      <c r="F58" s="38">
        <f t="shared" si="2"/>
        <v>8000000</v>
      </c>
      <c r="G58" s="38">
        <f t="shared" si="2"/>
        <v>8000000</v>
      </c>
      <c r="H58" s="38">
        <f t="shared" si="2"/>
        <v>8000000</v>
      </c>
      <c r="I58" s="38">
        <f t="shared" si="2"/>
        <v>8000000</v>
      </c>
      <c r="J58" s="38">
        <f t="shared" si="2"/>
        <v>8000000</v>
      </c>
      <c r="K58" s="38">
        <f t="shared" si="2"/>
        <v>8000000</v>
      </c>
      <c r="L58" s="38">
        <f t="shared" si="2"/>
        <v>8000000</v>
      </c>
    </row>
    <row r="59" spans="1:12" ht="16.5" thickTop="1" thickBot="1" x14ac:dyDescent="0.3">
      <c r="A59" s="39" t="s">
        <v>86</v>
      </c>
      <c r="B59" s="50">
        <f>SUM(B40:B57)/B58</f>
        <v>9.375</v>
      </c>
      <c r="C59" s="50">
        <f t="shared" ref="C59:L59" si="3">SUM(C40:C57)/C58</f>
        <v>9.375</v>
      </c>
      <c r="D59" s="50">
        <f t="shared" si="3"/>
        <v>9.375</v>
      </c>
      <c r="E59" s="50">
        <f t="shared" si="3"/>
        <v>9.375</v>
      </c>
      <c r="F59" s="50">
        <f t="shared" si="3"/>
        <v>9.375</v>
      </c>
      <c r="G59" s="50">
        <f t="shared" si="3"/>
        <v>9.375</v>
      </c>
      <c r="H59" s="50">
        <f t="shared" si="3"/>
        <v>9.375</v>
      </c>
      <c r="I59" s="50">
        <f t="shared" si="3"/>
        <v>9.375</v>
      </c>
      <c r="J59" s="50">
        <f t="shared" si="3"/>
        <v>9.375</v>
      </c>
      <c r="K59" s="50">
        <f t="shared" si="3"/>
        <v>9.375</v>
      </c>
      <c r="L59" s="50">
        <f t="shared" si="3"/>
        <v>9.375</v>
      </c>
    </row>
    <row r="60" spans="1:12" ht="15.75" thickTop="1" x14ac:dyDescent="0.25">
      <c r="A60" s="39" t="s">
        <v>445</v>
      </c>
      <c r="B60" s="50">
        <f>SUM(B42,B50,B52,B54,B56)/B58</f>
        <v>3.125</v>
      </c>
      <c r="C60" s="50">
        <f t="shared" ref="C60:L60" si="4">SUM(C42,C50,C52,C54,C56)/C58</f>
        <v>3.125</v>
      </c>
      <c r="D60" s="50">
        <f t="shared" si="4"/>
        <v>3.125</v>
      </c>
      <c r="E60" s="50">
        <f t="shared" si="4"/>
        <v>3.125</v>
      </c>
      <c r="F60" s="50">
        <f t="shared" si="4"/>
        <v>3.125</v>
      </c>
      <c r="G60" s="50">
        <f t="shared" si="4"/>
        <v>3.125</v>
      </c>
      <c r="H60" s="50">
        <f t="shared" si="4"/>
        <v>3.125</v>
      </c>
      <c r="I60" s="50">
        <f t="shared" si="4"/>
        <v>3.125</v>
      </c>
      <c r="J60" s="50">
        <f t="shared" si="4"/>
        <v>3.125</v>
      </c>
      <c r="K60" s="50">
        <f t="shared" si="4"/>
        <v>3.125</v>
      </c>
      <c r="L60" s="50">
        <f t="shared" si="4"/>
        <v>3.125</v>
      </c>
    </row>
    <row r="62" spans="1:12" x14ac:dyDescent="0.25">
      <c r="A62" s="9" t="s">
        <v>84</v>
      </c>
      <c r="B62" s="9">
        <v>0</v>
      </c>
      <c r="C62" s="9">
        <v>1</v>
      </c>
      <c r="D62" s="9">
        <v>2</v>
      </c>
      <c r="E62" s="9">
        <v>3</v>
      </c>
      <c r="F62" s="9">
        <v>4</v>
      </c>
      <c r="G62" s="9">
        <v>5</v>
      </c>
      <c r="H62" s="9">
        <v>6</v>
      </c>
      <c r="I62" s="9">
        <v>7</v>
      </c>
      <c r="J62" s="9">
        <v>8</v>
      </c>
      <c r="K62" s="9">
        <v>9</v>
      </c>
      <c r="L62" s="9">
        <v>10</v>
      </c>
    </row>
    <row r="63" spans="1:12" x14ac:dyDescent="0.25">
      <c r="A63" s="24" t="s">
        <v>81</v>
      </c>
    </row>
    <row r="64" spans="1:12" x14ac:dyDescent="0.25">
      <c r="A64" s="28" t="s">
        <v>38</v>
      </c>
      <c r="B64" s="27"/>
      <c r="C64" s="27"/>
      <c r="D64" s="27"/>
      <c r="E64" s="27"/>
      <c r="F64" s="27"/>
      <c r="G64" s="27"/>
      <c r="H64" s="27"/>
      <c r="I64" s="27"/>
      <c r="J64" s="27"/>
      <c r="K64" s="27"/>
      <c r="L64" s="27"/>
    </row>
    <row r="65" spans="1:12" x14ac:dyDescent="0.25">
      <c r="A65" s="26" t="s">
        <v>64</v>
      </c>
      <c r="B65" s="27">
        <f>(1-('Game Assumptions'!$B$7*IF('Event Tracker'!B$4=1,2,1)))*'Utility Revenue'!B9</f>
        <v>75000000</v>
      </c>
      <c r="C65" s="27">
        <f>(1-('Game Assumptions'!$B$7*IF('Event Tracker'!C$4=1,2,1)))*'Utility Revenue'!C9</f>
        <v>75000000</v>
      </c>
      <c r="D65" s="27">
        <f>(1-('Game Assumptions'!$B$7*IF('Event Tracker'!D$4=1,2,1)))*'Utility Revenue'!D9</f>
        <v>75000000</v>
      </c>
      <c r="E65" s="27">
        <f>(1-('Game Assumptions'!$B$7*IF('Event Tracker'!E$4=1,2,1)))*'Utility Revenue'!E9</f>
        <v>75000000</v>
      </c>
      <c r="F65" s="27">
        <f>(1-('Game Assumptions'!$B$7*IF('Event Tracker'!F$4=1,2,1)))*'Utility Revenue'!F9</f>
        <v>75000000</v>
      </c>
      <c r="G65" s="27">
        <f>(1-('Game Assumptions'!$B$7*IF('Event Tracker'!G$4=1,2,1)))*'Utility Revenue'!G9</f>
        <v>75000000</v>
      </c>
      <c r="H65" s="27">
        <f>(1-('Game Assumptions'!$B$7*IF('Event Tracker'!H$4=1,2,1)))*'Utility Revenue'!H9</f>
        <v>75000000</v>
      </c>
      <c r="I65" s="27">
        <f>(1-('Game Assumptions'!$B$7*IF('Event Tracker'!I$4=1,2,1)))*'Utility Revenue'!I9</f>
        <v>75000000</v>
      </c>
      <c r="J65" s="27">
        <f>(1-('Game Assumptions'!$B$7*IF('Event Tracker'!J$4=1,2,1)))*'Utility Revenue'!J9</f>
        <v>75000000</v>
      </c>
      <c r="K65" s="27">
        <f>(1-('Game Assumptions'!$B$7*IF('Event Tracker'!K$4=1,2,1)))*'Utility Revenue'!K9</f>
        <v>75000000</v>
      </c>
      <c r="L65" s="27">
        <f>(1-('Game Assumptions'!$B$7*IF('Event Tracker'!L$4=1,2,1)))*'Utility Revenue'!L9</f>
        <v>75000000</v>
      </c>
    </row>
    <row r="66" spans="1:12" x14ac:dyDescent="0.25">
      <c r="A66" s="26" t="s">
        <v>65</v>
      </c>
      <c r="B66" s="27">
        <f>(1-('Game Assumptions'!$B$7*IF('Event Tracker'!B$4=1,2,1)))*'Utility Revenue'!B10</f>
        <v>75000000</v>
      </c>
      <c r="C66" s="27">
        <f>(1-('Game Assumptions'!$B$7*IF('Event Tracker'!C$4=1,2,1)))*'Utility Revenue'!C10</f>
        <v>75000000</v>
      </c>
      <c r="D66" s="27">
        <f>(1-('Game Assumptions'!$B$7*IF('Event Tracker'!D$4=1,2,1)))*'Utility Revenue'!D10</f>
        <v>75000000</v>
      </c>
      <c r="E66" s="27">
        <f>(1-('Game Assumptions'!$B$7*IF('Event Tracker'!E$4=1,2,1)))*'Utility Revenue'!E10</f>
        <v>75000000</v>
      </c>
      <c r="F66" s="27">
        <f>(1-('Game Assumptions'!$B$7*IF('Event Tracker'!F$4=1,2,1)))*'Utility Revenue'!F10</f>
        <v>75000000</v>
      </c>
      <c r="G66" s="27">
        <f>(1-('Game Assumptions'!$B$7*IF('Event Tracker'!G$4=1,2,1)))*'Utility Revenue'!G10</f>
        <v>75000000</v>
      </c>
      <c r="H66" s="27">
        <f>(1-('Game Assumptions'!$B$7*IF('Event Tracker'!H$4=1,2,1)))*'Utility Revenue'!H10</f>
        <v>75000000</v>
      </c>
      <c r="I66" s="27">
        <f>(1-('Game Assumptions'!$B$7*IF('Event Tracker'!I$4=1,2,1)))*'Utility Revenue'!I10</f>
        <v>75000000</v>
      </c>
      <c r="J66" s="27">
        <f>(1-('Game Assumptions'!$B$7*IF('Event Tracker'!J$4=1,2,1)))*'Utility Revenue'!J10</f>
        <v>75000000</v>
      </c>
      <c r="K66" s="27">
        <f>(1-('Game Assumptions'!$B$7*IF('Event Tracker'!K$4=1,2,1)))*'Utility Revenue'!K10</f>
        <v>75000000</v>
      </c>
      <c r="L66" s="27">
        <f>(1-('Game Assumptions'!$B$7*IF('Event Tracker'!L$4=1,2,1)))*'Utility Revenue'!L10</f>
        <v>75000000</v>
      </c>
    </row>
    <row r="67" spans="1:12" x14ac:dyDescent="0.25">
      <c r="A67" s="29" t="s">
        <v>66</v>
      </c>
      <c r="B67" s="23">
        <f>(1-('Game Assumptions'!$B$7*IF('Event Tracker'!B$4=1,2,1)))*'Utility Revenue'!B11</f>
        <v>75000000</v>
      </c>
      <c r="C67" s="23">
        <f>(1-('Game Assumptions'!$B$7*IF('Event Tracker'!C$4=1,2,1)))*'Utility Revenue'!C11</f>
        <v>75000000</v>
      </c>
      <c r="D67" s="23">
        <f>(1-('Game Assumptions'!$B$7*IF('Event Tracker'!D$4=1,2,1)))*'Utility Revenue'!D11</f>
        <v>75000000</v>
      </c>
      <c r="E67" s="23">
        <f>(1-('Game Assumptions'!$B$7*IF('Event Tracker'!E$4=1,2,1)))*'Utility Revenue'!E11</f>
        <v>75000000</v>
      </c>
      <c r="F67" s="23">
        <f>(1-('Game Assumptions'!$B$7*IF('Event Tracker'!F$4=1,2,1)))*'Utility Revenue'!F11</f>
        <v>75000000</v>
      </c>
      <c r="G67" s="23">
        <f>(1-('Game Assumptions'!$B$7*IF('Event Tracker'!G$4=1,2,1)))*'Utility Revenue'!G11</f>
        <v>75000000</v>
      </c>
      <c r="H67" s="23">
        <f>(1-('Game Assumptions'!$B$7*IF('Event Tracker'!H$4=1,2,1)))*'Utility Revenue'!H11</f>
        <v>75000000</v>
      </c>
      <c r="I67" s="23">
        <f>(1-('Game Assumptions'!$B$7*IF('Event Tracker'!I$4=1,2,1)))*'Utility Revenue'!I11</f>
        <v>75000000</v>
      </c>
      <c r="J67" s="23">
        <f>(1-('Game Assumptions'!$B$7*IF('Event Tracker'!J$4=1,2,1)))*'Utility Revenue'!J11</f>
        <v>75000000</v>
      </c>
      <c r="K67" s="23">
        <f>(1-('Game Assumptions'!$B$7*IF('Event Tracker'!K$4=1,2,1)))*'Utility Revenue'!K11</f>
        <v>75000000</v>
      </c>
      <c r="L67" s="23">
        <f>(1-('Game Assumptions'!$B$7*IF('Event Tracker'!L$4=1,2,1)))*'Utility Revenue'!L11</f>
        <v>75000000</v>
      </c>
    </row>
    <row r="68" spans="1:12" x14ac:dyDescent="0.25">
      <c r="A68" s="4" t="s">
        <v>43</v>
      </c>
    </row>
    <row r="69" spans="1:12" x14ac:dyDescent="0.25">
      <c r="A69" t="s">
        <v>40</v>
      </c>
      <c r="B69" s="7">
        <f>(1-('Game Assumptions'!$B$7*IF('Event Tracker'!B$4=1,2,1)))*'Utility Revenue'!B13</f>
        <v>0</v>
      </c>
      <c r="C69" s="7">
        <f>(1-('Game Assumptions'!$B$7*IF('Event Tracker'!C$4=1,2,1)))*'Utility Revenue'!C13</f>
        <v>0</v>
      </c>
      <c r="D69" s="7">
        <f>(1-('Game Assumptions'!$B$7*IF('Event Tracker'!D$4=1,2,1)))*'Utility Revenue'!D13</f>
        <v>0</v>
      </c>
      <c r="E69" s="7">
        <f>(1-('Game Assumptions'!$B$7*IF('Event Tracker'!E$4=1,2,1)))*'Utility Revenue'!E13</f>
        <v>0</v>
      </c>
      <c r="F69" s="7">
        <f>(1-('Game Assumptions'!$B$7*IF('Event Tracker'!F$4=1,2,1)))*'Utility Revenue'!F13</f>
        <v>0</v>
      </c>
      <c r="G69" s="7">
        <f>(1-('Game Assumptions'!$B$7*IF('Event Tracker'!G$4=1,2,1)))*'Utility Revenue'!G13</f>
        <v>0</v>
      </c>
      <c r="H69" s="7">
        <f>(1-('Game Assumptions'!$B$7*IF('Event Tracker'!H$4=1,2,1)))*'Utility Revenue'!H13</f>
        <v>0</v>
      </c>
      <c r="I69" s="7">
        <f>(1-('Game Assumptions'!$B$7*IF('Event Tracker'!I$4=1,2,1)))*'Utility Revenue'!I13</f>
        <v>0</v>
      </c>
      <c r="J69" s="7">
        <f>(1-('Game Assumptions'!$B$7*IF('Event Tracker'!J$4=1,2,1)))*'Utility Revenue'!J13</f>
        <v>0</v>
      </c>
      <c r="K69" s="7">
        <f>(1-('Game Assumptions'!$B$7*IF('Event Tracker'!K$4=1,2,1)))*'Utility Revenue'!K13</f>
        <v>0</v>
      </c>
      <c r="L69" s="7">
        <f>(1-('Game Assumptions'!$B$7*IF('Event Tracker'!L$4=1,2,1)))*'Utility Revenue'!L13</f>
        <v>0</v>
      </c>
    </row>
    <row r="70" spans="1:12" x14ac:dyDescent="0.25">
      <c r="A70" t="s">
        <v>46</v>
      </c>
      <c r="B70" s="7">
        <f>(1-('Game Assumptions'!$B$7*IF('Event Tracker'!B$4=1,2,1)))*'Utility Revenue'!B14</f>
        <v>0</v>
      </c>
      <c r="C70" s="7">
        <f>(1-('Game Assumptions'!$B$7*IF('Event Tracker'!C$4=1,2,1)))*'Utility Revenue'!C14</f>
        <v>0</v>
      </c>
      <c r="D70" s="7">
        <f>(1-('Game Assumptions'!$B$7*IF('Event Tracker'!D$4=1,2,1)))*'Utility Revenue'!D14</f>
        <v>0</v>
      </c>
      <c r="E70" s="7">
        <f>(1-('Game Assumptions'!$B$7*IF('Event Tracker'!E$4=1,2,1)))*'Utility Revenue'!E14</f>
        <v>0</v>
      </c>
      <c r="F70" s="7">
        <f>(1-('Game Assumptions'!$B$7*IF('Event Tracker'!F$4=1,2,1)))*'Utility Revenue'!F14</f>
        <v>0</v>
      </c>
      <c r="G70" s="7">
        <f>(1-('Game Assumptions'!$B$7*IF('Event Tracker'!G$4=1,2,1)))*'Utility Revenue'!G14</f>
        <v>0</v>
      </c>
      <c r="H70" s="7">
        <f>(1-('Game Assumptions'!$B$7*IF('Event Tracker'!H$4=1,2,1)))*'Utility Revenue'!H14</f>
        <v>0</v>
      </c>
      <c r="I70" s="7">
        <f>(1-('Game Assumptions'!$B$7*IF('Event Tracker'!I$4=1,2,1)))*'Utility Revenue'!I14</f>
        <v>0</v>
      </c>
      <c r="J70" s="7">
        <f>(1-('Game Assumptions'!$B$7*IF('Event Tracker'!J$4=1,2,1)))*'Utility Revenue'!J14</f>
        <v>0</v>
      </c>
      <c r="K70" s="7">
        <f>(1-('Game Assumptions'!$B$7*IF('Event Tracker'!K$4=1,2,1)))*'Utility Revenue'!K14</f>
        <v>0</v>
      </c>
      <c r="L70" s="7">
        <f>(1-('Game Assumptions'!$B$7*IF('Event Tracker'!L$4=1,2,1)))*'Utility Revenue'!L14</f>
        <v>0</v>
      </c>
    </row>
    <row r="71" spans="1:12" x14ac:dyDescent="0.25">
      <c r="A71" t="s">
        <v>41</v>
      </c>
      <c r="B71" s="7">
        <f>(1-('Game Assumptions'!$B$7*IF('Event Tracker'!B$4=1,2,1)))*'Utility Revenue'!B15</f>
        <v>0</v>
      </c>
      <c r="C71" s="7">
        <f>(1-('Game Assumptions'!$B$7*IF('Event Tracker'!C$4=1,2,1)))*'Utility Revenue'!C15</f>
        <v>0</v>
      </c>
      <c r="D71" s="7">
        <f>(1-('Game Assumptions'!$B$7*IF('Event Tracker'!D$4=1,2,1)))*'Utility Revenue'!D15</f>
        <v>0</v>
      </c>
      <c r="E71" s="7">
        <f>(1-('Game Assumptions'!$B$7*IF('Event Tracker'!E$4=1,2,1)))*'Utility Revenue'!E15</f>
        <v>0</v>
      </c>
      <c r="F71" s="7">
        <f>(1-('Game Assumptions'!$B$7*IF('Event Tracker'!F$4=1,2,1)))*'Utility Revenue'!F15</f>
        <v>0</v>
      </c>
      <c r="G71" s="7">
        <f>(1-('Game Assumptions'!$B$7*IF('Event Tracker'!G$4=1,2,1)))*'Utility Revenue'!G15</f>
        <v>0</v>
      </c>
      <c r="H71" s="7">
        <f>(1-('Game Assumptions'!$B$7*IF('Event Tracker'!H$4=1,2,1)))*'Utility Revenue'!H15</f>
        <v>0</v>
      </c>
      <c r="I71" s="7">
        <f>(1-('Game Assumptions'!$B$7*IF('Event Tracker'!I$4=1,2,1)))*'Utility Revenue'!I15</f>
        <v>0</v>
      </c>
      <c r="J71" s="7">
        <f>(1-('Game Assumptions'!$B$7*IF('Event Tracker'!J$4=1,2,1)))*'Utility Revenue'!J15</f>
        <v>0</v>
      </c>
      <c r="K71" s="7">
        <f>(1-('Game Assumptions'!$B$7*IF('Event Tracker'!K$4=1,2,1)))*'Utility Revenue'!K15</f>
        <v>0</v>
      </c>
      <c r="L71" s="7">
        <f>(1-('Game Assumptions'!$B$7*IF('Event Tracker'!L$4=1,2,1)))*'Utility Revenue'!L15</f>
        <v>0</v>
      </c>
    </row>
    <row r="72" spans="1:12" x14ac:dyDescent="0.25">
      <c r="A72" t="s">
        <v>44</v>
      </c>
      <c r="B72" s="7">
        <f>(1-('Game Assumptions'!$B$7*IF('Event Tracker'!B$4=1,2,1)))*'Utility Revenue'!B16</f>
        <v>0</v>
      </c>
      <c r="C72" s="7">
        <f>(1-('Game Assumptions'!$B$7*IF('Event Tracker'!C$4=1,2,1)))*'Utility Revenue'!C16</f>
        <v>0</v>
      </c>
      <c r="D72" s="7">
        <f>(1-('Game Assumptions'!$B$7*IF('Event Tracker'!D$4=1,2,1)))*'Utility Revenue'!D16</f>
        <v>0</v>
      </c>
      <c r="E72" s="7">
        <f>(1-('Game Assumptions'!$B$7*IF('Event Tracker'!E$4=1,2,1)))*'Utility Revenue'!E16</f>
        <v>0</v>
      </c>
      <c r="F72" s="7">
        <f>(1-('Game Assumptions'!$B$7*IF('Event Tracker'!F$4=1,2,1)))*'Utility Revenue'!F16</f>
        <v>0</v>
      </c>
      <c r="G72" s="7">
        <f>(1-('Game Assumptions'!$B$7*IF('Event Tracker'!G$4=1,2,1)))*'Utility Revenue'!G16</f>
        <v>0</v>
      </c>
      <c r="H72" s="7">
        <f>(1-('Game Assumptions'!$B$7*IF('Event Tracker'!H$4=1,2,1)))*'Utility Revenue'!H16</f>
        <v>0</v>
      </c>
      <c r="I72" s="7">
        <f>(1-('Game Assumptions'!$B$7*IF('Event Tracker'!I$4=1,2,1)))*'Utility Revenue'!I16</f>
        <v>0</v>
      </c>
      <c r="J72" s="7">
        <f>(1-('Game Assumptions'!$B$7*IF('Event Tracker'!J$4=1,2,1)))*'Utility Revenue'!J16</f>
        <v>0</v>
      </c>
      <c r="K72" s="7">
        <f>(1-('Game Assumptions'!$B$7*IF('Event Tracker'!K$4=1,2,1)))*'Utility Revenue'!K16</f>
        <v>0</v>
      </c>
      <c r="L72" s="7">
        <f>(1-('Game Assumptions'!$B$7*IF('Event Tracker'!L$4=1,2,1)))*'Utility Revenue'!L16</f>
        <v>0</v>
      </c>
    </row>
    <row r="73" spans="1:12" x14ac:dyDescent="0.25">
      <c r="A73" t="s">
        <v>45</v>
      </c>
      <c r="B73" s="7">
        <f>(1-('Game Assumptions'!$B$7*IF('Event Tracker'!B$4=1,2,1)))*'Utility Revenue'!B17</f>
        <v>0</v>
      </c>
      <c r="C73" s="7">
        <f>(1-('Game Assumptions'!$B$7*IF('Event Tracker'!C$4=1,2,1)))*'Utility Revenue'!C17</f>
        <v>0</v>
      </c>
      <c r="D73" s="7">
        <f>(1-('Game Assumptions'!$B$7*IF('Event Tracker'!D$4=1,2,1)))*'Utility Revenue'!D17</f>
        <v>0</v>
      </c>
      <c r="E73" s="7">
        <f>(1-('Game Assumptions'!$B$7*IF('Event Tracker'!E$4=1,2,1)))*'Utility Revenue'!E17</f>
        <v>0</v>
      </c>
      <c r="F73" s="7">
        <f>(1-('Game Assumptions'!$B$7*IF('Event Tracker'!F$4=1,2,1)))*'Utility Revenue'!F17</f>
        <v>0</v>
      </c>
      <c r="G73" s="7">
        <f>(1-('Game Assumptions'!$B$7*IF('Event Tracker'!G$4=1,2,1)))*'Utility Revenue'!G17</f>
        <v>0</v>
      </c>
      <c r="H73" s="7">
        <f>(1-('Game Assumptions'!$B$7*IF('Event Tracker'!H$4=1,2,1)))*'Utility Revenue'!H17</f>
        <v>0</v>
      </c>
      <c r="I73" s="7">
        <f>(1-('Game Assumptions'!$B$7*IF('Event Tracker'!I$4=1,2,1)))*'Utility Revenue'!I17</f>
        <v>0</v>
      </c>
      <c r="J73" s="7">
        <f>(1-('Game Assumptions'!$B$7*IF('Event Tracker'!J$4=1,2,1)))*'Utility Revenue'!J17</f>
        <v>0</v>
      </c>
      <c r="K73" s="7">
        <f>(1-('Game Assumptions'!$B$7*IF('Event Tracker'!K$4=1,2,1)))*'Utility Revenue'!K17</f>
        <v>0</v>
      </c>
      <c r="L73" s="7">
        <f>(1-('Game Assumptions'!$B$7*IF('Event Tracker'!L$4=1,2,1)))*'Utility Revenue'!L17</f>
        <v>0</v>
      </c>
    </row>
    <row r="74" spans="1:12" x14ac:dyDescent="0.25">
      <c r="A74" t="s">
        <v>42</v>
      </c>
      <c r="B74" s="7">
        <f>(1-('Game Assumptions'!$B$7*IF('Event Tracker'!B$4=1,2,1)))*'Utility Revenue'!B18</f>
        <v>0</v>
      </c>
      <c r="C74" s="7">
        <f>(1-('Game Assumptions'!$B$7*IF('Event Tracker'!C$4=1,2,1)))*'Utility Revenue'!C18</f>
        <v>0</v>
      </c>
      <c r="D74" s="7">
        <f>(1-('Game Assumptions'!$B$7*IF('Event Tracker'!D$4=1,2,1)))*'Utility Revenue'!D18</f>
        <v>0</v>
      </c>
      <c r="E74" s="7">
        <f>(1-('Game Assumptions'!$B$7*IF('Event Tracker'!E$4=1,2,1)))*'Utility Revenue'!E18</f>
        <v>0</v>
      </c>
      <c r="F74" s="7">
        <f>(1-('Game Assumptions'!$B$7*IF('Event Tracker'!F$4=1,2,1)))*'Utility Revenue'!F18</f>
        <v>0</v>
      </c>
      <c r="G74" s="7">
        <f>(1-('Game Assumptions'!$B$7*IF('Event Tracker'!G$4=1,2,1)))*'Utility Revenue'!G18</f>
        <v>0</v>
      </c>
      <c r="H74" s="7">
        <f>(1-('Game Assumptions'!$B$7*IF('Event Tracker'!H$4=1,2,1)))*'Utility Revenue'!H18</f>
        <v>0</v>
      </c>
      <c r="I74" s="7">
        <f>(1-('Game Assumptions'!$B$7*IF('Event Tracker'!I$4=1,2,1)))*'Utility Revenue'!I18</f>
        <v>0</v>
      </c>
      <c r="J74" s="7">
        <f>(1-('Game Assumptions'!$B$7*IF('Event Tracker'!J$4=1,2,1)))*'Utility Revenue'!J18</f>
        <v>0</v>
      </c>
      <c r="K74" s="7">
        <f>(1-('Game Assumptions'!$B$7*IF('Event Tracker'!K$4=1,2,1)))*'Utility Revenue'!K18</f>
        <v>0</v>
      </c>
      <c r="L74" s="7">
        <f>(1-('Game Assumptions'!$B$7*IF('Event Tracker'!L$4=1,2,1)))*'Utility Revenue'!L18</f>
        <v>0</v>
      </c>
    </row>
    <row r="75" spans="1:12" x14ac:dyDescent="0.25">
      <c r="A75" s="12" t="s">
        <v>47</v>
      </c>
      <c r="B75" s="7">
        <f>(1-('Game Assumptions'!$B$7*IF('Event Tracker'!B$4=1,2,1)))*'Utility Revenue'!B19</f>
        <v>0</v>
      </c>
      <c r="C75" s="7">
        <f>(1-('Game Assumptions'!$B$7*IF('Event Tracker'!C$4=1,2,1)))*'Utility Revenue'!C19</f>
        <v>0</v>
      </c>
      <c r="D75" s="7">
        <f>(1-('Game Assumptions'!$B$7*IF('Event Tracker'!D$4=1,2,1)))*'Utility Revenue'!D19</f>
        <v>0</v>
      </c>
      <c r="E75" s="7">
        <f>(1-('Game Assumptions'!$B$7*IF('Event Tracker'!E$4=1,2,1)))*'Utility Revenue'!E19</f>
        <v>0</v>
      </c>
      <c r="F75" s="7">
        <f>(1-('Game Assumptions'!$B$7*IF('Event Tracker'!F$4=1,2,1)))*'Utility Revenue'!F19</f>
        <v>0</v>
      </c>
      <c r="G75" s="7">
        <f>(1-('Game Assumptions'!$B$7*IF('Event Tracker'!G$4=1,2,1)))*'Utility Revenue'!G19</f>
        <v>0</v>
      </c>
      <c r="H75" s="7">
        <f>(1-('Game Assumptions'!$B$7*IF('Event Tracker'!H$4=1,2,1)))*'Utility Revenue'!H19</f>
        <v>0</v>
      </c>
      <c r="I75" s="7">
        <f>(1-('Game Assumptions'!$B$7*IF('Event Tracker'!I$4=1,2,1)))*'Utility Revenue'!I19</f>
        <v>0</v>
      </c>
      <c r="J75" s="7">
        <f>(1-('Game Assumptions'!$B$7*IF('Event Tracker'!J$4=1,2,1)))*'Utility Revenue'!J19</f>
        <v>0</v>
      </c>
      <c r="K75" s="7">
        <f>(1-('Game Assumptions'!$B$7*IF('Event Tracker'!K$4=1,2,1)))*'Utility Revenue'!K19</f>
        <v>0</v>
      </c>
      <c r="L75" s="7">
        <f>(1-('Game Assumptions'!$B$7*IF('Event Tracker'!L$4=1,2,1)))*'Utility Revenue'!L19</f>
        <v>0</v>
      </c>
    </row>
    <row r="76" spans="1:12" x14ac:dyDescent="0.25">
      <c r="A76" t="s">
        <v>311</v>
      </c>
      <c r="B76" s="7">
        <f>(1-('Game Assumptions'!$B$7*IF('Event Tracker'!B$4=1,2,1)))*'Utility Revenue'!B20</f>
        <v>0</v>
      </c>
      <c r="C76" s="7">
        <f>(1-('Game Assumptions'!$B$7*IF('Event Tracker'!C$4=1,2,1)))*'Utility Revenue'!C20</f>
        <v>0</v>
      </c>
      <c r="D76" s="7">
        <f>(1-('Game Assumptions'!$B$7*IF('Event Tracker'!D$4=1,2,1)))*'Utility Revenue'!D20</f>
        <v>0</v>
      </c>
      <c r="E76" s="7">
        <f>(1-('Game Assumptions'!$B$7*IF('Event Tracker'!E$4=1,2,1)))*'Utility Revenue'!E20</f>
        <v>0</v>
      </c>
      <c r="F76" s="7">
        <f>(1-('Game Assumptions'!$B$7*IF('Event Tracker'!F$4=1,2,1)))*'Utility Revenue'!F20</f>
        <v>0</v>
      </c>
      <c r="G76" s="7">
        <f>(1-('Game Assumptions'!$B$7*IF('Event Tracker'!G$4=1,2,1)))*'Utility Revenue'!G20</f>
        <v>0</v>
      </c>
      <c r="H76" s="7">
        <f>(1-('Game Assumptions'!$B$7*IF('Event Tracker'!H$4=1,2,1)))*'Utility Revenue'!H20</f>
        <v>0</v>
      </c>
      <c r="I76" s="7">
        <f>(1-('Game Assumptions'!$B$7*IF('Event Tracker'!I$4=1,2,1)))*'Utility Revenue'!I20</f>
        <v>0</v>
      </c>
      <c r="J76" s="7">
        <f>(1-('Game Assumptions'!$B$7*IF('Event Tracker'!J$4=1,2,1)))*'Utility Revenue'!J20</f>
        <v>0</v>
      </c>
      <c r="K76" s="7">
        <f>(1-('Game Assumptions'!$B$7*IF('Event Tracker'!K$4=1,2,1)))*'Utility Revenue'!K20</f>
        <v>0</v>
      </c>
      <c r="L76" s="7">
        <f>(1-('Game Assumptions'!$B$7*IF('Event Tracker'!L$4=1,2,1)))*'Utility Revenue'!L20</f>
        <v>0</v>
      </c>
    </row>
    <row r="77" spans="1:12" x14ac:dyDescent="0.25">
      <c r="A77" t="s">
        <v>312</v>
      </c>
      <c r="B77" s="7">
        <f>(1-('Game Assumptions'!$B$7*IF('Event Tracker'!B$4=1,2,1)))*'Utility Revenue'!B21</f>
        <v>0</v>
      </c>
      <c r="C77" s="7">
        <f>(1-('Game Assumptions'!$B$7*IF('Event Tracker'!C$4=1,2,1)))*'Utility Revenue'!C21</f>
        <v>0</v>
      </c>
      <c r="D77" s="7">
        <f>(1-('Game Assumptions'!$B$7*IF('Event Tracker'!D$4=1,2,1)))*'Utility Revenue'!D21</f>
        <v>0</v>
      </c>
      <c r="E77" s="7">
        <f>(1-('Game Assumptions'!$B$7*IF('Event Tracker'!E$4=1,2,1)))*'Utility Revenue'!E21</f>
        <v>0</v>
      </c>
      <c r="F77" s="7">
        <f>(1-('Game Assumptions'!$B$7*IF('Event Tracker'!F$4=1,2,1)))*'Utility Revenue'!F21</f>
        <v>0</v>
      </c>
      <c r="G77" s="7">
        <f>(1-('Game Assumptions'!$B$7*IF('Event Tracker'!G$4=1,2,1)))*'Utility Revenue'!G21</f>
        <v>0</v>
      </c>
      <c r="H77" s="7">
        <f>(1-('Game Assumptions'!$B$7*IF('Event Tracker'!H$4=1,2,1)))*'Utility Revenue'!H21</f>
        <v>0</v>
      </c>
      <c r="I77" s="7">
        <f>(1-('Game Assumptions'!$B$7*IF('Event Tracker'!I$4=1,2,1)))*'Utility Revenue'!I21</f>
        <v>0</v>
      </c>
      <c r="J77" s="7">
        <f>(1-('Game Assumptions'!$B$7*IF('Event Tracker'!J$4=1,2,1)))*'Utility Revenue'!J21</f>
        <v>0</v>
      </c>
      <c r="K77" s="7">
        <f>(1-('Game Assumptions'!$B$7*IF('Event Tracker'!K$4=1,2,1)))*'Utility Revenue'!K21</f>
        <v>0</v>
      </c>
      <c r="L77" s="7">
        <f>(1-('Game Assumptions'!$B$7*IF('Event Tracker'!L$4=1,2,1)))*'Utility Revenue'!L21</f>
        <v>0</v>
      </c>
    </row>
    <row r="78" spans="1:12" x14ac:dyDescent="0.25">
      <c r="A78" t="s">
        <v>313</v>
      </c>
      <c r="B78" s="7">
        <f>(1-('Game Assumptions'!$B$7*IF('Event Tracker'!B$4=1,2,1)))*'Utility Revenue'!B22</f>
        <v>0</v>
      </c>
      <c r="C78" s="7">
        <f>(1-('Game Assumptions'!$B$7*IF('Event Tracker'!C$4=1,2,1)))*'Utility Revenue'!C22</f>
        <v>0</v>
      </c>
      <c r="D78" s="7">
        <f>(1-('Game Assumptions'!$B$7*IF('Event Tracker'!D$4=1,2,1)))*'Utility Revenue'!D22</f>
        <v>0</v>
      </c>
      <c r="E78" s="7">
        <f>(1-('Game Assumptions'!$B$7*IF('Event Tracker'!E$4=1,2,1)))*'Utility Revenue'!E22</f>
        <v>0</v>
      </c>
      <c r="F78" s="7">
        <f>(1-('Game Assumptions'!$B$7*IF('Event Tracker'!F$4=1,2,1)))*'Utility Revenue'!F22</f>
        <v>0</v>
      </c>
      <c r="G78" s="7">
        <f>(1-('Game Assumptions'!$B$7*IF('Event Tracker'!G$4=1,2,1)))*'Utility Revenue'!G22</f>
        <v>0</v>
      </c>
      <c r="H78" s="7">
        <f>(1-('Game Assumptions'!$B$7*IF('Event Tracker'!H$4=1,2,1)))*'Utility Revenue'!H22</f>
        <v>0</v>
      </c>
      <c r="I78" s="7">
        <f>(1-('Game Assumptions'!$B$7*IF('Event Tracker'!I$4=1,2,1)))*'Utility Revenue'!I22</f>
        <v>0</v>
      </c>
      <c r="J78" s="7">
        <f>(1-('Game Assumptions'!$B$7*IF('Event Tracker'!J$4=1,2,1)))*'Utility Revenue'!J22</f>
        <v>0</v>
      </c>
      <c r="K78" s="7">
        <f>(1-('Game Assumptions'!$B$7*IF('Event Tracker'!K$4=1,2,1)))*'Utility Revenue'!K22</f>
        <v>0</v>
      </c>
      <c r="L78" s="7">
        <f>(1-('Game Assumptions'!$B$7*IF('Event Tracker'!L$4=1,2,1)))*'Utility Revenue'!L22</f>
        <v>0</v>
      </c>
    </row>
    <row r="79" spans="1:12" x14ac:dyDescent="0.25">
      <c r="A79" t="s">
        <v>314</v>
      </c>
      <c r="B79" s="7">
        <f>(1-('Game Assumptions'!$B$7*IF('Event Tracker'!B$4=1,2,1)))*'Utility Revenue'!B23</f>
        <v>0</v>
      </c>
      <c r="C79" s="7">
        <f>(1-('Game Assumptions'!$B$7*IF('Event Tracker'!C$4=1,2,1)))*'Utility Revenue'!C23</f>
        <v>0</v>
      </c>
      <c r="D79" s="7">
        <f>(1-('Game Assumptions'!$B$7*IF('Event Tracker'!D$4=1,2,1)))*'Utility Revenue'!D23</f>
        <v>0</v>
      </c>
      <c r="E79" s="7">
        <f>(1-('Game Assumptions'!$B$7*IF('Event Tracker'!E$4=1,2,1)))*'Utility Revenue'!E23</f>
        <v>0</v>
      </c>
      <c r="F79" s="7">
        <f>(1-('Game Assumptions'!$B$7*IF('Event Tracker'!F$4=1,2,1)))*'Utility Revenue'!F23</f>
        <v>0</v>
      </c>
      <c r="G79" s="7">
        <f>(1-('Game Assumptions'!$B$7*IF('Event Tracker'!G$4=1,2,1)))*'Utility Revenue'!G23</f>
        <v>0</v>
      </c>
      <c r="H79" s="7">
        <f>(1-('Game Assumptions'!$B$7*IF('Event Tracker'!H$4=1,2,1)))*'Utility Revenue'!H23</f>
        <v>0</v>
      </c>
      <c r="I79" s="7">
        <f>(1-('Game Assumptions'!$B$7*IF('Event Tracker'!I$4=1,2,1)))*'Utility Revenue'!I23</f>
        <v>0</v>
      </c>
      <c r="J79" s="7">
        <f>(1-('Game Assumptions'!$B$7*IF('Event Tracker'!J$4=1,2,1)))*'Utility Revenue'!J23</f>
        <v>0</v>
      </c>
      <c r="K79" s="7">
        <f>(1-('Game Assumptions'!$B$7*IF('Event Tracker'!K$4=1,2,1)))*'Utility Revenue'!K23</f>
        <v>0</v>
      </c>
      <c r="L79" s="7">
        <f>(1-('Game Assumptions'!$B$7*IF('Event Tracker'!L$4=1,2,1)))*'Utility Revenue'!L23</f>
        <v>0</v>
      </c>
    </row>
    <row r="80" spans="1:12" x14ac:dyDescent="0.25">
      <c r="A80" s="12" t="s">
        <v>67</v>
      </c>
      <c r="B80" s="7">
        <f>(1-('Game Assumptions'!$B$7*IF('Event Tracker'!B$4=1,2,1)))*'Utility Revenue'!B24</f>
        <v>0</v>
      </c>
      <c r="C80" s="7">
        <f>(1-('Game Assumptions'!$B$7*IF('Event Tracker'!C$4=1,2,1)))*'Utility Revenue'!C24</f>
        <v>0</v>
      </c>
      <c r="D80" s="7">
        <f>(1-('Game Assumptions'!$B$7*IF('Event Tracker'!D$4=1,2,1)))*'Utility Revenue'!D24</f>
        <v>0</v>
      </c>
      <c r="E80" s="7">
        <f>(1-('Game Assumptions'!$B$7*IF('Event Tracker'!E$4=1,2,1)))*'Utility Revenue'!E24</f>
        <v>0</v>
      </c>
      <c r="F80" s="7">
        <f>(1-('Game Assumptions'!$B$7*IF('Event Tracker'!F$4=1,2,1)))*'Utility Revenue'!F24</f>
        <v>0</v>
      </c>
      <c r="G80" s="7">
        <f>(1-('Game Assumptions'!$B$7*IF('Event Tracker'!G$4=1,2,1)))*'Utility Revenue'!G24</f>
        <v>0</v>
      </c>
      <c r="H80" s="7">
        <f>(1-('Game Assumptions'!$B$7*IF('Event Tracker'!H$4=1,2,1)))*'Utility Revenue'!H24</f>
        <v>0</v>
      </c>
      <c r="I80" s="7">
        <f>(1-('Game Assumptions'!$B$7*IF('Event Tracker'!I$4=1,2,1)))*'Utility Revenue'!I24</f>
        <v>0</v>
      </c>
      <c r="J80" s="7">
        <f>(1-('Game Assumptions'!$B$7*IF('Event Tracker'!J$4=1,2,1)))*'Utility Revenue'!J24</f>
        <v>0</v>
      </c>
      <c r="K80" s="7">
        <f>(1-('Game Assumptions'!$B$7*IF('Event Tracker'!K$4=1,2,1)))*'Utility Revenue'!K24</f>
        <v>0</v>
      </c>
      <c r="L80" s="7">
        <f>(1-('Game Assumptions'!$B$7*IF('Event Tracker'!L$4=1,2,1)))*'Utility Revenue'!L24</f>
        <v>0</v>
      </c>
    </row>
    <row r="81" spans="1:12" x14ac:dyDescent="0.25">
      <c r="A81" s="12" t="s">
        <v>68</v>
      </c>
      <c r="B81" s="7">
        <f>(1-('Game Assumptions'!$B$7*IF('Event Tracker'!B$4=1,2,1)))*'Utility Revenue'!B25</f>
        <v>0</v>
      </c>
      <c r="C81" s="7">
        <f>(1-('Game Assumptions'!$B$7*IF('Event Tracker'!C$4=1,2,1)))*'Utility Revenue'!C25</f>
        <v>0</v>
      </c>
      <c r="D81" s="7">
        <f>(1-('Game Assumptions'!$B$7*IF('Event Tracker'!D$4=1,2,1)))*'Utility Revenue'!D25</f>
        <v>0</v>
      </c>
      <c r="E81" s="7">
        <f>(1-('Game Assumptions'!$B$7*IF('Event Tracker'!E$4=1,2,1)))*'Utility Revenue'!E25</f>
        <v>0</v>
      </c>
      <c r="F81" s="7">
        <f>(1-('Game Assumptions'!$B$7*IF('Event Tracker'!F$4=1,2,1)))*'Utility Revenue'!F25</f>
        <v>0</v>
      </c>
      <c r="G81" s="7">
        <f>(1-('Game Assumptions'!$B$7*IF('Event Tracker'!G$4=1,2,1)))*'Utility Revenue'!G25</f>
        <v>0</v>
      </c>
      <c r="H81" s="7">
        <f>(1-('Game Assumptions'!$B$7*IF('Event Tracker'!H$4=1,2,1)))*'Utility Revenue'!H25</f>
        <v>0</v>
      </c>
      <c r="I81" s="7">
        <f>(1-('Game Assumptions'!$B$7*IF('Event Tracker'!I$4=1,2,1)))*'Utility Revenue'!I25</f>
        <v>0</v>
      </c>
      <c r="J81" s="7">
        <f>(1-('Game Assumptions'!$B$7*IF('Event Tracker'!J$4=1,2,1)))*'Utility Revenue'!J25</f>
        <v>0</v>
      </c>
      <c r="K81" s="7">
        <f>(1-('Game Assumptions'!$B$7*IF('Event Tracker'!K$4=1,2,1)))*'Utility Revenue'!K25</f>
        <v>0</v>
      </c>
      <c r="L81" s="7">
        <f>(1-('Game Assumptions'!$B$7*IF('Event Tracker'!L$4=1,2,1)))*'Utility Revenue'!L25</f>
        <v>0</v>
      </c>
    </row>
    <row r="82" spans="1:12" x14ac:dyDescent="0.25">
      <c r="A82" s="22" t="s">
        <v>429</v>
      </c>
      <c r="B82" s="23">
        <f>(1-('Game Assumptions'!$B$7*IF('Event Tracker'!B$4=1,2,1)))*'Utility Revenue'!B26</f>
        <v>0</v>
      </c>
      <c r="C82" s="23">
        <f>(1-('Game Assumptions'!$B$7*IF('Event Tracker'!C$4=1,2,1)))*'Utility Revenue'!C26</f>
        <v>0</v>
      </c>
      <c r="D82" s="23">
        <f>(1-('Game Assumptions'!$B$7*IF('Event Tracker'!D$4=1,2,1)))*'Utility Revenue'!D26</f>
        <v>0</v>
      </c>
      <c r="E82" s="23">
        <f>(1-('Game Assumptions'!$B$7*IF('Event Tracker'!E$4=1,2,1)))*'Utility Revenue'!E26</f>
        <v>0</v>
      </c>
      <c r="F82" s="23">
        <f>(1-('Game Assumptions'!$B$7*IF('Event Tracker'!F$4=1,2,1)))*'Utility Revenue'!F26</f>
        <v>0</v>
      </c>
      <c r="G82" s="23">
        <f>(1-('Game Assumptions'!$B$7*IF('Event Tracker'!G$4=1,2,1)))*'Utility Revenue'!G26</f>
        <v>0</v>
      </c>
      <c r="H82" s="23">
        <f>(1-('Game Assumptions'!$B$7*IF('Event Tracker'!H$4=1,2,1)))*'Utility Revenue'!H26</f>
        <v>0</v>
      </c>
      <c r="I82" s="23">
        <f>(1-('Game Assumptions'!$B$7*IF('Event Tracker'!I$4=1,2,1)))*'Utility Revenue'!I26</f>
        <v>0</v>
      </c>
      <c r="J82" s="23">
        <f>(1-('Game Assumptions'!$B$7*IF('Event Tracker'!J$4=1,2,1)))*'Utility Revenue'!J26</f>
        <v>0</v>
      </c>
      <c r="K82" s="23">
        <f>(1-('Game Assumptions'!$B$7*IF('Event Tracker'!K$4=1,2,1)))*'Utility Revenue'!K26</f>
        <v>0</v>
      </c>
      <c r="L82" s="23">
        <f>(1-('Game Assumptions'!$B$7*IF('Event Tracker'!L$4=1,2,1)))*'Utility Revenue'!L26</f>
        <v>0</v>
      </c>
    </row>
    <row r="83" spans="1:12" x14ac:dyDescent="0.25">
      <c r="A83" s="24" t="s">
        <v>80</v>
      </c>
      <c r="B83" s="31"/>
      <c r="C83" s="31"/>
      <c r="D83" s="31"/>
      <c r="E83" s="31"/>
      <c r="F83" s="31"/>
      <c r="G83" s="31"/>
      <c r="H83" s="31"/>
      <c r="I83" s="31"/>
      <c r="J83" s="31"/>
      <c r="K83" s="31"/>
      <c r="L83" s="31"/>
    </row>
    <row r="84" spans="1:12" x14ac:dyDescent="0.25">
      <c r="A84" s="4" t="s">
        <v>78</v>
      </c>
    </row>
    <row r="85" spans="1:12" x14ac:dyDescent="0.25">
      <c r="A85" t="s">
        <v>55</v>
      </c>
      <c r="B85" s="7">
        <f t="shared" ref="B85:L85" si="5">B29</f>
        <v>87508900</v>
      </c>
      <c r="C85" s="7">
        <f t="shared" si="5"/>
        <v>78152500</v>
      </c>
      <c r="D85" s="7">
        <f t="shared" si="5"/>
        <v>78152500</v>
      </c>
      <c r="E85" s="7">
        <f t="shared" si="5"/>
        <v>31512500</v>
      </c>
      <c r="F85" s="7">
        <f t="shared" si="5"/>
        <v>31512500</v>
      </c>
      <c r="G85" s="7">
        <f t="shared" si="5"/>
        <v>28393700</v>
      </c>
      <c r="H85" s="7">
        <f t="shared" si="5"/>
        <v>28393700</v>
      </c>
      <c r="I85" s="7">
        <f t="shared" si="5"/>
        <v>28393700</v>
      </c>
      <c r="J85" s="7">
        <f t="shared" si="5"/>
        <v>28393700</v>
      </c>
      <c r="K85" s="7">
        <f t="shared" si="5"/>
        <v>28393700</v>
      </c>
      <c r="L85" s="7">
        <f t="shared" si="5"/>
        <v>28393700</v>
      </c>
    </row>
    <row r="86" spans="1:12" x14ac:dyDescent="0.25">
      <c r="A86" t="s">
        <v>56</v>
      </c>
      <c r="B86" s="7">
        <f t="shared" ref="B86:L86" si="6">B30</f>
        <v>34089442.200000003</v>
      </c>
      <c r="C86" s="7">
        <f t="shared" si="6"/>
        <v>33733932.299999997</v>
      </c>
      <c r="D86" s="7">
        <f t="shared" si="6"/>
        <v>38143545.299999997</v>
      </c>
      <c r="E86" s="7">
        <f t="shared" si="6"/>
        <v>33682681.799999997</v>
      </c>
      <c r="F86" s="7">
        <f t="shared" si="6"/>
        <v>33682681.799999997</v>
      </c>
      <c r="G86" s="7">
        <f t="shared" si="6"/>
        <v>31333249.800000001</v>
      </c>
      <c r="H86" s="7">
        <f t="shared" si="6"/>
        <v>31333249.800000001</v>
      </c>
      <c r="I86" s="7">
        <f t="shared" si="6"/>
        <v>31333249.800000001</v>
      </c>
      <c r="J86" s="7">
        <f t="shared" si="6"/>
        <v>31333249.800000001</v>
      </c>
      <c r="K86" s="7">
        <f t="shared" si="6"/>
        <v>31333249.800000001</v>
      </c>
      <c r="L86" s="7">
        <f t="shared" si="6"/>
        <v>31333249.800000001</v>
      </c>
    </row>
    <row r="87" spans="1:12" x14ac:dyDescent="0.25">
      <c r="A87" s="12" t="s">
        <v>57</v>
      </c>
      <c r="B87" s="7">
        <f t="shared" ref="B87:L87" si="7">B31</f>
        <v>156582030.59999999</v>
      </c>
      <c r="C87" s="7">
        <f t="shared" si="7"/>
        <v>160536709.80000001</v>
      </c>
      <c r="D87" s="7">
        <f t="shared" si="7"/>
        <v>167041593</v>
      </c>
      <c r="E87" s="7">
        <f t="shared" si="7"/>
        <v>150918418.80000001</v>
      </c>
      <c r="F87" s="7">
        <f t="shared" si="7"/>
        <v>150564690</v>
      </c>
      <c r="G87" s="7">
        <f t="shared" si="7"/>
        <v>142066789.19999999</v>
      </c>
      <c r="H87" s="7">
        <f t="shared" si="7"/>
        <v>154579748.40000001</v>
      </c>
      <c r="I87" s="7">
        <f t="shared" si="7"/>
        <v>167092707.59999999</v>
      </c>
      <c r="J87" s="7">
        <f t="shared" si="7"/>
        <v>174744918</v>
      </c>
      <c r="K87" s="7">
        <f t="shared" si="7"/>
        <v>179197407</v>
      </c>
      <c r="L87" s="7">
        <f t="shared" si="7"/>
        <v>184221748.79999998</v>
      </c>
    </row>
    <row r="88" spans="1:12" ht="15.75" thickBot="1" x14ac:dyDescent="0.3">
      <c r="A88" s="75" t="s">
        <v>217</v>
      </c>
      <c r="B88" s="36"/>
      <c r="C88" s="36"/>
      <c r="D88" s="36"/>
      <c r="E88" s="36"/>
      <c r="F88" s="36"/>
      <c r="G88" s="36"/>
      <c r="H88" s="36"/>
      <c r="I88" s="36"/>
      <c r="J88" s="36"/>
      <c r="K88" s="36"/>
      <c r="L88" s="36"/>
    </row>
    <row r="89" spans="1:12" ht="15.75" thickTop="1" x14ac:dyDescent="0.25">
      <c r="A89" s="71" t="s">
        <v>218</v>
      </c>
      <c r="B89" s="27">
        <f t="shared" ref="B89:L89" si="8">B33</f>
        <v>29791461.006910168</v>
      </c>
      <c r="C89" s="27">
        <f t="shared" si="8"/>
        <v>29791461.006910168</v>
      </c>
      <c r="D89" s="27">
        <f t="shared" si="8"/>
        <v>29791461.006910168</v>
      </c>
      <c r="E89" s="27">
        <f t="shared" si="8"/>
        <v>29791461.006910168</v>
      </c>
      <c r="F89" s="27">
        <f t="shared" si="8"/>
        <v>29791461.006910168</v>
      </c>
      <c r="G89" s="27">
        <f t="shared" si="8"/>
        <v>29791461.006910168</v>
      </c>
      <c r="H89" s="27">
        <f t="shared" si="8"/>
        <v>29791461.006910168</v>
      </c>
      <c r="I89" s="27">
        <f t="shared" si="8"/>
        <v>29791461.006910168</v>
      </c>
      <c r="J89" s="27">
        <f t="shared" si="8"/>
        <v>29791461.006910168</v>
      </c>
      <c r="K89" s="27">
        <f t="shared" si="8"/>
        <v>29791461.006910168</v>
      </c>
      <c r="L89" s="27">
        <f t="shared" si="8"/>
        <v>29791461.006910168</v>
      </c>
    </row>
    <row r="90" spans="1:12" x14ac:dyDescent="0.25">
      <c r="A90" s="72" t="s">
        <v>220</v>
      </c>
      <c r="B90" s="27">
        <f t="shared" ref="B90:L90" si="9">B34</f>
        <v>424000</v>
      </c>
      <c r="C90" s="27">
        <f t="shared" si="9"/>
        <v>424000</v>
      </c>
      <c r="D90" s="27">
        <f t="shared" si="9"/>
        <v>424000</v>
      </c>
      <c r="E90" s="27">
        <f t="shared" si="9"/>
        <v>424000</v>
      </c>
      <c r="F90" s="27">
        <f t="shared" si="9"/>
        <v>424000</v>
      </c>
      <c r="G90" s="27">
        <f t="shared" si="9"/>
        <v>424000</v>
      </c>
      <c r="H90" s="27">
        <f t="shared" si="9"/>
        <v>424000</v>
      </c>
      <c r="I90" s="27">
        <f t="shared" si="9"/>
        <v>424000</v>
      </c>
      <c r="J90" s="27">
        <f t="shared" si="9"/>
        <v>424000</v>
      </c>
      <c r="K90" s="27">
        <f t="shared" si="9"/>
        <v>424000</v>
      </c>
      <c r="L90" s="27">
        <f t="shared" si="9"/>
        <v>424000</v>
      </c>
    </row>
    <row r="91" spans="1:12" x14ac:dyDescent="0.25">
      <c r="A91" s="34" t="s">
        <v>88</v>
      </c>
      <c r="B91" s="41">
        <f>SUM(B87,B86,B85,B69:B82,B65:B67,B89:B90)</f>
        <v>533395833.80691016</v>
      </c>
      <c r="C91" s="41">
        <f t="shared" ref="C91:L91" si="10">SUM(C87,C86,C85,C69:C82,C65:C67,C89:C90)</f>
        <v>527638603.10691017</v>
      </c>
      <c r="D91" s="41">
        <f t="shared" si="10"/>
        <v>538553099.30691016</v>
      </c>
      <c r="E91" s="41">
        <f t="shared" si="10"/>
        <v>471329061.60691017</v>
      </c>
      <c r="F91" s="41">
        <f t="shared" si="10"/>
        <v>470975332.80691016</v>
      </c>
      <c r="G91" s="41">
        <f t="shared" si="10"/>
        <v>457009200.00691015</v>
      </c>
      <c r="H91" s="41">
        <f t="shared" si="10"/>
        <v>469522159.20691019</v>
      </c>
      <c r="I91" s="41">
        <f t="shared" si="10"/>
        <v>482035118.40691012</v>
      </c>
      <c r="J91" s="41">
        <f t="shared" si="10"/>
        <v>489687328.80691016</v>
      </c>
      <c r="K91" s="41">
        <f t="shared" si="10"/>
        <v>494139817.80691016</v>
      </c>
      <c r="L91" s="41">
        <f t="shared" si="10"/>
        <v>499164159.60691017</v>
      </c>
    </row>
    <row r="92" spans="1:12" ht="15.75" thickBot="1" x14ac:dyDescent="0.3">
      <c r="A92" s="40" t="s">
        <v>87</v>
      </c>
      <c r="B92" s="38">
        <f>'Resource Mix and Demand'!B57</f>
        <v>9000000</v>
      </c>
      <c r="C92" s="38">
        <f>'Resource Mix and Demand'!C57</f>
        <v>8800000</v>
      </c>
      <c r="D92" s="38">
        <f>'Resource Mix and Demand'!D57</f>
        <v>8700000</v>
      </c>
      <c r="E92" s="38">
        <f>'Resource Mix and Demand'!E57</f>
        <v>8500000</v>
      </c>
      <c r="F92" s="38">
        <f>'Resource Mix and Demand'!F57</f>
        <v>8300000</v>
      </c>
      <c r="G92" s="38">
        <f>'Resource Mix and Demand'!G57</f>
        <v>8400000</v>
      </c>
      <c r="H92" s="38">
        <f>'Resource Mix and Demand'!H57</f>
        <v>8200000</v>
      </c>
      <c r="I92" s="38">
        <f>'Resource Mix and Demand'!I57</f>
        <v>8000000</v>
      </c>
      <c r="J92" s="38">
        <f>'Resource Mix and Demand'!J57</f>
        <v>8200000</v>
      </c>
      <c r="K92" s="38">
        <f>'Resource Mix and Demand'!K57</f>
        <v>8100000</v>
      </c>
      <c r="L92" s="38">
        <f>'Resource Mix and Demand'!L57</f>
        <v>8000000</v>
      </c>
    </row>
    <row r="93" spans="1:12" ht="16.5" thickTop="1" thickBot="1" x14ac:dyDescent="0.3">
      <c r="A93" s="71" t="s">
        <v>215</v>
      </c>
      <c r="B93" s="73">
        <f>IF('Event Tracker'!B3=1,'Utility Revenue'!B98-'Utility Revenue'!B92,0)</f>
        <v>0</v>
      </c>
      <c r="C93" s="73">
        <f>IF('Event Tracker'!C3=1,'Utility Revenue'!C98-'Utility Revenue'!C92,0)</f>
        <v>0</v>
      </c>
      <c r="D93" s="73">
        <f>IF('Event Tracker'!D3=1,'Utility Revenue'!D98-'Utility Revenue'!D92,0)</f>
        <v>0</v>
      </c>
      <c r="E93" s="73">
        <f>IF('Event Tracker'!E3=1,'Utility Revenue'!E98-'Utility Revenue'!E92,0)</f>
        <v>0</v>
      </c>
      <c r="F93" s="73">
        <f>IF('Event Tracker'!F3=1,'Utility Revenue'!F98-'Utility Revenue'!F92,0)</f>
        <v>0</v>
      </c>
      <c r="G93" s="73">
        <f>IF('Event Tracker'!G3=1,'Utility Revenue'!G98-'Utility Revenue'!G92,0)</f>
        <v>0</v>
      </c>
      <c r="H93" s="73">
        <f>IF('Event Tracker'!H3=1,'Utility Revenue'!H98-'Utility Revenue'!H92,0)</f>
        <v>0</v>
      </c>
      <c r="I93" s="73">
        <f>IF('Event Tracker'!I3=1,'Utility Revenue'!I98-'Utility Revenue'!I92,0)</f>
        <v>0</v>
      </c>
      <c r="J93" s="73">
        <f>IF('Event Tracker'!J3=1,'Utility Revenue'!J98-'Utility Revenue'!J92,0)</f>
        <v>0</v>
      </c>
      <c r="K93" s="73">
        <f>IF('Event Tracker'!K3=1,'Utility Revenue'!K98-'Utility Revenue'!K92,0)</f>
        <v>0</v>
      </c>
      <c r="L93" s="73">
        <f>IF('Event Tracker'!L3=1,'Utility Revenue'!L98-'Utility Revenue'!L92,0)</f>
        <v>0</v>
      </c>
    </row>
    <row r="94" spans="1:12" ht="16.5" thickTop="1" thickBot="1" x14ac:dyDescent="0.3">
      <c r="A94" s="39" t="s">
        <v>85</v>
      </c>
      <c r="B94" s="76">
        <f>B91/(SUM(B92:B93)*1000)</f>
        <v>5.9266203756323348E-2</v>
      </c>
      <c r="C94" s="76">
        <f t="shared" ref="C94:L94" si="11">C91/(SUM(C92:C93)*1000)</f>
        <v>5.9958932171239793E-2</v>
      </c>
      <c r="D94" s="76">
        <f t="shared" si="11"/>
        <v>6.1902655092748296E-2</v>
      </c>
      <c r="E94" s="76">
        <f t="shared" si="11"/>
        <v>5.5450477836107077E-2</v>
      </c>
      <c r="F94" s="76">
        <f t="shared" si="11"/>
        <v>5.6744016000832551E-2</v>
      </c>
      <c r="G94" s="76">
        <f t="shared" si="11"/>
        <v>5.4405857143679778E-2</v>
      </c>
      <c r="H94" s="76">
        <f t="shared" si="11"/>
        <v>5.7258799903281733E-2</v>
      </c>
      <c r="I94" s="76">
        <f t="shared" si="11"/>
        <v>6.0254389800863763E-2</v>
      </c>
      <c r="J94" s="76">
        <f t="shared" si="11"/>
        <v>5.9717966927671971E-2</v>
      </c>
      <c r="K94" s="76">
        <f t="shared" si="11"/>
        <v>6.1004915778630882E-2</v>
      </c>
      <c r="L94" s="76">
        <f t="shared" si="11"/>
        <v>6.2395519950863773E-2</v>
      </c>
    </row>
    <row r="95" spans="1:12" ht="15.75" thickTop="1" x14ac:dyDescent="0.25">
      <c r="A95" s="39" t="s">
        <v>446</v>
      </c>
      <c r="B95" s="76">
        <f>SUM(B67,B75,B77,B79,B81,B90)/B92/1000</f>
        <v>8.3804444444444438E-3</v>
      </c>
      <c r="C95" s="76">
        <f t="shared" ref="C95:L95" si="12">SUM(C67,C75,C77,C79,C81,C90)/C92/1000</f>
        <v>8.5709090909090908E-3</v>
      </c>
      <c r="D95" s="76">
        <f t="shared" si="12"/>
        <v>8.6694252873563225E-3</v>
      </c>
      <c r="E95" s="76">
        <f t="shared" si="12"/>
        <v>8.8734117647058814E-3</v>
      </c>
      <c r="F95" s="76">
        <f t="shared" si="12"/>
        <v>9.0872289156626509E-3</v>
      </c>
      <c r="G95" s="76">
        <f t="shared" si="12"/>
        <v>8.9790476190476191E-3</v>
      </c>
      <c r="H95" s="76">
        <f t="shared" si="12"/>
        <v>9.1980487804878049E-3</v>
      </c>
      <c r="I95" s="76">
        <f t="shared" si="12"/>
        <v>9.4280000000000006E-3</v>
      </c>
      <c r="J95" s="76">
        <f t="shared" si="12"/>
        <v>9.1980487804878049E-3</v>
      </c>
      <c r="K95" s="76">
        <f t="shared" si="12"/>
        <v>9.3116049382716056E-3</v>
      </c>
      <c r="L95" s="76">
        <f t="shared" si="12"/>
        <v>9.4280000000000006E-3</v>
      </c>
    </row>
    <row r="97" spans="1:12" x14ac:dyDescent="0.25">
      <c r="A97" s="9" t="s">
        <v>77</v>
      </c>
      <c r="B97" s="9">
        <v>0</v>
      </c>
      <c r="C97" s="9">
        <v>1</v>
      </c>
      <c r="D97" s="9">
        <v>2</v>
      </c>
      <c r="E97" s="9">
        <v>3</v>
      </c>
      <c r="F97" s="9">
        <v>4</v>
      </c>
      <c r="G97" s="9">
        <v>5</v>
      </c>
      <c r="H97" s="9">
        <v>6</v>
      </c>
      <c r="I97" s="9">
        <v>7</v>
      </c>
      <c r="J97" s="9">
        <v>8</v>
      </c>
      <c r="K97" s="9">
        <v>9</v>
      </c>
      <c r="L97" s="9">
        <v>10</v>
      </c>
    </row>
    <row r="98" spans="1:12" x14ac:dyDescent="0.25">
      <c r="A98" s="45" t="s">
        <v>95</v>
      </c>
      <c r="B98" s="74">
        <f>'Resource Mix and Demand'!B59</f>
        <v>9000000</v>
      </c>
      <c r="C98" s="74">
        <f>'Resource Mix and Demand'!C59</f>
        <v>8448000</v>
      </c>
      <c r="D98" s="74">
        <f>'Resource Mix and Demand'!D59</f>
        <v>9135000</v>
      </c>
      <c r="E98" s="74">
        <f>'Resource Mix and Demand'!E59</f>
        <v>8840000</v>
      </c>
      <c r="F98" s="74">
        <f>'Resource Mix and Demand'!F59</f>
        <v>8715000</v>
      </c>
      <c r="G98" s="74">
        <f>'Resource Mix and Demand'!G59</f>
        <v>8568000</v>
      </c>
      <c r="H98" s="74">
        <f>'Resource Mix and Demand'!H59</f>
        <v>7954000</v>
      </c>
      <c r="I98" s="74">
        <f>'Resource Mix and Demand'!I59</f>
        <v>8400000</v>
      </c>
      <c r="J98" s="74">
        <f>'Resource Mix and Demand'!J59</f>
        <v>8118000</v>
      </c>
      <c r="K98" s="74">
        <f>'Resource Mix and Demand'!K59</f>
        <v>7776000</v>
      </c>
      <c r="L98" s="74">
        <f>'Resource Mix and Demand'!L59</f>
        <v>8000000</v>
      </c>
    </row>
    <row r="99" spans="1:12" x14ac:dyDescent="0.25">
      <c r="A99" s="12" t="s">
        <v>227</v>
      </c>
      <c r="B99" s="33">
        <f>'Game Assumptions'!B82</f>
        <v>8000000</v>
      </c>
      <c r="C99" s="33">
        <f>'Game Assumptions'!C82</f>
        <v>8000000</v>
      </c>
      <c r="D99" s="33">
        <f>'Game Assumptions'!D82</f>
        <v>8000000</v>
      </c>
      <c r="E99" s="33">
        <f>'Game Assumptions'!E82</f>
        <v>8000000</v>
      </c>
      <c r="F99" s="33">
        <f>'Game Assumptions'!F82</f>
        <v>8000000</v>
      </c>
      <c r="G99" s="33">
        <f>'Game Assumptions'!G82</f>
        <v>8000000</v>
      </c>
      <c r="H99" s="33">
        <f>'Game Assumptions'!H82</f>
        <v>8000000</v>
      </c>
      <c r="I99" s="33">
        <f>'Game Assumptions'!I82</f>
        <v>8000000</v>
      </c>
      <c r="J99" s="33">
        <f>'Game Assumptions'!J82</f>
        <v>8000000</v>
      </c>
      <c r="K99" s="33">
        <f>'Game Assumptions'!K82</f>
        <v>8000000</v>
      </c>
      <c r="L99" s="33">
        <f>'Game Assumptions'!L82</f>
        <v>8000000</v>
      </c>
    </row>
    <row r="100" spans="1:12" x14ac:dyDescent="0.25">
      <c r="A100" t="s">
        <v>100</v>
      </c>
      <c r="B100" s="25">
        <f>'Utility Revenue'!B94*B98*1000</f>
        <v>533395833.8069101</v>
      </c>
      <c r="C100" s="25">
        <f>'Utility Revenue'!C94*C98*1000</f>
        <v>506533058.98263377</v>
      </c>
      <c r="D100" s="25">
        <f>'Utility Revenue'!D94*D98*1000</f>
        <v>565480754.27225566</v>
      </c>
      <c r="E100" s="25">
        <f>'Utility Revenue'!E94*E98*1000</f>
        <v>490182224.07118654</v>
      </c>
      <c r="F100" s="25">
        <f>'Utility Revenue'!F94*F98*1000</f>
        <v>494524099.44725567</v>
      </c>
      <c r="G100" s="25">
        <f>'Utility Revenue'!G94*G98*1000</f>
        <v>466149384.00704831</v>
      </c>
      <c r="H100" s="25">
        <f>'Utility Revenue'!H94*H98*1000</f>
        <v>455436494.43070287</v>
      </c>
      <c r="I100" s="25">
        <f>'Utility Revenue'!I94*I98*1000</f>
        <v>506136874.32725561</v>
      </c>
      <c r="J100" s="25">
        <f>'Utility Revenue'!J94*J98*1000</f>
        <v>484790455.51884103</v>
      </c>
      <c r="K100" s="25">
        <f>'Utility Revenue'!K94*K98*1000</f>
        <v>474374225.09463376</v>
      </c>
      <c r="L100" s="25">
        <f>'Utility Revenue'!L94*L98*1000</f>
        <v>499164159.60691017</v>
      </c>
    </row>
    <row r="101" spans="1:12" x14ac:dyDescent="0.25">
      <c r="A101" t="s">
        <v>101</v>
      </c>
      <c r="B101" s="7">
        <f>'Utility Revenue'!B59*B99</f>
        <v>75000000</v>
      </c>
      <c r="C101" s="7">
        <f>'Utility Revenue'!C59*C99</f>
        <v>75000000</v>
      </c>
      <c r="D101" s="7">
        <f>'Utility Revenue'!D59*D99</f>
        <v>75000000</v>
      </c>
      <c r="E101" s="7">
        <f>'Utility Revenue'!E59*E99</f>
        <v>75000000</v>
      </c>
      <c r="F101" s="7">
        <f>'Utility Revenue'!F59*F99</f>
        <v>75000000</v>
      </c>
      <c r="G101" s="7">
        <f>'Utility Revenue'!G59*G99</f>
        <v>75000000</v>
      </c>
      <c r="H101" s="7">
        <f>'Utility Revenue'!H59*H99</f>
        <v>75000000</v>
      </c>
      <c r="I101" s="7">
        <f>'Utility Revenue'!I59*I99</f>
        <v>75000000</v>
      </c>
      <c r="J101" s="7">
        <f>'Utility Revenue'!J59*J99</f>
        <v>75000000</v>
      </c>
      <c r="K101" s="7">
        <f>'Utility Revenue'!K59*K99</f>
        <v>75000000</v>
      </c>
      <c r="L101" s="7">
        <f>'Utility Revenue'!L59*L99</f>
        <v>75000000</v>
      </c>
    </row>
    <row r="102" spans="1:12" ht="15.75" thickBot="1" x14ac:dyDescent="0.3">
      <c r="A102" s="75" t="s">
        <v>444</v>
      </c>
      <c r="B102" s="75"/>
      <c r="C102" s="75"/>
      <c r="D102" s="75"/>
      <c r="E102" s="75"/>
      <c r="F102" s="75"/>
      <c r="G102" s="75"/>
      <c r="H102" s="75"/>
      <c r="I102" s="75"/>
      <c r="J102" s="75"/>
      <c r="K102" s="75"/>
      <c r="L102" s="75"/>
    </row>
    <row r="103" spans="1:12" ht="15.75" thickTop="1" x14ac:dyDescent="0.25">
      <c r="A103" t="s">
        <v>447</v>
      </c>
      <c r="B103" s="7">
        <f>IF(OR('Event Tracker'!$B$18=1,'Event Tracker'!$B$20=1),0,'Utility Revenue'!B35)</f>
        <v>0</v>
      </c>
      <c r="C103" s="7">
        <f>IF(OR('Event Tracker'!$B$18=1,'Event Tracker'!$B$20=1),0,'Utility Revenue'!C35)</f>
        <v>0</v>
      </c>
      <c r="D103" s="7">
        <f>IF(OR('Event Tracker'!$B$18=1,'Event Tracker'!$B$20=1),0,'Utility Revenue'!D35)</f>
        <v>0</v>
      </c>
      <c r="E103" s="7">
        <f>IF(OR('Event Tracker'!$B$18=1,'Event Tracker'!$B$20=1),0,'Utility Revenue'!E35)</f>
        <v>0</v>
      </c>
      <c r="F103" s="7">
        <f>IF(OR('Event Tracker'!$B$18=1,'Event Tracker'!$B$20=1),0,'Utility Revenue'!F35)</f>
        <v>0</v>
      </c>
      <c r="G103" s="7">
        <f>IF(OR('Event Tracker'!$B$18=1,'Event Tracker'!$B$20=1),0,'Utility Revenue'!G35)</f>
        <v>0</v>
      </c>
      <c r="H103" s="7">
        <f>IF(OR('Event Tracker'!$B$18=1,'Event Tracker'!$B$20=1),0,'Utility Revenue'!H35)</f>
        <v>0</v>
      </c>
      <c r="I103" s="7">
        <f>IF(OR('Event Tracker'!$B$18=1,'Event Tracker'!$B$20=1),0,'Utility Revenue'!I35)</f>
        <v>0</v>
      </c>
      <c r="J103" s="7">
        <f>IF(OR('Event Tracker'!$B$18=1,'Event Tracker'!$B$20=1),0,'Utility Revenue'!J35)</f>
        <v>0</v>
      </c>
      <c r="K103" s="7">
        <f>IF(OR('Event Tracker'!$B$18=1,'Event Tracker'!$B$20=1),0,'Utility Revenue'!K35)</f>
        <v>0</v>
      </c>
      <c r="L103" s="7">
        <f>IF(OR('Event Tracker'!$B$18=1,'Event Tracker'!$B$20=1),0,'Utility Revenue'!L35)</f>
        <v>0</v>
      </c>
    </row>
    <row r="104" spans="1:12" x14ac:dyDescent="0.25">
      <c r="A104" t="s">
        <v>448</v>
      </c>
      <c r="B104" s="25">
        <f>IF(OR('Event Tracker'!$B$18=1,'Event Tracker'!$B$20=1),0,B148)</f>
        <v>0</v>
      </c>
      <c r="C104" s="25">
        <f>IF(OR('Event Tracker'!$B$18=1,'Event Tracker'!$B$20=1),0,C148)</f>
        <v>0</v>
      </c>
      <c r="D104" s="25">
        <f>IF(OR('Event Tracker'!$B$18=1,'Event Tracker'!$B$20=1),0,D148)</f>
        <v>0</v>
      </c>
      <c r="E104" s="25">
        <f>IF(OR('Event Tracker'!$B$18=1,'Event Tracker'!$B$20=1),0,E148)</f>
        <v>0</v>
      </c>
      <c r="F104" s="25">
        <f>IF(OR('Event Tracker'!$B$18=1,'Event Tracker'!$B$20=1),0,F148)</f>
        <v>0</v>
      </c>
      <c r="G104" s="25">
        <f>IF(OR('Event Tracker'!$B$18=1,'Event Tracker'!$B$20=1),0,G148)</f>
        <v>0</v>
      </c>
      <c r="H104" s="25">
        <f>IF(OR('Event Tracker'!$B$18=1,'Event Tracker'!$B$20=1),0,H148)</f>
        <v>0</v>
      </c>
      <c r="I104" s="25">
        <f>IF(OR('Event Tracker'!$B$18=1,'Event Tracker'!$B$20=1),0,I148)</f>
        <v>0</v>
      </c>
      <c r="J104" s="25">
        <f>IF(OR('Event Tracker'!$B$18=1,'Event Tracker'!$B$20=1),0,J148)</f>
        <v>0</v>
      </c>
      <c r="K104" s="25">
        <f>IF(OR('Event Tracker'!$B$18=1,'Event Tracker'!$B$20=1),0,K148)</f>
        <v>0</v>
      </c>
      <c r="L104" s="25">
        <f>IF(OR('Event Tracker'!$B$18=1,'Event Tracker'!$B$20=1),0,L148)</f>
        <v>0</v>
      </c>
    </row>
    <row r="105" spans="1:12" x14ac:dyDescent="0.25">
      <c r="A105" t="s">
        <v>449</v>
      </c>
      <c r="B105" s="25">
        <f>(B103-B104)/2</f>
        <v>0</v>
      </c>
      <c r="C105" s="25">
        <f>B105</f>
        <v>0</v>
      </c>
      <c r="D105" s="25">
        <f t="shared" ref="D105:L105" si="13">C105</f>
        <v>0</v>
      </c>
      <c r="E105" s="25">
        <f t="shared" si="13"/>
        <v>0</v>
      </c>
      <c r="F105" s="25">
        <f t="shared" si="13"/>
        <v>0</v>
      </c>
      <c r="G105" s="25">
        <f t="shared" si="13"/>
        <v>0</v>
      </c>
      <c r="H105" s="25">
        <f t="shared" si="13"/>
        <v>0</v>
      </c>
      <c r="I105" s="25">
        <f t="shared" si="13"/>
        <v>0</v>
      </c>
      <c r="J105" s="25">
        <f t="shared" si="13"/>
        <v>0</v>
      </c>
      <c r="K105" s="25">
        <f t="shared" si="13"/>
        <v>0</v>
      </c>
      <c r="L105" s="25">
        <f t="shared" si="13"/>
        <v>0</v>
      </c>
    </row>
    <row r="106" spans="1:12" x14ac:dyDescent="0.25">
      <c r="A106" s="52" t="s">
        <v>451</v>
      </c>
      <c r="B106" s="171"/>
      <c r="C106" s="171"/>
      <c r="D106" s="171"/>
      <c r="E106" s="171"/>
      <c r="F106" s="171"/>
      <c r="G106" s="171"/>
      <c r="H106" s="171"/>
      <c r="I106" s="171"/>
      <c r="J106" s="171"/>
      <c r="K106" s="171"/>
      <c r="L106" s="171"/>
    </row>
    <row r="107" spans="1:12" x14ac:dyDescent="0.25">
      <c r="A107" s="17" t="s">
        <v>450</v>
      </c>
      <c r="B107" s="172"/>
      <c r="C107" s="172">
        <f>IF(OR('Event Tracker'!$B$18=1,'Event Tracker'!$B$20=1),0,IF('Environmental Performance'!C3&lt;'Environmental Performance'!C6,'Utility Revenue'!C105/3,IF('Environmental Performance'!C3&gt;'Environmental Performance'!B6,'Utility Revenue'!C105/3*-1,IF('Environmental Performance'!C3&gt;'Environmental Performance'!C7,'Environmental Performance'!C3-'Environmental Performance'!C7,'Environmental Performance'!C7-'Environmental Performance'!C3)*ABS(('Utility Revenue'!C105/3)/('Environmental Performance'!C7-'Environmental Performance'!B6)))))</f>
        <v>0</v>
      </c>
      <c r="D107" s="172">
        <f>IF(OR('Event Tracker'!$B$18=1,'Event Tracker'!$B$20=1),0,IF('Environmental Performance'!D3&lt;'Environmental Performance'!D6,'Utility Revenue'!D105/3,IF('Environmental Performance'!D3&gt;'Environmental Performance'!C6,'Utility Revenue'!D105/3*-1,IF('Environmental Performance'!D3&gt;'Environmental Performance'!D7,'Environmental Performance'!D3-'Environmental Performance'!D7,'Environmental Performance'!D7-'Environmental Performance'!D3)*ABS(('Utility Revenue'!D105/3)/('Environmental Performance'!D7-'Environmental Performance'!C6)))))</f>
        <v>0</v>
      </c>
      <c r="E107" s="172">
        <f>IF(OR('Event Tracker'!$B$18=1,'Event Tracker'!$B$20=1),0,IF('Environmental Performance'!E3&lt;'Environmental Performance'!E6,'Utility Revenue'!E105/3,IF('Environmental Performance'!E3&gt;'Environmental Performance'!D6,'Utility Revenue'!E105/3*-1,IF('Environmental Performance'!E3&gt;'Environmental Performance'!E7,'Environmental Performance'!E3-'Environmental Performance'!E7,'Environmental Performance'!E7-'Environmental Performance'!E3)*ABS(('Utility Revenue'!E105/3)/('Environmental Performance'!E7-'Environmental Performance'!D6)))))</f>
        <v>0</v>
      </c>
      <c r="F107" s="172">
        <f>IF(OR('Event Tracker'!$B$18=1,'Event Tracker'!$B$20=1),0,IF('Environmental Performance'!F3&lt;'Environmental Performance'!F6,'Utility Revenue'!F105/3,IF('Environmental Performance'!F3&gt;'Environmental Performance'!E6,'Utility Revenue'!F105/3*-1,IF('Environmental Performance'!F3&gt;'Environmental Performance'!F7,'Environmental Performance'!F3-'Environmental Performance'!F7,'Environmental Performance'!F7-'Environmental Performance'!F3)*ABS(('Utility Revenue'!F105/3)/('Environmental Performance'!F7-'Environmental Performance'!E6)))))</f>
        <v>0</v>
      </c>
      <c r="G107" s="172">
        <f>IF(OR('Event Tracker'!$B$18=1,'Event Tracker'!$B$20=1),0,IF('Environmental Performance'!G3&lt;'Environmental Performance'!G6,'Utility Revenue'!G105/3,IF('Environmental Performance'!G3&gt;'Environmental Performance'!F6,'Utility Revenue'!G105/3*-1,IF('Environmental Performance'!G3&gt;'Environmental Performance'!G7,'Environmental Performance'!G3-'Environmental Performance'!G7,'Environmental Performance'!G7-'Environmental Performance'!G3)*ABS(('Utility Revenue'!G105/3)/('Environmental Performance'!G7-'Environmental Performance'!F6)))))</f>
        <v>0</v>
      </c>
      <c r="H107" s="172">
        <f>IF(OR('Event Tracker'!$B$18=1,'Event Tracker'!$B$20=1),0,IF('Environmental Performance'!H3&lt;'Environmental Performance'!H6,'Utility Revenue'!H105/3,IF('Environmental Performance'!H3&gt;'Environmental Performance'!G6,'Utility Revenue'!H105/3*-1,IF('Environmental Performance'!H3&gt;'Environmental Performance'!H7,'Environmental Performance'!H3-'Environmental Performance'!H7,'Environmental Performance'!H7-'Environmental Performance'!H3)*ABS(('Utility Revenue'!H105/3)/('Environmental Performance'!H7-'Environmental Performance'!G6)))))</f>
        <v>0</v>
      </c>
      <c r="I107" s="172">
        <f>IF(OR('Event Tracker'!$B$18=1,'Event Tracker'!$B$20=1),0,IF('Environmental Performance'!I3&lt;'Environmental Performance'!I6,'Utility Revenue'!I105/3,IF('Environmental Performance'!I3&gt;'Environmental Performance'!H6,'Utility Revenue'!I105/3*-1,IF('Environmental Performance'!I3&gt;'Environmental Performance'!I7,'Environmental Performance'!I3-'Environmental Performance'!I7,'Environmental Performance'!I7-'Environmental Performance'!I3)*ABS(('Utility Revenue'!I105/3)/('Environmental Performance'!I7-'Environmental Performance'!H6)))))</f>
        <v>0</v>
      </c>
      <c r="J107" s="172">
        <f>IF(OR('Event Tracker'!$B$18=1,'Event Tracker'!$B$20=1),0,IF('Environmental Performance'!J3&lt;'Environmental Performance'!J6,'Utility Revenue'!J105/3,IF('Environmental Performance'!J3&gt;'Environmental Performance'!I6,'Utility Revenue'!J105/3*-1,IF('Environmental Performance'!J3&gt;'Environmental Performance'!J7,'Environmental Performance'!J3-'Environmental Performance'!J7,'Environmental Performance'!J7-'Environmental Performance'!J3)*ABS(('Utility Revenue'!J105/3)/('Environmental Performance'!J7-'Environmental Performance'!I6)))))</f>
        <v>0</v>
      </c>
      <c r="K107" s="172">
        <f>IF(OR('Event Tracker'!$B$18=1,'Event Tracker'!$B$20=1),0,IF('Environmental Performance'!K3&lt;'Environmental Performance'!K6,'Utility Revenue'!K105/3,IF('Environmental Performance'!K3&gt;'Environmental Performance'!J6,'Utility Revenue'!K105/3*-1,IF('Environmental Performance'!K3&gt;'Environmental Performance'!K7,'Environmental Performance'!K3-'Environmental Performance'!K7,'Environmental Performance'!K7-'Environmental Performance'!K3)*ABS(('Utility Revenue'!K105/3)/('Environmental Performance'!K7-'Environmental Performance'!J6)))))</f>
        <v>0</v>
      </c>
      <c r="L107" s="172">
        <f>IF(OR('Event Tracker'!$B$18=1,'Event Tracker'!$B$20=1),0,IF('Environmental Performance'!L3&lt;'Environmental Performance'!L6,'Utility Revenue'!L105/3,IF('Environmental Performance'!L3&gt;'Environmental Performance'!K6,'Utility Revenue'!L105/3*-1,IF('Environmental Performance'!L3&gt;'Environmental Performance'!L7,'Environmental Performance'!L3-'Environmental Performance'!L7,'Environmental Performance'!L7-'Environmental Performance'!L3)*ABS(('Utility Revenue'!L105/3)/('Environmental Performance'!L7-'Environmental Performance'!K6)))))</f>
        <v>0</v>
      </c>
    </row>
    <row r="108" spans="1:12" x14ac:dyDescent="0.25">
      <c r="A108" s="17" t="s">
        <v>232</v>
      </c>
      <c r="B108" s="172"/>
      <c r="C108" s="172">
        <f>IF(OR('Event Tracker'!$B$18=1,'Event Tracker'!$B$20=1),0,IF('Customer Bills'!C12&lt;'Customer Bills'!C16,'Utility Revenue'!C105/3,IF('Customer Bills'!C12&gt;'Customer Bills'!B16,'Utility Revenue'!C105/3*-1,IF('Customer Bills'!C12&gt;'Customer Bills'!C17,'Customer Bills'!C17-'Customer Bills'!C12,'Customer Bills'!C12-'Customer Bills'!C17)*ABS(('Utility Revenue'!C105/3)/('Customer Bills'!C17-'Customer Bills'!C16)))))</f>
        <v>0</v>
      </c>
      <c r="D108" s="172">
        <f>IF(OR('Event Tracker'!$B$18=1,'Event Tracker'!$B$20=1),0,IF('Customer Bills'!D12&lt;'Customer Bills'!D16,'Utility Revenue'!D105/3,IF('Customer Bills'!D12&gt;'Customer Bills'!C16,'Utility Revenue'!D105/3*-1,IF('Customer Bills'!D12&gt;'Customer Bills'!D17,'Customer Bills'!D17-'Customer Bills'!D12,'Customer Bills'!D12-'Customer Bills'!D17)*ABS(('Utility Revenue'!D105/3)/('Customer Bills'!D17-'Customer Bills'!D16)))))</f>
        <v>0</v>
      </c>
      <c r="E108" s="172">
        <f>IF(OR('Event Tracker'!$B$18=1,'Event Tracker'!$B$20=1),0,IF('Customer Bills'!E12&lt;'Customer Bills'!E16,'Utility Revenue'!E105/3,IF('Customer Bills'!E12&gt;'Customer Bills'!D16,'Utility Revenue'!E105/3*-1,IF('Customer Bills'!E12&gt;'Customer Bills'!E17,'Customer Bills'!E17-'Customer Bills'!E12,'Customer Bills'!E12-'Customer Bills'!E17)*ABS(('Utility Revenue'!E105/3)/('Customer Bills'!E17-'Customer Bills'!E16)))))</f>
        <v>0</v>
      </c>
      <c r="F108" s="172">
        <f>IF(OR('Event Tracker'!$B$18=1,'Event Tracker'!$B$20=1),0,IF('Customer Bills'!F12&lt;'Customer Bills'!F16,'Utility Revenue'!F105/3,IF('Customer Bills'!F12&gt;'Customer Bills'!E16,'Utility Revenue'!F105/3*-1,IF('Customer Bills'!F12&gt;'Customer Bills'!F17,'Customer Bills'!F17-'Customer Bills'!F12,'Customer Bills'!F12-'Customer Bills'!F17)*ABS(('Utility Revenue'!F105/3)/('Customer Bills'!F17-'Customer Bills'!F16)))))</f>
        <v>0</v>
      </c>
      <c r="G108" s="172">
        <f>IF(OR('Event Tracker'!$B$18=1,'Event Tracker'!$B$20=1),0,IF('Customer Bills'!G12&lt;'Customer Bills'!G16,'Utility Revenue'!G105/3,IF('Customer Bills'!G12&gt;'Customer Bills'!F16,'Utility Revenue'!G105/3*-1,IF('Customer Bills'!G12&gt;'Customer Bills'!G17,'Customer Bills'!G17-'Customer Bills'!G12,'Customer Bills'!G12-'Customer Bills'!G17)*ABS(('Utility Revenue'!G105/3)/('Customer Bills'!G17-'Customer Bills'!G16)))))</f>
        <v>0</v>
      </c>
      <c r="H108" s="172">
        <f>IF(OR('Event Tracker'!$B$18=1,'Event Tracker'!$B$20=1),0,IF('Customer Bills'!H12&lt;'Customer Bills'!H16,'Utility Revenue'!H105/3,IF('Customer Bills'!H12&gt;'Customer Bills'!G16,'Utility Revenue'!H105/3*-1,IF('Customer Bills'!H12&gt;'Customer Bills'!H17,'Customer Bills'!H17-'Customer Bills'!H12,'Customer Bills'!H12-'Customer Bills'!H17)*ABS(('Utility Revenue'!H105/3)/('Customer Bills'!H17-'Customer Bills'!H16)))))</f>
        <v>0</v>
      </c>
      <c r="I108" s="172">
        <f>IF(OR('Event Tracker'!$B$18=1,'Event Tracker'!$B$20=1),0,IF('Customer Bills'!I12&lt;'Customer Bills'!I16,'Utility Revenue'!I105/3,IF('Customer Bills'!I12&gt;'Customer Bills'!H16,'Utility Revenue'!I105/3*-1,IF('Customer Bills'!I12&gt;'Customer Bills'!I17,'Customer Bills'!I17-'Customer Bills'!I12,'Customer Bills'!I12-'Customer Bills'!I17)*ABS(('Utility Revenue'!I105/3)/('Customer Bills'!I17-'Customer Bills'!I16)))))</f>
        <v>0</v>
      </c>
      <c r="J108" s="172">
        <f>IF(OR('Event Tracker'!$B$18=1,'Event Tracker'!$B$20=1),0,IF('Customer Bills'!J12&lt;'Customer Bills'!J16,'Utility Revenue'!J105/3,IF('Customer Bills'!J12&gt;'Customer Bills'!I16,'Utility Revenue'!J105/3*-1,IF('Customer Bills'!J12&gt;'Customer Bills'!J17,'Customer Bills'!J17-'Customer Bills'!J12,'Customer Bills'!J12-'Customer Bills'!J17)*ABS(('Utility Revenue'!J105/3)/('Customer Bills'!J17-'Customer Bills'!J16)))))</f>
        <v>0</v>
      </c>
      <c r="K108" s="172">
        <f>IF(OR('Event Tracker'!$B$18=1,'Event Tracker'!$B$20=1),0,IF('Customer Bills'!K12&lt;'Customer Bills'!K16,'Utility Revenue'!K105/3,IF('Customer Bills'!K12&gt;'Customer Bills'!J16,'Utility Revenue'!K105/3*-1,IF('Customer Bills'!K12&gt;'Customer Bills'!K17,'Customer Bills'!K17-'Customer Bills'!K12,'Customer Bills'!K12-'Customer Bills'!K17)*ABS(('Utility Revenue'!K105/3)/('Customer Bills'!K17-'Customer Bills'!K16)))))</f>
        <v>0</v>
      </c>
      <c r="L108" s="172">
        <f>IF(OR('Event Tracker'!$B$18=1,'Event Tracker'!$B$20=1),0,IF('Customer Bills'!L12&lt;'Customer Bills'!L16,'Utility Revenue'!L105/3,IF('Customer Bills'!L12&gt;'Customer Bills'!K16,'Utility Revenue'!L105/3*-1,IF('Customer Bills'!L12&gt;'Customer Bills'!L17,'Customer Bills'!L17-'Customer Bills'!L12,'Customer Bills'!L12-'Customer Bills'!L17)*ABS(('Utility Revenue'!L105/3)/('Customer Bills'!L17-'Customer Bills'!L16)))))</f>
        <v>0</v>
      </c>
    </row>
    <row r="109" spans="1:12" x14ac:dyDescent="0.25">
      <c r="A109" s="17" t="s">
        <v>233</v>
      </c>
      <c r="B109" s="172"/>
      <c r="C109" s="172">
        <f>IF(OR('Event Tracker'!$B$18=1,'Event Tracker'!$B$20=1),0,IF(Reliability!C95&lt;Reliability!C98,'Utility Revenue'!C105/3,IF(Reliability!C95&gt;Reliability!B98,'Utility Revenue'!C105/3*-1,IF(Reliability!C95&gt;Reliability!C99,Reliability!C99-Reliability!C95,Reliability!C95-Reliability!C99)*ABS(('Utility Revenue'!C105/3)/(Reliability!C99-Reliability!C98)))))</f>
        <v>0</v>
      </c>
      <c r="D109" s="172">
        <f>IF(OR('Event Tracker'!$B$18=1,'Event Tracker'!$B$20=1),0,IF(Reliability!D95&lt;Reliability!D98,'Utility Revenue'!D105/3,IF(Reliability!D95&gt;Reliability!C98,'Utility Revenue'!D105/3*-1,IF(Reliability!D95&gt;Reliability!D99,Reliability!D99-Reliability!D95,Reliability!D95-Reliability!D99)*ABS(('Utility Revenue'!D105/3)/(Reliability!D99-Reliability!D98)))))</f>
        <v>0</v>
      </c>
      <c r="E109" s="172">
        <f>IF(OR('Event Tracker'!$B$18=1,'Event Tracker'!$B$20=1),0,IF(Reliability!E95&lt;Reliability!E98,'Utility Revenue'!E105/3,IF(Reliability!E95&gt;Reliability!D98,'Utility Revenue'!E105/3*-1,IF(Reliability!E95&gt;Reliability!E99,Reliability!E99-Reliability!E95,Reliability!E95-Reliability!E99)*ABS(('Utility Revenue'!E105/3)/(Reliability!E99-Reliability!E98)))))</f>
        <v>0</v>
      </c>
      <c r="F109" s="172">
        <f>IF(OR('Event Tracker'!$B$18=1,'Event Tracker'!$B$20=1),0,IF(Reliability!F95&lt;Reliability!F98,'Utility Revenue'!F105/3,IF(Reliability!F95&gt;Reliability!E98,'Utility Revenue'!F105/3*-1,IF(Reliability!F95&gt;Reliability!F99,Reliability!F99-Reliability!F95,Reliability!F95-Reliability!F99)*ABS(('Utility Revenue'!F105/3)/(Reliability!F99-Reliability!F98)))))</f>
        <v>0</v>
      </c>
      <c r="G109" s="172">
        <f>IF(OR('Event Tracker'!$B$18=1,'Event Tracker'!$B$20=1),0,IF(Reliability!G95&lt;Reliability!G98,'Utility Revenue'!G105/3,IF(Reliability!G95&gt;Reliability!F98,'Utility Revenue'!G105/3*-1,IF(Reliability!G95&gt;Reliability!G99,Reliability!G99-Reliability!G95,Reliability!G95-Reliability!G99)*ABS(('Utility Revenue'!G105/3)/(Reliability!G99-Reliability!G98)))))</f>
        <v>0</v>
      </c>
      <c r="H109" s="172">
        <f>IF(OR('Event Tracker'!$B$18=1,'Event Tracker'!$B$20=1),0,IF(Reliability!H95&lt;Reliability!H98,'Utility Revenue'!H105/3,IF(Reliability!H95&gt;Reliability!G98,'Utility Revenue'!H105/3*-1,IF(Reliability!H95&gt;Reliability!H99,Reliability!H99-Reliability!H95,Reliability!H95-Reliability!H99)*ABS(('Utility Revenue'!H105/3)/(Reliability!H99-Reliability!H98)))))</f>
        <v>0</v>
      </c>
      <c r="I109" s="172">
        <f>IF(OR('Event Tracker'!$B$18=1,'Event Tracker'!$B$20=1),0,IF(Reliability!I95&lt;Reliability!I98,'Utility Revenue'!I105/3,IF(Reliability!I95&gt;Reliability!H98,'Utility Revenue'!I105/3*-1,IF(Reliability!I95&gt;Reliability!I99,Reliability!I99-Reliability!I95,Reliability!I95-Reliability!I99)*ABS(('Utility Revenue'!I105/3)/(Reliability!I99-Reliability!I98)))))</f>
        <v>0</v>
      </c>
      <c r="J109" s="172">
        <f>IF(OR('Event Tracker'!$B$18=1,'Event Tracker'!$B$20=1),0,IF(Reliability!J95&lt;Reliability!J98,'Utility Revenue'!J105/3,IF(Reliability!J95&gt;Reliability!I98,'Utility Revenue'!J105/3*-1,IF(Reliability!J95&gt;Reliability!J99,Reliability!J99-Reliability!J95,Reliability!J95-Reliability!J99)*ABS(('Utility Revenue'!J105/3)/(Reliability!J99-Reliability!J98)))))</f>
        <v>0</v>
      </c>
      <c r="K109" s="172">
        <f>IF(OR('Event Tracker'!$B$18=1,'Event Tracker'!$B$20=1),0,IF(Reliability!K95&lt;Reliability!K98,'Utility Revenue'!K105/3,IF(Reliability!K95&gt;Reliability!J98,'Utility Revenue'!K105/3*-1,IF(Reliability!K95&gt;Reliability!K99,Reliability!K99-Reliability!K95,Reliability!K95-Reliability!K99)*ABS(('Utility Revenue'!K105/3)/(Reliability!K99-Reliability!K98)))))</f>
        <v>0</v>
      </c>
      <c r="L109" s="172">
        <f>IF(OR('Event Tracker'!$B$18=1,'Event Tracker'!$B$20=1),0,IF(Reliability!L95&lt;Reliability!L98,'Utility Revenue'!L105/3,IF(Reliability!L95&gt;Reliability!K98,'Utility Revenue'!L105/3*-1,IF(Reliability!L95&gt;Reliability!L99,Reliability!L99-Reliability!L95,Reliability!L95-Reliability!L99)*ABS(('Utility Revenue'!L105/3)/(Reliability!L99-Reliability!L98)))))</f>
        <v>0</v>
      </c>
    </row>
    <row r="110" spans="1:12" ht="15.75" thickBot="1" x14ac:dyDescent="0.3">
      <c r="A110" s="75" t="s">
        <v>213</v>
      </c>
      <c r="B110" s="175"/>
      <c r="C110" s="175"/>
      <c r="D110" s="175"/>
      <c r="E110" s="175"/>
      <c r="F110" s="175"/>
      <c r="G110" s="175"/>
      <c r="H110" s="175"/>
      <c r="I110" s="175"/>
      <c r="J110" s="175"/>
      <c r="K110" s="175"/>
      <c r="L110" s="175"/>
    </row>
    <row r="111" spans="1:12" ht="15.75" thickTop="1" x14ac:dyDescent="0.25">
      <c r="A111" t="s">
        <v>214</v>
      </c>
      <c r="B111" s="7">
        <f>Dispatch!B167*-1</f>
        <v>0</v>
      </c>
      <c r="C111" s="7">
        <f>Dispatch!C167*-1</f>
        <v>0</v>
      </c>
      <c r="D111" s="7">
        <f>Dispatch!D167*-1</f>
        <v>0</v>
      </c>
      <c r="E111" s="7">
        <f>Dispatch!E167*-1</f>
        <v>0</v>
      </c>
      <c r="F111" s="7">
        <f>Dispatch!F167*-1</f>
        <v>0</v>
      </c>
      <c r="G111" s="7">
        <f>Dispatch!G167*-1</f>
        <v>0</v>
      </c>
      <c r="H111" s="7">
        <f>Dispatch!H167*-1</f>
        <v>0</v>
      </c>
      <c r="I111" s="7">
        <f>Dispatch!I167*-1</f>
        <v>0</v>
      </c>
      <c r="J111" s="7">
        <f>Dispatch!J167*-1</f>
        <v>0</v>
      </c>
      <c r="K111" s="7">
        <f>Dispatch!K167*-1</f>
        <v>0</v>
      </c>
      <c r="L111" s="7">
        <f>Dispatch!L167*-1</f>
        <v>0</v>
      </c>
    </row>
    <row r="112" spans="1:12" ht="15.75" thickBot="1" x14ac:dyDescent="0.3">
      <c r="A112" s="36" t="s">
        <v>443</v>
      </c>
      <c r="B112" s="36"/>
      <c r="C112" s="36"/>
      <c r="D112" s="36"/>
      <c r="E112" s="36"/>
      <c r="F112" s="36"/>
      <c r="G112" s="36"/>
      <c r="H112" s="36"/>
      <c r="I112" s="36"/>
      <c r="J112" s="36"/>
      <c r="K112" s="36"/>
      <c r="L112" s="36"/>
    </row>
    <row r="113" spans="1:12" ht="15.75" thickTop="1" x14ac:dyDescent="0.25">
      <c r="A113" s="26" t="s">
        <v>231</v>
      </c>
      <c r="B113" s="83">
        <v>0</v>
      </c>
      <c r="C113" s="83">
        <f>IF(('Environmental Performance'!B2-'Environmental Performance'!C2 )/'Environmental Performance'!B2&gt;0,('Environmental Performance'!B2-'Environmental Performance'!C2 )/'Environmental Performance'!B2*0.95*'Event Tracker'!C6*'Game Assumptions'!$B$11,0)</f>
        <v>0</v>
      </c>
      <c r="D113" s="83">
        <f>IF(('Environmental Performance'!C2-'Environmental Performance'!D2 )/'Environmental Performance'!C2&gt;0,('Environmental Performance'!C2-'Environmental Performance'!D2 )/'Environmental Performance'!C2*0.95*'Event Tracker'!D6*'Game Assumptions'!$B$11,0)</f>
        <v>0</v>
      </c>
      <c r="E113" s="83">
        <f>IF(('Environmental Performance'!D2-'Environmental Performance'!E2 )/'Environmental Performance'!D2&gt;0,('Environmental Performance'!D2-'Environmental Performance'!E2 )/'Environmental Performance'!D2*0.95*'Event Tracker'!E6*'Game Assumptions'!$B$11,0)</f>
        <v>0</v>
      </c>
      <c r="F113" s="83">
        <f>IF(('Environmental Performance'!E2-'Environmental Performance'!F2 )/'Environmental Performance'!E2&gt;0,('Environmental Performance'!E2-'Environmental Performance'!F2 )/'Environmental Performance'!E2*0.95*'Event Tracker'!F6*'Game Assumptions'!$B$11,0)</f>
        <v>0</v>
      </c>
      <c r="G113" s="83">
        <f>IF(('Environmental Performance'!F2-'Environmental Performance'!G2 )/'Environmental Performance'!F2&gt;0,('Environmental Performance'!F2-'Environmental Performance'!G2 )/'Environmental Performance'!F2*0.95*'Event Tracker'!G6*'Game Assumptions'!$B$11,0)</f>
        <v>0</v>
      </c>
      <c r="H113" s="83">
        <f>IF(('Environmental Performance'!G2-'Environmental Performance'!H2 )/'Environmental Performance'!G2&gt;0,('Environmental Performance'!G2-'Environmental Performance'!H2 )/'Environmental Performance'!G2*0.95*'Event Tracker'!H6*'Game Assumptions'!$B$11,0)</f>
        <v>0</v>
      </c>
      <c r="I113" s="83">
        <f>IF(('Environmental Performance'!H2-'Environmental Performance'!I2 )/'Environmental Performance'!H2&gt;0,('Environmental Performance'!H2-'Environmental Performance'!I2 )/'Environmental Performance'!H2*0.95*'Event Tracker'!I6*'Game Assumptions'!$B$11,0)</f>
        <v>0</v>
      </c>
      <c r="J113" s="83">
        <f>IF(('Environmental Performance'!I2-'Environmental Performance'!J2 )/'Environmental Performance'!I2&gt;0,('Environmental Performance'!I2-'Environmental Performance'!J2 )/'Environmental Performance'!I2*0.95*'Event Tracker'!J6*'Game Assumptions'!$B$11,0)</f>
        <v>0</v>
      </c>
      <c r="K113" s="83">
        <f>IF(('Environmental Performance'!J2-'Environmental Performance'!K2 )/'Environmental Performance'!J2&gt;0,('Environmental Performance'!J2-'Environmental Performance'!K2 )/'Environmental Performance'!J2*0.95*'Event Tracker'!K6*'Game Assumptions'!$B$11,0)</f>
        <v>0</v>
      </c>
      <c r="L113" s="83">
        <f>IF(('Environmental Performance'!K2-'Environmental Performance'!L2 )/'Environmental Performance'!K2&gt;0,('Environmental Performance'!K2-'Environmental Performance'!L2 )/'Environmental Performance'!K2*0.95*'Event Tracker'!L6*'Game Assumptions'!$B$11,0)</f>
        <v>0</v>
      </c>
    </row>
    <row r="114" spans="1:12" x14ac:dyDescent="0.25">
      <c r="A114" s="26" t="s">
        <v>232</v>
      </c>
      <c r="B114" s="83">
        <v>0</v>
      </c>
      <c r="C114" s="83">
        <f>IF('Customer Bills'!C12&gt;'Customer Bills'!B12,0,(('Customer Bills'!B12-'Customer Bills'!C12)/'Customer Bills'!B12)/(('Customer Bills'!B12-'Customer Bills'!B12*0.75)/'Customer Bills'!B12)*'Game Assumptions'!$B$12)*'Event Tracker'!C6</f>
        <v>0</v>
      </c>
      <c r="D114" s="83">
        <f>IF('Customer Bills'!D12&gt;'Customer Bills'!C12,0,(('Customer Bills'!C12-'Customer Bills'!D12)/'Customer Bills'!C12)/(('Customer Bills'!C12-'Customer Bills'!C12*0.75)/'Customer Bills'!C12)*'Game Assumptions'!$B$12)*'Event Tracker'!D6</f>
        <v>0</v>
      </c>
      <c r="E114" s="83">
        <f>IF('Customer Bills'!E12&gt;'Customer Bills'!D12,0,(('Customer Bills'!D12-'Customer Bills'!E12)/'Customer Bills'!D12)/(('Customer Bills'!D12-'Customer Bills'!D12*0.75)/'Customer Bills'!D12)*'Game Assumptions'!$B$12)*'Event Tracker'!E6</f>
        <v>0</v>
      </c>
      <c r="F114" s="83">
        <f>IF('Customer Bills'!F12&gt;'Customer Bills'!E12,0,(('Customer Bills'!E12-'Customer Bills'!F12)/'Customer Bills'!E12)/(('Customer Bills'!E12-'Customer Bills'!E12*0.75)/'Customer Bills'!E12)*'Game Assumptions'!$B$12)*'Event Tracker'!F6</f>
        <v>0</v>
      </c>
      <c r="G114" s="83">
        <f>IF('Customer Bills'!G12&gt;'Customer Bills'!F12,0,(('Customer Bills'!F12-'Customer Bills'!G12)/'Customer Bills'!F12)/(('Customer Bills'!F12-'Customer Bills'!F12*0.75)/'Customer Bills'!F12)*'Game Assumptions'!$B$12)*'Event Tracker'!G6</f>
        <v>0</v>
      </c>
      <c r="H114" s="83">
        <f>IF('Customer Bills'!H12&gt;'Customer Bills'!G12,0,(('Customer Bills'!G12-'Customer Bills'!H12)/'Customer Bills'!G12)/(('Customer Bills'!G12-'Customer Bills'!G12*0.75)/'Customer Bills'!G12)*'Game Assumptions'!$B$12)*'Event Tracker'!H6</f>
        <v>0</v>
      </c>
      <c r="I114" s="83">
        <f>IF('Customer Bills'!I12&gt;'Customer Bills'!H12,0,(('Customer Bills'!H12-'Customer Bills'!I12)/'Customer Bills'!H12)/(('Customer Bills'!H12-'Customer Bills'!H12*0.75)/'Customer Bills'!H12)*'Game Assumptions'!$B$12)*'Event Tracker'!I6</f>
        <v>0</v>
      </c>
      <c r="J114" s="83">
        <f>IF('Customer Bills'!J12&gt;'Customer Bills'!I12,0,(('Customer Bills'!I12-'Customer Bills'!J12)/'Customer Bills'!I12)/(('Customer Bills'!I12-'Customer Bills'!I12*0.75)/'Customer Bills'!I12)*'Game Assumptions'!$B$12)*'Event Tracker'!J6</f>
        <v>0</v>
      </c>
      <c r="K114" s="83">
        <f>IF('Customer Bills'!K12&gt;'Customer Bills'!J12,0,(('Customer Bills'!J12-'Customer Bills'!K12)/'Customer Bills'!J12)/(('Customer Bills'!J12-'Customer Bills'!J12*0.75)/'Customer Bills'!J12)*'Game Assumptions'!$B$12)*'Event Tracker'!K6</f>
        <v>0</v>
      </c>
      <c r="L114" s="83">
        <f>IF('Customer Bills'!L12&gt;'Customer Bills'!K12,0,(('Customer Bills'!K12-'Customer Bills'!L12)/'Customer Bills'!K12)/(('Customer Bills'!K12-'Customer Bills'!K12*0.75)/'Customer Bills'!K12)*'Game Assumptions'!$B$12)*'Event Tracker'!L6</f>
        <v>0</v>
      </c>
    </row>
    <row r="115" spans="1:12" x14ac:dyDescent="0.25">
      <c r="A115" s="26" t="s">
        <v>233</v>
      </c>
      <c r="B115" s="85"/>
      <c r="C115" s="85"/>
      <c r="D115" s="85"/>
      <c r="E115" s="85"/>
      <c r="F115" s="85"/>
      <c r="G115" s="85"/>
      <c r="H115" s="85"/>
      <c r="I115" s="85"/>
      <c r="J115" s="85"/>
      <c r="K115" s="85"/>
      <c r="L115" s="85"/>
    </row>
    <row r="116" spans="1:12" ht="15.75" thickBot="1" x14ac:dyDescent="0.3">
      <c r="A116" s="158" t="s">
        <v>428</v>
      </c>
      <c r="B116" s="168">
        <v>0</v>
      </c>
      <c r="C116" s="168">
        <v>0</v>
      </c>
      <c r="D116" s="168">
        <v>0</v>
      </c>
      <c r="E116" s="168">
        <v>0</v>
      </c>
      <c r="F116" s="168">
        <v>0</v>
      </c>
      <c r="G116" s="168">
        <v>0</v>
      </c>
      <c r="H116" s="168">
        <v>0</v>
      </c>
      <c r="I116" s="168">
        <v>0</v>
      </c>
      <c r="J116" s="168">
        <v>0</v>
      </c>
      <c r="K116" s="168">
        <v>0</v>
      </c>
      <c r="L116" s="168">
        <v>0</v>
      </c>
    </row>
    <row r="117" spans="1:12" ht="15.75" thickTop="1" x14ac:dyDescent="0.25">
      <c r="A117" s="46" t="s">
        <v>102</v>
      </c>
      <c r="B117" s="47">
        <f>SUM(B100,B101,B107:B109,B111,B113:B115,B116)</f>
        <v>608395833.80691004</v>
      </c>
      <c r="C117" s="47">
        <f t="shared" ref="C117:L117" si="14">SUM(C100,C101,C107:C109,C111,C113:C115,C116)</f>
        <v>581533058.98263383</v>
      </c>
      <c r="D117" s="47">
        <f t="shared" si="14"/>
        <v>640480754.27225566</v>
      </c>
      <c r="E117" s="47">
        <f t="shared" si="14"/>
        <v>565182224.07118654</v>
      </c>
      <c r="F117" s="47">
        <f t="shared" si="14"/>
        <v>569524099.44725561</v>
      </c>
      <c r="G117" s="47">
        <f t="shared" si="14"/>
        <v>541149384.00704837</v>
      </c>
      <c r="H117" s="47">
        <f t="shared" si="14"/>
        <v>530436494.43070287</v>
      </c>
      <c r="I117" s="47">
        <f t="shared" si="14"/>
        <v>581136874.32725561</v>
      </c>
      <c r="J117" s="47">
        <f t="shared" si="14"/>
        <v>559790455.51884103</v>
      </c>
      <c r="K117" s="47">
        <f t="shared" si="14"/>
        <v>549374225.09463382</v>
      </c>
      <c r="L117" s="47">
        <f t="shared" si="14"/>
        <v>574164159.60691023</v>
      </c>
    </row>
    <row r="119" spans="1:12" x14ac:dyDescent="0.25">
      <c r="A119" s="9" t="s">
        <v>258</v>
      </c>
      <c r="B119" s="9">
        <v>0</v>
      </c>
      <c r="C119" s="9">
        <v>1</v>
      </c>
      <c r="D119" s="9">
        <v>2</v>
      </c>
      <c r="E119" s="9">
        <v>3</v>
      </c>
      <c r="F119" s="9">
        <v>4</v>
      </c>
      <c r="G119" s="9">
        <v>5</v>
      </c>
      <c r="H119" s="9">
        <v>6</v>
      </c>
      <c r="I119" s="9">
        <v>7</v>
      </c>
      <c r="J119" s="9">
        <v>8</v>
      </c>
      <c r="K119" s="9">
        <v>9</v>
      </c>
      <c r="L119" s="9">
        <v>10</v>
      </c>
    </row>
    <row r="120" spans="1:12" x14ac:dyDescent="0.25">
      <c r="A120" s="24" t="s">
        <v>81</v>
      </c>
    </row>
    <row r="121" spans="1:12" x14ac:dyDescent="0.25">
      <c r="A121" s="4" t="s">
        <v>315</v>
      </c>
    </row>
    <row r="122" spans="1:12" x14ac:dyDescent="0.25">
      <c r="A122" s="26" t="s">
        <v>64</v>
      </c>
      <c r="B122" s="27">
        <f>PMT(IF(OR('Event Tracker'!B18=1,'Event Tracker'!B19=1),'Game Assumptions'!$B$6,'Game Assumptions'!$B$5),'Game Assumptions'!$B$14,'Game Assumptions'!$B$2)*-1</f>
        <v>78783354.939330965</v>
      </c>
      <c r="C122" s="27">
        <f>PMT(IF(OR('Event Tracker'!C18=1,'Event Tracker'!C19=1),'Game Assumptions'!$B$6,'Game Assumptions'!$B$5),'Game Assumptions'!$B$14,'Game Assumptions'!$B$2)*-1</f>
        <v>100000000</v>
      </c>
      <c r="D122" s="27">
        <f>PMT(IF(OR('Event Tracker'!D18=1,'Event Tracker'!D19=1),'Game Assumptions'!$B$6,'Game Assumptions'!$B$5),'Game Assumptions'!$B$14,'Game Assumptions'!$B$2)*-1</f>
        <v>100000000</v>
      </c>
      <c r="E122" s="27">
        <f>PMT(IF(OR('Event Tracker'!E18=1,'Event Tracker'!E19=1),'Game Assumptions'!$B$6,'Game Assumptions'!$B$5),'Game Assumptions'!$B$14,'Game Assumptions'!$B$2)*-1</f>
        <v>100000000</v>
      </c>
      <c r="F122" s="27">
        <f>PMT(IF(OR('Event Tracker'!F18=1,'Event Tracker'!F19=1),'Game Assumptions'!$B$6,'Game Assumptions'!$B$5),'Game Assumptions'!$B$14,'Game Assumptions'!$B$2)*-1</f>
        <v>100000000</v>
      </c>
      <c r="G122" s="27">
        <f>PMT(IF(OR('Event Tracker'!G18=1,'Event Tracker'!G19=1),'Game Assumptions'!$B$6,'Game Assumptions'!$B$5),'Game Assumptions'!$B$14,'Game Assumptions'!$B$2)*-1</f>
        <v>100000000</v>
      </c>
      <c r="H122" s="27">
        <f>PMT(IF(OR('Event Tracker'!H18=1,'Event Tracker'!H19=1),'Game Assumptions'!$B$6,'Game Assumptions'!$B$5),'Game Assumptions'!$B$14,'Game Assumptions'!$B$2)*-1</f>
        <v>100000000</v>
      </c>
      <c r="I122" s="27">
        <f>PMT(IF(OR('Event Tracker'!I18=1,'Event Tracker'!I19=1),'Game Assumptions'!$B$6,'Game Assumptions'!$B$5),'Game Assumptions'!$B$14,'Game Assumptions'!$B$2)*-1</f>
        <v>100000000</v>
      </c>
      <c r="J122" s="27">
        <f>PMT(IF(OR('Event Tracker'!J18=1,'Event Tracker'!J19=1),'Game Assumptions'!$B$6,'Game Assumptions'!$B$5),'Game Assumptions'!$B$14,'Game Assumptions'!$B$2)*-1</f>
        <v>100000000</v>
      </c>
      <c r="K122" s="27">
        <f>PMT(IF(OR('Event Tracker'!K18=1,'Event Tracker'!K19=1),'Game Assumptions'!$B$6,'Game Assumptions'!$B$5),'Game Assumptions'!$B$14,'Game Assumptions'!$B$2)*-1</f>
        <v>100000000</v>
      </c>
      <c r="L122" s="27">
        <f>PMT(IF(OR('Event Tracker'!L18=1,'Event Tracker'!L19=1),'Game Assumptions'!$B$6,'Game Assumptions'!$B$5),'Game Assumptions'!$B$14,'Game Assumptions'!$B$2)*-1</f>
        <v>100000000</v>
      </c>
    </row>
    <row r="123" spans="1:12" x14ac:dyDescent="0.25">
      <c r="A123" s="26" t="s">
        <v>65</v>
      </c>
      <c r="B123" s="27">
        <f>PMT(IF(OR('Event Tracker'!B19=1,'Event Tracker'!B20=1),'Game Assumptions'!$B$6,'Game Assumptions'!$B$5),'Game Assumptions'!$B$14,'Game Assumptions'!$B$2)*-1</f>
        <v>100000000</v>
      </c>
      <c r="C123" s="27">
        <f>PMT(IF(OR('Event Tracker'!C19=1,'Event Tracker'!C20=1),'Game Assumptions'!$B$6,'Game Assumptions'!$B$5),'Game Assumptions'!$B$14,'Game Assumptions'!$B$2)*-1</f>
        <v>100000000</v>
      </c>
      <c r="D123" s="27">
        <f>PMT(IF(OR('Event Tracker'!D19=1,'Event Tracker'!D20=1),'Game Assumptions'!$B$6,'Game Assumptions'!$B$5),'Game Assumptions'!$B$14,'Game Assumptions'!$B$2)*-1</f>
        <v>100000000</v>
      </c>
      <c r="E123" s="27">
        <f>PMT(IF(OR('Event Tracker'!E19=1,'Event Tracker'!E20=1),'Game Assumptions'!$B$6,'Game Assumptions'!$B$5),'Game Assumptions'!$B$14,'Game Assumptions'!$B$2)*-1</f>
        <v>100000000</v>
      </c>
      <c r="F123" s="27">
        <f>PMT(IF(OR('Event Tracker'!F19=1,'Event Tracker'!F20=1),'Game Assumptions'!$B$6,'Game Assumptions'!$B$5),'Game Assumptions'!$B$14,'Game Assumptions'!$B$2)*-1</f>
        <v>100000000</v>
      </c>
      <c r="G123" s="27">
        <f>PMT(IF(OR('Event Tracker'!G19=1,'Event Tracker'!G20=1),'Game Assumptions'!$B$6,'Game Assumptions'!$B$5),'Game Assumptions'!$B$14,'Game Assumptions'!$B$2)*-1</f>
        <v>100000000</v>
      </c>
      <c r="H123" s="27">
        <f>PMT(IF(OR('Event Tracker'!H19=1,'Event Tracker'!H20=1),'Game Assumptions'!$B$6,'Game Assumptions'!$B$5),'Game Assumptions'!$B$14,'Game Assumptions'!$B$2)*-1</f>
        <v>100000000</v>
      </c>
      <c r="I123" s="27">
        <f>PMT(IF(OR('Event Tracker'!I19=1,'Event Tracker'!I20=1),'Game Assumptions'!$B$6,'Game Assumptions'!$B$5),'Game Assumptions'!$B$14,'Game Assumptions'!$B$2)*-1</f>
        <v>100000000</v>
      </c>
      <c r="J123" s="27">
        <f>PMT(IF(OR('Event Tracker'!J19=1,'Event Tracker'!J20=1),'Game Assumptions'!$B$6,'Game Assumptions'!$B$5),'Game Assumptions'!$B$14,'Game Assumptions'!$B$2)*-1</f>
        <v>100000000</v>
      </c>
      <c r="K123" s="27">
        <f>PMT(IF(OR('Event Tracker'!K19=1,'Event Tracker'!K20=1),'Game Assumptions'!$B$6,'Game Assumptions'!$B$5),'Game Assumptions'!$B$14,'Game Assumptions'!$B$2)*-1</f>
        <v>100000000</v>
      </c>
      <c r="L123" s="27">
        <f>PMT(IF(OR('Event Tracker'!L19=1,'Event Tracker'!L20=1),'Game Assumptions'!$B$6,'Game Assumptions'!$B$5),'Game Assumptions'!$B$14,'Game Assumptions'!$B$2)*-1</f>
        <v>100000000</v>
      </c>
    </row>
    <row r="124" spans="1:12" x14ac:dyDescent="0.25">
      <c r="A124" s="29" t="s">
        <v>66</v>
      </c>
      <c r="B124" s="23">
        <f>PMT('Game Assumptions'!$B$6,'Game Assumptions'!$B$14,'Game Assumptions'!$B$2)*-1</f>
        <v>78783354.939330965</v>
      </c>
      <c r="C124" s="23">
        <f>PMT('Game Assumptions'!$B$6,'Game Assumptions'!$B$14,'Game Assumptions'!$B$2)*-1</f>
        <v>78783354.939330965</v>
      </c>
      <c r="D124" s="23">
        <f>PMT('Game Assumptions'!$B$6,'Game Assumptions'!$B$14,'Game Assumptions'!$B$2)*-1</f>
        <v>78783354.939330965</v>
      </c>
      <c r="E124" s="23">
        <f>PMT('Game Assumptions'!$B$6,'Game Assumptions'!$B$14,'Game Assumptions'!$B$2)*-1</f>
        <v>78783354.939330965</v>
      </c>
      <c r="F124" s="23">
        <f>PMT('Game Assumptions'!$B$6,'Game Assumptions'!$B$14,'Game Assumptions'!$B$2)*-1</f>
        <v>78783354.939330965</v>
      </c>
      <c r="G124" s="23">
        <f>PMT('Game Assumptions'!$B$6,'Game Assumptions'!$B$14,'Game Assumptions'!$B$2)*-1</f>
        <v>78783354.939330965</v>
      </c>
      <c r="H124" s="23">
        <f>PMT('Game Assumptions'!$B$6,'Game Assumptions'!$B$14,'Game Assumptions'!$B$2)*-1</f>
        <v>78783354.939330965</v>
      </c>
      <c r="I124" s="23">
        <f>PMT('Game Assumptions'!$B$6,'Game Assumptions'!$B$14,'Game Assumptions'!$B$2)*-1</f>
        <v>78783354.939330965</v>
      </c>
      <c r="J124" s="23">
        <f>PMT('Game Assumptions'!$B$6,'Game Assumptions'!$B$14,'Game Assumptions'!$B$2)*-1</f>
        <v>78783354.939330965</v>
      </c>
      <c r="K124" s="23">
        <f>PMT('Game Assumptions'!$B$6,'Game Assumptions'!$B$14,'Game Assumptions'!$B$2)*-1</f>
        <v>78783354.939330965</v>
      </c>
      <c r="L124" s="23">
        <f>PMT('Game Assumptions'!$B$6,'Game Assumptions'!$B$14,'Game Assumptions'!$B$2)*-1</f>
        <v>78783354.939330965</v>
      </c>
    </row>
    <row r="125" spans="1:12" x14ac:dyDescent="0.25">
      <c r="A125" s="4" t="s">
        <v>228</v>
      </c>
    </row>
    <row r="126" spans="1:12" x14ac:dyDescent="0.25">
      <c r="A126" t="s">
        <v>40</v>
      </c>
      <c r="B126" s="7">
        <f>PMT(IF(OR('Event Tracker'!B18=1,'Event Tracker'!B19=1),'Game Assumptions'!$B$6,'Game Assumptions'!$B$5),'Game Assumptions'!$B$14,'Game Assumptions'!$G28*'Resource Mix and Demand'!B2)*-1</f>
        <v>0</v>
      </c>
      <c r="C126" s="7">
        <f>(PMT(IF(OR('Event Tracker'!B18=1,'Event Tracker'!B19=1),'Game Assumptions'!$B$6,'Game Assumptions'!$B$5),'Game Assumptions'!$B$14,'Game Assumptions'!$G28*'Resource Mix and Demand'!C2)*-1)+B126</f>
        <v>0</v>
      </c>
      <c r="D126" s="7">
        <f>(PMT(IF(OR('Event Tracker'!B18=1,'Event Tracker'!B19=1),'Game Assumptions'!$B$6,'Game Assumptions'!$B$5),'Game Assumptions'!$B$14,'Game Assumptions'!$G28*'Resource Mix and Demand'!D2)*-1)+C126</f>
        <v>0</v>
      </c>
      <c r="E126" s="7">
        <f>(PMT(IF(OR('Event Tracker'!B18=1,'Event Tracker'!B19=1),'Game Assumptions'!$B$6,'Game Assumptions'!$B$5),'Game Assumptions'!$B$14,'Game Assumptions'!$G28*'Resource Mix and Demand'!E2)*-1)+D126</f>
        <v>0</v>
      </c>
      <c r="F126" s="7">
        <f>(PMT(IF(OR('Event Tracker'!B18=1,'Event Tracker'!B19=1),'Game Assumptions'!$B$6,'Game Assumptions'!$B$5),'Game Assumptions'!$B$14,'Game Assumptions'!$G28*'Resource Mix and Demand'!F2)*-1)+E126</f>
        <v>0</v>
      </c>
      <c r="G126" s="7">
        <f>(PMT(IF(OR('Event Tracker'!B18=1,'Event Tracker'!B19=1),'Game Assumptions'!$B$6,'Game Assumptions'!$B$5),'Game Assumptions'!$B$14,'Game Assumptions'!$G28*'Resource Mix and Demand'!G2)*-1)+F126</f>
        <v>0</v>
      </c>
      <c r="H126" s="7">
        <f>(PMT(IF(OR('Event Tracker'!B18=1,'Event Tracker'!B19=1),'Game Assumptions'!$B$6,'Game Assumptions'!$B$5),'Game Assumptions'!$B$14,'Game Assumptions'!$G28*'Resource Mix and Demand'!H2)*-1)+G126</f>
        <v>0</v>
      </c>
      <c r="I126" s="7">
        <f>(PMT(IF(OR('Event Tracker'!B18=1,'Event Tracker'!B19=1),'Game Assumptions'!$B$6,'Game Assumptions'!$B$5),'Game Assumptions'!$B$14,'Game Assumptions'!$G28*'Resource Mix and Demand'!I2)*-1)+H126</f>
        <v>0</v>
      </c>
      <c r="J126" s="7">
        <f>(PMT(IF(OR('Event Tracker'!B18=1,'Event Tracker'!B19=1),'Game Assumptions'!$B$6,'Game Assumptions'!$B$5),'Game Assumptions'!$B$14,'Game Assumptions'!$G28*'Resource Mix and Demand'!J2)*-1)+I126</f>
        <v>0</v>
      </c>
      <c r="K126" s="7">
        <f>(PMT(IF(OR('Event Tracker'!B18=1,'Event Tracker'!B19=1),'Game Assumptions'!$B$6,'Game Assumptions'!$B$5),'Game Assumptions'!$B$14,'Game Assumptions'!$G28*'Resource Mix and Demand'!K2)*-1)+J126</f>
        <v>0</v>
      </c>
      <c r="L126" s="7">
        <f>(PMT(IF(OR('Event Tracker'!B18=1,'Event Tracker'!B19=1),'Game Assumptions'!$B$6,'Game Assumptions'!$B$5),'Game Assumptions'!$B$14,'Game Assumptions'!$G28*'Resource Mix and Demand'!L2)*-1)+K126</f>
        <v>0</v>
      </c>
    </row>
    <row r="127" spans="1:12" x14ac:dyDescent="0.25">
      <c r="A127" t="s">
        <v>46</v>
      </c>
      <c r="B127" s="7">
        <f>PMT(IF(OR('Event Tracker'!B18=1,'Event Tracker'!B19=1),'Game Assumptions'!$B$6,'Game Assumptions'!$B$5),'Game Assumptions'!$B$14,'Game Assumptions'!$G29*'Resource Mix and Demand'!B3)*-1</f>
        <v>0</v>
      </c>
      <c r="C127" s="7">
        <f>(PMT(IF(OR('Event Tracker'!B18=1,'Event Tracker'!B19=1),'Game Assumptions'!$B$6,'Game Assumptions'!$B$5),'Game Assumptions'!$B$14,'Game Assumptions'!$G29*'Resource Mix and Demand'!C3)*-1)+B127</f>
        <v>0</v>
      </c>
      <c r="D127" s="7">
        <f>(PMT(IF(OR('Event Tracker'!B18=1,'Event Tracker'!B19=1),'Game Assumptions'!$B$6,'Game Assumptions'!$B$5),'Game Assumptions'!$B$14,'Game Assumptions'!$G29*'Resource Mix and Demand'!D3)*-1)+C127</f>
        <v>0</v>
      </c>
      <c r="E127" s="7">
        <f>(PMT(IF(OR('Event Tracker'!B18=1,'Event Tracker'!B19=1),'Game Assumptions'!$B$6,'Game Assumptions'!$B$5),'Game Assumptions'!$B$14,'Game Assumptions'!$G29*'Resource Mix and Demand'!E3)*-1)+D127</f>
        <v>0</v>
      </c>
      <c r="F127" s="7">
        <f>(PMT(IF(OR('Event Tracker'!B18=1,'Event Tracker'!B19=1),'Game Assumptions'!$B$6,'Game Assumptions'!$B$5),'Game Assumptions'!$B$14,'Game Assumptions'!$G29*'Resource Mix and Demand'!F3)*-1)+E127</f>
        <v>0</v>
      </c>
      <c r="G127" s="7">
        <f>(PMT(IF(OR('Event Tracker'!B18=1,'Event Tracker'!B19=1),'Game Assumptions'!$B$6,'Game Assumptions'!$B$5),'Game Assumptions'!$B$14,'Game Assumptions'!$G29*'Resource Mix and Demand'!G3)*-1)+F127</f>
        <v>0</v>
      </c>
      <c r="H127" s="7">
        <f>(PMT(IF(OR('Event Tracker'!B18=1,'Event Tracker'!B19=1),'Game Assumptions'!$B$6,'Game Assumptions'!$B$5),'Game Assumptions'!$B$14,'Game Assumptions'!$G29*'Resource Mix and Demand'!H3)*-1)+G127</f>
        <v>0</v>
      </c>
      <c r="I127" s="7">
        <f>(PMT(IF(OR('Event Tracker'!B18=1,'Event Tracker'!B19=1),'Game Assumptions'!$B$6,'Game Assumptions'!$B$5),'Game Assumptions'!$B$14,'Game Assumptions'!$G29*'Resource Mix and Demand'!I3)*-1)+H127</f>
        <v>0</v>
      </c>
      <c r="J127" s="7">
        <f>(PMT(IF(OR('Event Tracker'!B18=1,'Event Tracker'!B19=1),'Game Assumptions'!$B$6,'Game Assumptions'!$B$5),'Game Assumptions'!$B$14,'Game Assumptions'!$G29*'Resource Mix and Demand'!J3)*-1)+I127</f>
        <v>0</v>
      </c>
      <c r="K127" s="7">
        <f>(PMT(IF(OR('Event Tracker'!B18=1,'Event Tracker'!B19=1),'Game Assumptions'!$B$6,'Game Assumptions'!$B$5),'Game Assumptions'!$B$14,'Game Assumptions'!$G29*'Resource Mix and Demand'!K3)*-1)+J127</f>
        <v>0</v>
      </c>
      <c r="L127" s="7">
        <f>(PMT(IF(OR('Event Tracker'!B18=1,'Event Tracker'!B19=1),'Game Assumptions'!$B$6,'Game Assumptions'!$B$5),'Game Assumptions'!$B$14,'Game Assumptions'!$G29*'Resource Mix and Demand'!L3)*-1)+K127</f>
        <v>0</v>
      </c>
    </row>
    <row r="128" spans="1:12" x14ac:dyDescent="0.25">
      <c r="A128" t="s">
        <v>41</v>
      </c>
      <c r="B128" s="7">
        <f>PMT(IF(OR('Event Tracker'!B18=1,'Event Tracker'!B19=1),'Game Assumptions'!$B$6,'Game Assumptions'!$B$5),'Game Assumptions'!$B$14,'Game Assumptions'!$G30*'Resource Mix and Demand'!B4)*-1</f>
        <v>0</v>
      </c>
      <c r="C128" s="7">
        <f>(PMT(IF(OR('Event Tracker'!B18=1,'Event Tracker'!B19=1),'Game Assumptions'!$B$6,'Game Assumptions'!$B$5),'Game Assumptions'!$B$14,'Game Assumptions'!$G30*'Resource Mix and Demand'!C4)*-1)+B128</f>
        <v>0</v>
      </c>
      <c r="D128" s="7">
        <f>(PMT(IF(OR('Event Tracker'!B18=1,'Event Tracker'!B19=1),'Game Assumptions'!$B$6,'Game Assumptions'!$B$5),'Game Assumptions'!$B$14,'Game Assumptions'!$G30*'Resource Mix and Demand'!D4)*-1)+C128</f>
        <v>0</v>
      </c>
      <c r="E128" s="7">
        <f>(PMT(IF(OR('Event Tracker'!B18=1,'Event Tracker'!B19=1),'Game Assumptions'!$B$6,'Game Assumptions'!$B$5),'Game Assumptions'!$B$14,'Game Assumptions'!$G30*'Resource Mix and Demand'!E4)*-1)+D128</f>
        <v>0</v>
      </c>
      <c r="F128" s="7">
        <f>(PMT(IF(OR('Event Tracker'!B18=1,'Event Tracker'!B19=1),'Game Assumptions'!$B$6,'Game Assumptions'!$B$5),'Game Assumptions'!$B$14,'Game Assumptions'!$G30*'Resource Mix and Demand'!F4)*-1)+E128</f>
        <v>0</v>
      </c>
      <c r="G128" s="7">
        <f>(PMT(IF(OR('Event Tracker'!B18=1,'Event Tracker'!B19=1),'Game Assumptions'!$B$6,'Game Assumptions'!$B$5),'Game Assumptions'!$B$14,'Game Assumptions'!$G30*'Resource Mix and Demand'!G4)*-1)+F128</f>
        <v>0</v>
      </c>
      <c r="H128" s="7">
        <f>(PMT(IF(OR('Event Tracker'!B18=1,'Event Tracker'!B19=1),'Game Assumptions'!$B$6,'Game Assumptions'!$B$5),'Game Assumptions'!$B$14,'Game Assumptions'!$G30*'Resource Mix and Demand'!H4)*-1)+G128</f>
        <v>0</v>
      </c>
      <c r="I128" s="7">
        <f>(PMT(IF(OR('Event Tracker'!B18=1,'Event Tracker'!B19=1),'Game Assumptions'!$B$6,'Game Assumptions'!$B$5),'Game Assumptions'!$B$14,'Game Assumptions'!$G30*'Resource Mix and Demand'!I4)*-1)+H128</f>
        <v>0</v>
      </c>
      <c r="J128" s="7">
        <f>(PMT(IF(OR('Event Tracker'!B18=1,'Event Tracker'!B19=1),'Game Assumptions'!$B$6,'Game Assumptions'!$B$5),'Game Assumptions'!$B$14,'Game Assumptions'!$G30*'Resource Mix and Demand'!J4)*-1)+I128</f>
        <v>0</v>
      </c>
      <c r="K128" s="7">
        <f>(PMT(IF(OR('Event Tracker'!B18=1,'Event Tracker'!B19=1),'Game Assumptions'!$B$6,'Game Assumptions'!$B$5),'Game Assumptions'!$B$14,'Game Assumptions'!$G30*'Resource Mix and Demand'!K4)*-1)+J128</f>
        <v>0</v>
      </c>
      <c r="L128" s="7">
        <f>(PMT(IF(OR('Event Tracker'!B18=1,'Event Tracker'!B19=1),'Game Assumptions'!$B$6,'Game Assumptions'!$B$5),'Game Assumptions'!$B$14,'Game Assumptions'!$G30*'Resource Mix and Demand'!L4)*-1)+K128</f>
        <v>0</v>
      </c>
    </row>
    <row r="129" spans="1:12" x14ac:dyDescent="0.25">
      <c r="A129" t="s">
        <v>44</v>
      </c>
      <c r="B129" s="7">
        <f>PMT(IF(OR('Event Tracker'!B18=1,'Event Tracker'!B19=1),'Game Assumptions'!$B$6,'Game Assumptions'!$B$5),'Game Assumptions'!$B$14,'Game Assumptions'!$G31*'Resource Mix and Demand'!B5)*-1</f>
        <v>0</v>
      </c>
      <c r="C129" s="7">
        <f>(PMT(IF(OR('Event Tracker'!B18=1,'Event Tracker'!B19=1),'Game Assumptions'!$B$6,'Game Assumptions'!$B$5),'Game Assumptions'!$B$14,'Game Assumptions'!$G31*'Resource Mix and Demand'!C5)*-1)+B129</f>
        <v>0</v>
      </c>
      <c r="D129" s="7">
        <f>(PMT(IF(OR('Event Tracker'!B18=1,'Event Tracker'!B19=1),'Game Assumptions'!$B$6,'Game Assumptions'!$B$5),'Game Assumptions'!$B$14,'Game Assumptions'!$G31*'Resource Mix and Demand'!D5)*-1)+C129</f>
        <v>0</v>
      </c>
      <c r="E129" s="7">
        <f>(PMT(IF(OR('Event Tracker'!B18=1,'Event Tracker'!B19=1),'Game Assumptions'!$B$6,'Game Assumptions'!$B$5),'Game Assumptions'!$B$14,'Game Assumptions'!$G31*'Resource Mix and Demand'!E5)*-1)+D129</f>
        <v>0</v>
      </c>
      <c r="F129" s="7">
        <f>(PMT(IF(OR('Event Tracker'!B18=1,'Event Tracker'!B19=1),'Game Assumptions'!$B$6,'Game Assumptions'!$B$5),'Game Assumptions'!$B$14,'Game Assumptions'!$G31*'Resource Mix and Demand'!F5)*-1)+E129</f>
        <v>0</v>
      </c>
      <c r="G129" s="7">
        <f>(PMT(IF(OR('Event Tracker'!B18=1,'Event Tracker'!B19=1),'Game Assumptions'!$B$6,'Game Assumptions'!$B$5),'Game Assumptions'!$B$14,'Game Assumptions'!$G31*'Resource Mix and Demand'!G5)*-1)+F129</f>
        <v>0</v>
      </c>
      <c r="H129" s="7">
        <f>(PMT(IF(OR('Event Tracker'!B18=1,'Event Tracker'!B19=1),'Game Assumptions'!$B$6,'Game Assumptions'!$B$5),'Game Assumptions'!$B$14,'Game Assumptions'!$G31*'Resource Mix and Demand'!H5)*-1)+G129</f>
        <v>0</v>
      </c>
      <c r="I129" s="7">
        <f>(PMT(IF(OR('Event Tracker'!B18=1,'Event Tracker'!B19=1),'Game Assumptions'!$B$6,'Game Assumptions'!$B$5),'Game Assumptions'!$B$14,'Game Assumptions'!$G31*'Resource Mix and Demand'!I5)*-1)+H129</f>
        <v>0</v>
      </c>
      <c r="J129" s="7">
        <f>(PMT(IF(OR('Event Tracker'!B18=1,'Event Tracker'!B19=1),'Game Assumptions'!$B$6,'Game Assumptions'!$B$5),'Game Assumptions'!$B$14,'Game Assumptions'!$G31*'Resource Mix and Demand'!J5)*-1)+I129</f>
        <v>0</v>
      </c>
      <c r="K129" s="7">
        <f>(PMT(IF(OR('Event Tracker'!B18=1,'Event Tracker'!B19=1),'Game Assumptions'!$B$6,'Game Assumptions'!$B$5),'Game Assumptions'!$B$14,'Game Assumptions'!$G31*'Resource Mix and Demand'!K5)*-1)+J129</f>
        <v>0</v>
      </c>
      <c r="L129" s="7">
        <f>(PMT(IF(OR('Event Tracker'!B18=1,'Event Tracker'!B19=1),'Game Assumptions'!$B$6,'Game Assumptions'!$B$5),'Game Assumptions'!$B$14,'Game Assumptions'!$G31*'Resource Mix and Demand'!L5)*-1)+K129</f>
        <v>0</v>
      </c>
    </row>
    <row r="130" spans="1:12" x14ac:dyDescent="0.25">
      <c r="A130" t="s">
        <v>45</v>
      </c>
      <c r="B130" s="7">
        <f>PMT(IF(OR('Event Tracker'!B18=1,'Event Tracker'!B19=1),'Game Assumptions'!$B$6,'Game Assumptions'!$B$5),'Game Assumptions'!$B$14,'Game Assumptions'!$G32*'Resource Mix and Demand'!B6)*-1</f>
        <v>0</v>
      </c>
      <c r="C130" s="7">
        <f>(PMT(IF(OR('Event Tracker'!B18=1,'Event Tracker'!B19=1),'Game Assumptions'!$B$6,'Game Assumptions'!$B$5),'Game Assumptions'!$B$14,'Game Assumptions'!$G32*'Resource Mix and Demand'!C6)*-1)+B130</f>
        <v>0</v>
      </c>
      <c r="D130" s="7">
        <f>(PMT(IF(OR('Event Tracker'!B18=1,'Event Tracker'!B19=1),'Game Assumptions'!$B$6,'Game Assumptions'!$B$5),'Game Assumptions'!$B$14,'Game Assumptions'!$G32*'Resource Mix and Demand'!D6)*-1)+C130</f>
        <v>0</v>
      </c>
      <c r="E130" s="7">
        <f>(PMT(IF(OR('Event Tracker'!B18=1,'Event Tracker'!B19=1),'Game Assumptions'!$B$6,'Game Assumptions'!$B$5),'Game Assumptions'!$B$14,'Game Assumptions'!$G32*'Resource Mix and Demand'!E6)*-1)+D130</f>
        <v>0</v>
      </c>
      <c r="F130" s="7">
        <f>(PMT(IF(OR('Event Tracker'!B18=1,'Event Tracker'!B19=1),'Game Assumptions'!$B$6,'Game Assumptions'!$B$5),'Game Assumptions'!$B$14,'Game Assumptions'!$G32*'Resource Mix and Demand'!F6)*-1)+E130</f>
        <v>0</v>
      </c>
      <c r="G130" s="7">
        <f>(PMT(IF(OR('Event Tracker'!B18=1,'Event Tracker'!B19=1),'Game Assumptions'!$B$6,'Game Assumptions'!$B$5),'Game Assumptions'!$B$14,'Game Assumptions'!$G32*'Resource Mix and Demand'!G6)*-1)+F130</f>
        <v>0</v>
      </c>
      <c r="H130" s="7">
        <f>(PMT(IF(OR('Event Tracker'!B18=1,'Event Tracker'!B19=1),'Game Assumptions'!$B$6,'Game Assumptions'!$B$5),'Game Assumptions'!$B$14,'Game Assumptions'!$G32*'Resource Mix and Demand'!H6)*-1)+G130</f>
        <v>0</v>
      </c>
      <c r="I130" s="7">
        <f>(PMT(IF(OR('Event Tracker'!B18=1,'Event Tracker'!B19=1),'Game Assumptions'!$B$6,'Game Assumptions'!$B$5),'Game Assumptions'!$B$14,'Game Assumptions'!$G32*'Resource Mix and Demand'!I6)*-1)+H130</f>
        <v>0</v>
      </c>
      <c r="J130" s="7">
        <f>(PMT(IF(OR('Event Tracker'!B18=1,'Event Tracker'!B19=1),'Game Assumptions'!$B$6,'Game Assumptions'!$B$5),'Game Assumptions'!$B$14,'Game Assumptions'!$G32*'Resource Mix and Demand'!J6)*-1)+I130</f>
        <v>0</v>
      </c>
      <c r="K130" s="7">
        <f>(PMT(IF(OR('Event Tracker'!B18=1,'Event Tracker'!B19=1),'Game Assumptions'!$B$6,'Game Assumptions'!$B$5),'Game Assumptions'!$B$14,'Game Assumptions'!$G32*'Resource Mix and Demand'!K6)*-1)+J130</f>
        <v>0</v>
      </c>
      <c r="L130" s="7">
        <f>(PMT(IF(OR('Event Tracker'!B18=1,'Event Tracker'!B19=1),'Game Assumptions'!$B$6,'Game Assumptions'!$B$5),'Game Assumptions'!$B$14,'Game Assumptions'!$G32*'Resource Mix and Demand'!L6)*-1)+K130</f>
        <v>0</v>
      </c>
    </row>
    <row r="131" spans="1:12" x14ac:dyDescent="0.25">
      <c r="A131" t="s">
        <v>42</v>
      </c>
      <c r="B131" s="7">
        <f>(PMT(IF(OR('Event Tracker'!B18=1,'Event Tracker'!B19=1),'Game Assumptions'!$B$6,'Game Assumptions'!$B$5),'Game Assumptions'!$B$14,'Game Assumptions'!$G33*'Resource Mix and Demand'!B7)*-1)</f>
        <v>0</v>
      </c>
      <c r="C131" s="7">
        <f>(PMT(IF(OR('Event Tracker'!B18=1,'Event Tracker'!B19=1),'Game Assumptions'!$B$6,'Game Assumptions'!$B$5),'Game Assumptions'!$B$14,'Game Assumptions'!$G33*'Resource Mix and Demand'!C7)*-1)+B131</f>
        <v>0</v>
      </c>
      <c r="D131" s="7">
        <f>(PMT(IF(OR('Event Tracker'!B18=1,'Event Tracker'!B19=1),'Game Assumptions'!$B$6,'Game Assumptions'!$B$5),'Game Assumptions'!$B$14,'Game Assumptions'!$G33*'Resource Mix and Demand'!D7)*-1)+C131</f>
        <v>0</v>
      </c>
      <c r="E131" s="7">
        <f>(PMT(IF(OR('Event Tracker'!B18=1,'Event Tracker'!B19=1),'Game Assumptions'!$B$6,'Game Assumptions'!$B$5),'Game Assumptions'!$B$14,'Game Assumptions'!$G33*'Resource Mix and Demand'!E7)*-1)+D131</f>
        <v>0</v>
      </c>
      <c r="F131" s="7">
        <f>(PMT(IF(OR('Event Tracker'!B18=1,'Event Tracker'!B19=1),'Game Assumptions'!$B$6,'Game Assumptions'!$B$5),'Game Assumptions'!$B$14,'Game Assumptions'!$G33*'Resource Mix and Demand'!F7)*-1)+E131</f>
        <v>0</v>
      </c>
      <c r="G131" s="7">
        <f>(PMT(IF(OR('Event Tracker'!B18=1,'Event Tracker'!B19=1),'Game Assumptions'!$B$6,'Game Assumptions'!$B$5),'Game Assumptions'!$B$14,'Game Assumptions'!$G33*'Resource Mix and Demand'!G7)*-1)+F131</f>
        <v>0</v>
      </c>
      <c r="H131" s="7">
        <f>(PMT(IF(OR('Event Tracker'!B18=1,'Event Tracker'!B19=1),'Game Assumptions'!$B$6,'Game Assumptions'!$B$5),'Game Assumptions'!$B$14,'Game Assumptions'!$G33*'Resource Mix and Demand'!H7)*-1)+G131</f>
        <v>0</v>
      </c>
      <c r="I131" s="7">
        <f>(PMT(IF(OR('Event Tracker'!B18=1,'Event Tracker'!B19=1),'Game Assumptions'!$B$6,'Game Assumptions'!$B$5),'Game Assumptions'!$B$14,'Game Assumptions'!$G33*'Resource Mix and Demand'!I7)*-1)+H131</f>
        <v>0</v>
      </c>
      <c r="J131" s="7">
        <f>(PMT(IF(OR('Event Tracker'!B18=1,'Event Tracker'!B19=1),'Game Assumptions'!$B$6,'Game Assumptions'!$B$5),'Game Assumptions'!$B$14,'Game Assumptions'!$G33*'Resource Mix and Demand'!J7)*-1)+I131</f>
        <v>0</v>
      </c>
      <c r="K131" s="7">
        <f>(PMT(IF(OR('Event Tracker'!B18=1,'Event Tracker'!B19=1),'Game Assumptions'!$B$6,'Game Assumptions'!$B$5),'Game Assumptions'!$B$14,'Game Assumptions'!$G33*'Resource Mix and Demand'!K7)*-1)+J131</f>
        <v>0</v>
      </c>
      <c r="L131" s="7">
        <f>(PMT(IF(OR('Event Tracker'!B18=1,'Event Tracker'!B19=1),'Game Assumptions'!$B$6,'Game Assumptions'!$B$5),'Game Assumptions'!$B$14,'Game Assumptions'!$G33*'Resource Mix and Demand'!L7)*-1)+K131</f>
        <v>0</v>
      </c>
    </row>
    <row r="132" spans="1:12" x14ac:dyDescent="0.25">
      <c r="A132" s="12" t="s">
        <v>47</v>
      </c>
      <c r="B132" s="7">
        <f>(PMT('Game Assumptions'!$B$6,'Game Assumptions'!$B$14,'Game Assumptions'!$G34*'Resource Mix and Demand'!B8)*-1)</f>
        <v>0</v>
      </c>
      <c r="C132" s="7">
        <f>(PMT('Game Assumptions'!$B$6,'Game Assumptions'!$B$14,'Game Assumptions'!$G34*'Resource Mix and Demand'!C8)*-1)</f>
        <v>0</v>
      </c>
      <c r="D132" s="7">
        <f>(PMT('Game Assumptions'!$B$6,'Game Assumptions'!$B$14,'Game Assumptions'!$G34*'Resource Mix and Demand'!D8)*-1)</f>
        <v>0</v>
      </c>
      <c r="E132" s="7">
        <f>(PMT('Game Assumptions'!$B$6,'Game Assumptions'!$B$14,'Game Assumptions'!$G34*'Resource Mix and Demand'!E8)*-1)</f>
        <v>0</v>
      </c>
      <c r="F132" s="7">
        <f>(PMT('Game Assumptions'!$B$6,'Game Assumptions'!$B$14,'Game Assumptions'!$G34*'Resource Mix and Demand'!F8)*-1)</f>
        <v>0</v>
      </c>
      <c r="G132" s="7">
        <f>(PMT('Game Assumptions'!$B$6,'Game Assumptions'!$B$14,'Game Assumptions'!$G34*'Resource Mix and Demand'!G8)*-1)</f>
        <v>0</v>
      </c>
      <c r="H132" s="7">
        <f>(PMT('Game Assumptions'!$B$6,'Game Assumptions'!$B$14,'Game Assumptions'!$G34*'Resource Mix and Demand'!H8)*-1)</f>
        <v>0</v>
      </c>
      <c r="I132" s="7">
        <f>(PMT('Game Assumptions'!$B$6,'Game Assumptions'!$B$14,'Game Assumptions'!$G34*'Resource Mix and Demand'!I8)*-1)</f>
        <v>0</v>
      </c>
      <c r="J132" s="7">
        <f>(PMT('Game Assumptions'!$B$6,'Game Assumptions'!$B$14,'Game Assumptions'!$G34*'Resource Mix and Demand'!J8)*-1)</f>
        <v>0</v>
      </c>
      <c r="K132" s="7">
        <f>(PMT('Game Assumptions'!$B$6,'Game Assumptions'!$B$14,'Game Assumptions'!$G34*'Resource Mix and Demand'!K8)*-1)</f>
        <v>0</v>
      </c>
      <c r="L132" s="7">
        <f>(PMT('Game Assumptions'!$B$6,'Game Assumptions'!$B$14,'Game Assumptions'!$G34*'Resource Mix and Demand'!L8)*-1)</f>
        <v>0</v>
      </c>
    </row>
    <row r="133" spans="1:12" x14ac:dyDescent="0.25">
      <c r="A133" t="s">
        <v>311</v>
      </c>
      <c r="B133" s="107">
        <f>(PMT(IF(OR('Event Tracker'!B18=1,'Event Tracker'!B19=1),'Game Assumptions'!$B$6,'Game Assumptions'!$B$5),'Game Assumptions'!$B$14,Reliability!B9*'Game Assumptions'!$G35))*-1</f>
        <v>0</v>
      </c>
      <c r="C133" s="107">
        <f>(PMT(IF(OR('Event Tracker'!B18=1,'Event Tracker'!B19=1),'Game Assumptions'!$B$6,'Game Assumptions'!$B$5),'Game Assumptions'!$B$14,Reliability!C9*'Game Assumptions'!$G35))*-1+B133</f>
        <v>0</v>
      </c>
      <c r="D133" s="107">
        <f>(PMT(IF(OR('Event Tracker'!B18=1,'Event Tracker'!B19=1),'Game Assumptions'!$B$6,'Game Assumptions'!$B$5),'Game Assumptions'!$B$14,Reliability!D9*'Game Assumptions'!$G35))*-1+C133</f>
        <v>0</v>
      </c>
      <c r="E133" s="107">
        <f>(PMT(IF(OR('Event Tracker'!B18=1,'Event Tracker'!B19=1),'Game Assumptions'!$B$6,'Game Assumptions'!$B$5),'Game Assumptions'!$B$14,Reliability!E9*'Game Assumptions'!$G35))*-1+D133</f>
        <v>0</v>
      </c>
      <c r="F133" s="107">
        <f>(PMT(IF(OR('Event Tracker'!B18=1,'Event Tracker'!B19=1),'Game Assumptions'!$B$6,'Game Assumptions'!$B$5),'Game Assumptions'!$B$14,Reliability!F9*'Game Assumptions'!$G35))*-1+E133</f>
        <v>0</v>
      </c>
      <c r="G133" s="107">
        <f>(PMT(IF(OR('Event Tracker'!B18=1,'Event Tracker'!B19=1),'Game Assumptions'!$B$6,'Game Assumptions'!$B$5),'Game Assumptions'!$B$14,Reliability!G9*'Game Assumptions'!$G35))*-1+F133</f>
        <v>0</v>
      </c>
      <c r="H133" s="107">
        <f>(PMT(IF(OR('Event Tracker'!B18=1,'Event Tracker'!B19=1),'Game Assumptions'!$B$6,'Game Assumptions'!$B$5),'Game Assumptions'!$B$14,Reliability!H9*'Game Assumptions'!$G35))*-1+G133</f>
        <v>0</v>
      </c>
      <c r="I133" s="107">
        <f>(PMT(IF(OR('Event Tracker'!B18=1,'Event Tracker'!B19=1),'Game Assumptions'!$B$6,'Game Assumptions'!$B$5),'Game Assumptions'!$B$14,Reliability!I9*'Game Assumptions'!$G35))*-1+H133</f>
        <v>0</v>
      </c>
      <c r="J133" s="107">
        <f>(PMT(IF(OR('Event Tracker'!B18=1,'Event Tracker'!B19=1),'Game Assumptions'!$B$6,'Game Assumptions'!$B$5),'Game Assumptions'!$B$14,Reliability!J9*'Game Assumptions'!$G35))*-1+I133</f>
        <v>0</v>
      </c>
      <c r="K133" s="107">
        <f>(PMT(IF(OR('Event Tracker'!B18=1,'Event Tracker'!B19=1),'Game Assumptions'!$B$6,'Game Assumptions'!$B$5),'Game Assumptions'!$B$14,Reliability!K9*'Game Assumptions'!$G35))*-1+J133</f>
        <v>0</v>
      </c>
      <c r="L133" s="107">
        <f>(PMT(IF(OR('Event Tracker'!B18=1,'Event Tracker'!B19=1),'Game Assumptions'!$B$6,'Game Assumptions'!$B$5),'Game Assumptions'!$B$14,Reliability!L9*'Game Assumptions'!$G35))*-1+K133</f>
        <v>0</v>
      </c>
    </row>
    <row r="134" spans="1:12" x14ac:dyDescent="0.25">
      <c r="A134" t="s">
        <v>312</v>
      </c>
      <c r="B134" s="107">
        <f>(PMT('Game Assumptions'!$B$6,'Game Assumptions'!$B$14,Reliability!B10*'Game Assumptions'!$G36))*-1</f>
        <v>0</v>
      </c>
      <c r="C134" s="107">
        <f>(PMT('Game Assumptions'!$B$6,'Game Assumptions'!$B$14,Reliability!C10*'Game Assumptions'!$G36))*-1+B134</f>
        <v>0</v>
      </c>
      <c r="D134" s="107">
        <f>(PMT('Game Assumptions'!$B$6,'Game Assumptions'!$B$14,Reliability!D10*'Game Assumptions'!$G36))*-1+C134</f>
        <v>0</v>
      </c>
      <c r="E134" s="107">
        <f>(PMT('Game Assumptions'!$B$6,'Game Assumptions'!$B$14,Reliability!E10*'Game Assumptions'!$G36))*-1+D134</f>
        <v>0</v>
      </c>
      <c r="F134" s="107">
        <f>(PMT('Game Assumptions'!$B$6,'Game Assumptions'!$B$14,Reliability!F10*'Game Assumptions'!$G36))*-1+E134</f>
        <v>0</v>
      </c>
      <c r="G134" s="107">
        <f>(PMT('Game Assumptions'!$B$6,'Game Assumptions'!$B$14,Reliability!G10*'Game Assumptions'!$G36))*-1+F134</f>
        <v>0</v>
      </c>
      <c r="H134" s="107">
        <f>(PMT('Game Assumptions'!$B$6,'Game Assumptions'!$B$14,Reliability!H10*'Game Assumptions'!$G36))*-1+G134</f>
        <v>0</v>
      </c>
      <c r="I134" s="107">
        <f>(PMT('Game Assumptions'!$B$6,'Game Assumptions'!$B$14,Reliability!I10*'Game Assumptions'!$G36))*-1+H134</f>
        <v>0</v>
      </c>
      <c r="J134" s="107">
        <f>(PMT('Game Assumptions'!$B$6,'Game Assumptions'!$B$14,Reliability!J10*'Game Assumptions'!$G36))*-1+I134</f>
        <v>0</v>
      </c>
      <c r="K134" s="107">
        <f>(PMT('Game Assumptions'!$B$6,'Game Assumptions'!$B$14,Reliability!K10*'Game Assumptions'!$G36))*-1+J134</f>
        <v>0</v>
      </c>
      <c r="L134" s="107">
        <f>(PMT('Game Assumptions'!$B$6,'Game Assumptions'!$B$14,Reliability!L10*'Game Assumptions'!$G36))*-1+K134</f>
        <v>0</v>
      </c>
    </row>
    <row r="135" spans="1:12" x14ac:dyDescent="0.25">
      <c r="A135" t="s">
        <v>313</v>
      </c>
      <c r="B135" s="107">
        <f>(PMT(IF(OR('Event Tracker'!B18=1,'Event Tracker'!B19=1),'Game Assumptions'!$B$6,'Game Assumptions'!$B$5),'Game Assumptions'!$B$14,Reliability!B11*'Game Assumptions'!$G37))*-1</f>
        <v>0</v>
      </c>
      <c r="C135" s="107">
        <f>(PMT(IF(OR('Event Tracker'!B18=1,'Event Tracker'!B19=1),'Game Assumptions'!$B$6,'Game Assumptions'!$B$5),'Game Assumptions'!$B$14,Reliability!C11*'Game Assumptions'!$G37))*-1+B135</f>
        <v>0</v>
      </c>
      <c r="D135" s="107">
        <f>(PMT(IF(OR('Event Tracker'!B18=1,'Event Tracker'!B19=1),'Game Assumptions'!$B$6,'Game Assumptions'!$B$5),'Game Assumptions'!$B$14,Reliability!D11*'Game Assumptions'!$G37))*-1+C135</f>
        <v>0</v>
      </c>
      <c r="E135" s="107">
        <f>(PMT(IF(OR('Event Tracker'!B18=1,'Event Tracker'!B19=1),'Game Assumptions'!$B$6,'Game Assumptions'!$B$5),'Game Assumptions'!$B$14,Reliability!E11*'Game Assumptions'!$G37))*-1+D135</f>
        <v>0</v>
      </c>
      <c r="F135" s="107">
        <f>(PMT(IF(OR('Event Tracker'!B18=1,'Event Tracker'!B19=1),'Game Assumptions'!$B$6,'Game Assumptions'!$B$5),'Game Assumptions'!$B$14,Reliability!F11*'Game Assumptions'!$G37))*-1+E135</f>
        <v>0</v>
      </c>
      <c r="G135" s="107">
        <f>(PMT(IF(OR('Event Tracker'!B18=1,'Event Tracker'!B19=1),'Game Assumptions'!$B$6,'Game Assumptions'!$B$5),'Game Assumptions'!$B$14,Reliability!G11*'Game Assumptions'!$G37))*-1+F135</f>
        <v>0</v>
      </c>
      <c r="H135" s="107">
        <f>(PMT(IF(OR('Event Tracker'!B18=1,'Event Tracker'!B19=1),'Game Assumptions'!$B$6,'Game Assumptions'!$B$5),'Game Assumptions'!$B$14,Reliability!H11*'Game Assumptions'!$G37))*-1+G135</f>
        <v>0</v>
      </c>
      <c r="I135" s="107">
        <f>(PMT(IF(OR('Event Tracker'!B18=1,'Event Tracker'!B19=1),'Game Assumptions'!$B$6,'Game Assumptions'!$B$5),'Game Assumptions'!$B$14,Reliability!I11*'Game Assumptions'!$G37))*-1+H135</f>
        <v>0</v>
      </c>
      <c r="J135" s="107">
        <f>(PMT(IF(OR('Event Tracker'!B18=1,'Event Tracker'!B19=1),'Game Assumptions'!$B$6,'Game Assumptions'!$B$5),'Game Assumptions'!$B$14,Reliability!J11*'Game Assumptions'!$G37))*-1+I135</f>
        <v>0</v>
      </c>
      <c r="K135" s="107">
        <f>(PMT(IF(OR('Event Tracker'!B18=1,'Event Tracker'!B19=1),'Game Assumptions'!$B$6,'Game Assumptions'!$B$5),'Game Assumptions'!$B$14,Reliability!K11*'Game Assumptions'!$G37))*-1+J135</f>
        <v>0</v>
      </c>
      <c r="L135" s="107">
        <f>(PMT(IF(OR('Event Tracker'!B18=1,'Event Tracker'!B19=1),'Game Assumptions'!$B$6,'Game Assumptions'!$B$5),'Game Assumptions'!$B$14,Reliability!L11*'Game Assumptions'!$G37))*-1+K135</f>
        <v>0</v>
      </c>
    </row>
    <row r="136" spans="1:12" x14ac:dyDescent="0.25">
      <c r="A136" t="s">
        <v>314</v>
      </c>
      <c r="B136" s="107">
        <f>(PMT('Game Assumptions'!$B$6,'Game Assumptions'!$B$14,Reliability!B12*'Game Assumptions'!$G38))*-1</f>
        <v>0</v>
      </c>
      <c r="C136" s="107">
        <f>(PMT('Game Assumptions'!$B$6,'Game Assumptions'!$B$14,Reliability!C12*'Game Assumptions'!$G38))*-1+B136</f>
        <v>0</v>
      </c>
      <c r="D136" s="107">
        <f>(PMT('Game Assumptions'!$B$6,'Game Assumptions'!$B$14,Reliability!D12*'Game Assumptions'!$G38))*-1+C136</f>
        <v>0</v>
      </c>
      <c r="E136" s="107">
        <f>(PMT('Game Assumptions'!$B$6,'Game Assumptions'!$B$14,Reliability!E12*'Game Assumptions'!$G38))*-1+D136</f>
        <v>0</v>
      </c>
      <c r="F136" s="107">
        <f>(PMT('Game Assumptions'!$B$6,'Game Assumptions'!$B$14,Reliability!F12*'Game Assumptions'!$G38))*-1+E136</f>
        <v>0</v>
      </c>
      <c r="G136" s="107">
        <f>(PMT('Game Assumptions'!$B$6,'Game Assumptions'!$B$14,Reliability!G12*'Game Assumptions'!$G38))*-1+F136</f>
        <v>0</v>
      </c>
      <c r="H136" s="107">
        <f>(PMT('Game Assumptions'!$B$6,'Game Assumptions'!$B$14,Reliability!H12*'Game Assumptions'!$G38))*-1+G136</f>
        <v>0</v>
      </c>
      <c r="I136" s="107">
        <f>(PMT('Game Assumptions'!$B$6,'Game Assumptions'!$B$14,Reliability!I12*'Game Assumptions'!$G38))*-1+H136</f>
        <v>0</v>
      </c>
      <c r="J136" s="107">
        <f>(PMT('Game Assumptions'!$B$6,'Game Assumptions'!$B$14,Reliability!J12*'Game Assumptions'!$G38))*-1+I136</f>
        <v>0</v>
      </c>
      <c r="K136" s="107">
        <f>(PMT('Game Assumptions'!$B$6,'Game Assumptions'!$B$14,Reliability!K12*'Game Assumptions'!$G38))*-1+J136</f>
        <v>0</v>
      </c>
      <c r="L136" s="107">
        <f>(PMT('Game Assumptions'!$B$6,'Game Assumptions'!$B$14,Reliability!L12*'Game Assumptions'!$G38))*-1+K136</f>
        <v>0</v>
      </c>
    </row>
    <row r="137" spans="1:12" s="157" customFormat="1" x14ac:dyDescent="0.25">
      <c r="A137" s="173" t="s">
        <v>67</v>
      </c>
      <c r="B137" s="174">
        <f>Reliability!B39*'Game Assumptions'!$B$111</f>
        <v>0</v>
      </c>
      <c r="C137" s="167">
        <f>(PMT(IF(OR('Event Tracker'!B18=1,'Event Tracker'!B19=1),'Game Assumptions'!$B$6,'Game Assumptions'!$B$5),'Game Assumptions'!$B$14,Reliability!C14*'Game Assumptions'!$G39))*-1+B137</f>
        <v>0</v>
      </c>
      <c r="D137" s="167">
        <f>(PMT(IF(OR('Event Tracker'!B18=1,'Event Tracker'!B19=1),'Game Assumptions'!$B$6,'Game Assumptions'!$B$5),'Game Assumptions'!$B$14,Reliability!D14*'Game Assumptions'!$G39))*-1+C137</f>
        <v>0</v>
      </c>
      <c r="E137" s="167">
        <f>(PMT(IF(OR('Event Tracker'!B18=1,'Event Tracker'!B19=1),'Game Assumptions'!$B$6,'Game Assumptions'!$B$5),'Game Assumptions'!$B$14,Reliability!E14*'Game Assumptions'!$G39))*-1+D137</f>
        <v>0</v>
      </c>
      <c r="F137" s="167">
        <f>(PMT(IF(OR('Event Tracker'!B18=1,'Event Tracker'!B19=1),'Game Assumptions'!$B$6,'Game Assumptions'!$B$5),'Game Assumptions'!$B$14,Reliability!F14*'Game Assumptions'!$G39))*-1+E137</f>
        <v>0</v>
      </c>
      <c r="G137" s="167">
        <f>(PMT(IF(OR('Event Tracker'!B18=1,'Event Tracker'!B19=1),'Game Assumptions'!$B$6,'Game Assumptions'!$B$5),'Game Assumptions'!$B$14,Reliability!G14*'Game Assumptions'!$G39))*-1+F137</f>
        <v>0</v>
      </c>
      <c r="H137" s="167">
        <f>(PMT(IF(OR('Event Tracker'!B18=1,'Event Tracker'!B19=1),'Game Assumptions'!$B$6,'Game Assumptions'!$B$5),'Game Assumptions'!$B$14,Reliability!H14*'Game Assumptions'!$G39))*-1+G137</f>
        <v>0</v>
      </c>
      <c r="I137" s="167">
        <f>(PMT(IF(OR('Event Tracker'!B18=1,'Event Tracker'!B19=1),'Game Assumptions'!$B$6,'Game Assumptions'!$B$5),'Game Assumptions'!$B$14,Reliability!I14*'Game Assumptions'!$G39))*-1+H137</f>
        <v>0</v>
      </c>
      <c r="J137" s="167">
        <f>(PMT(IF(OR('Event Tracker'!B18=1,'Event Tracker'!B19=1),'Game Assumptions'!$B$6,'Game Assumptions'!$B$5),'Game Assumptions'!$B$14,Reliability!J14*'Game Assumptions'!$G39))*-1+I137</f>
        <v>0</v>
      </c>
      <c r="K137" s="167">
        <f>(PMT(IF(OR('Event Tracker'!B18=1,'Event Tracker'!B19=1),'Game Assumptions'!$B$6,'Game Assumptions'!$B$5),'Game Assumptions'!$B$14,Reliability!K14*'Game Assumptions'!$G39))*-1+J137</f>
        <v>0</v>
      </c>
      <c r="L137" s="167">
        <f>(PMT(IF(OR('Event Tracker'!B18=1,'Event Tracker'!B19=1),'Game Assumptions'!$B$6,'Game Assumptions'!$B$5),'Game Assumptions'!$B$14,Reliability!L14*'Game Assumptions'!$G39))*-1+K137</f>
        <v>0</v>
      </c>
    </row>
    <row r="138" spans="1:12" x14ac:dyDescent="0.25">
      <c r="A138" s="12" t="s">
        <v>68</v>
      </c>
      <c r="B138" s="7">
        <f>PMT('Game Assumptions'!$B$6,'Game Assumptions'!$B$14,SUM('Game Assumptions'!$B$135:$B$136)*Reliability!B13)*-1</f>
        <v>0</v>
      </c>
      <c r="C138" s="107">
        <f>PMT('Game Assumptions'!$B$6,'Game Assumptions'!$B$14,SUM('Game Assumptions'!$B$135:$B$136)*Reliability!C13)*-1+B138</f>
        <v>0</v>
      </c>
      <c r="D138" s="107">
        <f>PMT('Game Assumptions'!$B$6,'Game Assumptions'!$B$14,SUM('Game Assumptions'!$B$135:$B$136)*Reliability!D13)*-1+C138</f>
        <v>0</v>
      </c>
      <c r="E138" s="107">
        <f>PMT('Game Assumptions'!$B$6,'Game Assumptions'!$B$14,SUM('Game Assumptions'!$B$135:$B$136)*Reliability!E13)*-1+D138</f>
        <v>0</v>
      </c>
      <c r="F138" s="107">
        <f>PMT('Game Assumptions'!$B$6,'Game Assumptions'!$B$14,SUM('Game Assumptions'!$B$135:$B$136)*Reliability!F13)*-1+E138</f>
        <v>0</v>
      </c>
      <c r="G138" s="107">
        <f>PMT('Game Assumptions'!$B$6,'Game Assumptions'!$B$14,SUM('Game Assumptions'!$B$135:$B$136)*Reliability!G13)*-1+F138</f>
        <v>0</v>
      </c>
      <c r="H138" s="107">
        <f>PMT('Game Assumptions'!$B$6,'Game Assumptions'!$B$14,SUM('Game Assumptions'!$B$135:$B$136)*Reliability!H13)*-1+G138</f>
        <v>0</v>
      </c>
      <c r="I138" s="107">
        <f>PMT('Game Assumptions'!$B$6,'Game Assumptions'!$B$14,SUM('Game Assumptions'!$B$135:$B$136)*Reliability!I13)*-1+H138</f>
        <v>0</v>
      </c>
      <c r="J138" s="107">
        <f>PMT('Game Assumptions'!$B$6,'Game Assumptions'!$B$14,SUM('Game Assumptions'!$B$135:$B$136)*Reliability!J13)*-1+I138</f>
        <v>0</v>
      </c>
      <c r="K138" s="107">
        <f>PMT('Game Assumptions'!$B$6,'Game Assumptions'!$B$14,SUM('Game Assumptions'!$B$135:$B$136)*Reliability!K13)*-1+J138</f>
        <v>0</v>
      </c>
      <c r="L138" s="107">
        <f>PMT('Game Assumptions'!$B$6,'Game Assumptions'!$B$14,SUM('Game Assumptions'!$B$135:$B$136)*Reliability!L13)*-1+K138</f>
        <v>0</v>
      </c>
    </row>
    <row r="139" spans="1:12" x14ac:dyDescent="0.25">
      <c r="A139" s="22" t="s">
        <v>429</v>
      </c>
      <c r="B139" s="81"/>
      <c r="C139" s="81"/>
      <c r="D139" s="81"/>
      <c r="E139" s="81"/>
      <c r="F139" s="81"/>
      <c r="G139" s="81"/>
      <c r="H139" s="81"/>
      <c r="I139" s="81"/>
      <c r="J139" s="81"/>
      <c r="K139" s="81"/>
      <c r="L139" s="81"/>
    </row>
    <row r="140" spans="1:12" x14ac:dyDescent="0.25">
      <c r="A140" s="34" t="s">
        <v>80</v>
      </c>
      <c r="B140" s="45"/>
      <c r="C140" s="45"/>
      <c r="D140" s="45"/>
      <c r="E140" s="45"/>
      <c r="F140" s="45"/>
      <c r="G140" s="45"/>
      <c r="H140" s="45"/>
      <c r="I140" s="45"/>
      <c r="J140" s="45"/>
      <c r="K140" s="45"/>
      <c r="L140" s="45"/>
    </row>
    <row r="141" spans="1:12" x14ac:dyDescent="0.25">
      <c r="A141" s="52" t="s">
        <v>78</v>
      </c>
      <c r="B141" s="45"/>
      <c r="C141" s="45"/>
      <c r="D141" s="45"/>
      <c r="E141" s="45"/>
      <c r="F141" s="45"/>
      <c r="G141" s="45"/>
      <c r="H141" s="45"/>
      <c r="I141" s="45"/>
      <c r="J141" s="45"/>
      <c r="K141" s="45"/>
      <c r="L141" s="45"/>
    </row>
    <row r="142" spans="1:12" x14ac:dyDescent="0.25">
      <c r="A142" t="s">
        <v>55</v>
      </c>
      <c r="B142" s="25">
        <f t="shared" ref="B142:L142" si="15">B29</f>
        <v>87508900</v>
      </c>
      <c r="C142" s="25">
        <f t="shared" si="15"/>
        <v>78152500</v>
      </c>
      <c r="D142" s="25">
        <f t="shared" si="15"/>
        <v>78152500</v>
      </c>
      <c r="E142" s="25">
        <f t="shared" si="15"/>
        <v>31512500</v>
      </c>
      <c r="F142" s="25">
        <f t="shared" si="15"/>
        <v>31512500</v>
      </c>
      <c r="G142" s="25">
        <f t="shared" si="15"/>
        <v>28393700</v>
      </c>
      <c r="H142" s="25">
        <f t="shared" si="15"/>
        <v>28393700</v>
      </c>
      <c r="I142" s="25">
        <f t="shared" si="15"/>
        <v>28393700</v>
      </c>
      <c r="J142" s="25">
        <f t="shared" si="15"/>
        <v>28393700</v>
      </c>
      <c r="K142" s="25">
        <f t="shared" si="15"/>
        <v>28393700</v>
      </c>
      <c r="L142" s="25">
        <f t="shared" si="15"/>
        <v>28393700</v>
      </c>
    </row>
    <row r="143" spans="1:12" x14ac:dyDescent="0.25">
      <c r="A143" t="s">
        <v>56</v>
      </c>
      <c r="B143" s="25">
        <f t="shared" ref="B143:L143" si="16">B30</f>
        <v>34089442.200000003</v>
      </c>
      <c r="C143" s="25">
        <f t="shared" si="16"/>
        <v>33733932.299999997</v>
      </c>
      <c r="D143" s="25">
        <f t="shared" si="16"/>
        <v>38143545.299999997</v>
      </c>
      <c r="E143" s="25">
        <f t="shared" si="16"/>
        <v>33682681.799999997</v>
      </c>
      <c r="F143" s="25">
        <f t="shared" si="16"/>
        <v>33682681.799999997</v>
      </c>
      <c r="G143" s="25">
        <f t="shared" si="16"/>
        <v>31333249.800000001</v>
      </c>
      <c r="H143" s="25">
        <f t="shared" si="16"/>
        <v>31333249.800000001</v>
      </c>
      <c r="I143" s="25">
        <f t="shared" si="16"/>
        <v>31333249.800000001</v>
      </c>
      <c r="J143" s="25">
        <f t="shared" si="16"/>
        <v>31333249.800000001</v>
      </c>
      <c r="K143" s="25">
        <f t="shared" si="16"/>
        <v>31333249.800000001</v>
      </c>
      <c r="L143" s="25">
        <f t="shared" si="16"/>
        <v>31333249.800000001</v>
      </c>
    </row>
    <row r="144" spans="1:12" x14ac:dyDescent="0.25">
      <c r="A144" s="12" t="s">
        <v>57</v>
      </c>
      <c r="B144" s="99">
        <f t="shared" ref="B144:L144" si="17">B31</f>
        <v>156582030.59999999</v>
      </c>
      <c r="C144" s="99">
        <f t="shared" si="17"/>
        <v>160536709.80000001</v>
      </c>
      <c r="D144" s="99">
        <f t="shared" si="17"/>
        <v>167041593</v>
      </c>
      <c r="E144" s="99">
        <f t="shared" si="17"/>
        <v>150918418.80000001</v>
      </c>
      <c r="F144" s="99">
        <f t="shared" si="17"/>
        <v>150564690</v>
      </c>
      <c r="G144" s="99">
        <f t="shared" si="17"/>
        <v>142066789.19999999</v>
      </c>
      <c r="H144" s="99">
        <f t="shared" si="17"/>
        <v>154579748.40000001</v>
      </c>
      <c r="I144" s="99">
        <f t="shared" si="17"/>
        <v>167092707.59999999</v>
      </c>
      <c r="J144" s="99">
        <f t="shared" si="17"/>
        <v>174744918</v>
      </c>
      <c r="K144" s="99">
        <f t="shared" si="17"/>
        <v>179197407</v>
      </c>
      <c r="L144" s="99">
        <f t="shared" si="17"/>
        <v>184221748.79999998</v>
      </c>
    </row>
    <row r="145" spans="1:12" x14ac:dyDescent="0.25">
      <c r="A145" s="82" t="s">
        <v>217</v>
      </c>
      <c r="B145" s="35"/>
      <c r="C145" s="35"/>
      <c r="D145" s="35"/>
      <c r="E145" s="35"/>
      <c r="F145" s="35"/>
      <c r="G145" s="35"/>
      <c r="H145" s="35"/>
      <c r="I145" s="35"/>
      <c r="J145" s="35"/>
      <c r="K145" s="35"/>
      <c r="L145" s="35"/>
    </row>
    <row r="146" spans="1:12" x14ac:dyDescent="0.25">
      <c r="A146" s="71" t="s">
        <v>218</v>
      </c>
      <c r="B146" s="25">
        <f t="shared" ref="B146:L146" si="18">B33</f>
        <v>29791461.006910168</v>
      </c>
      <c r="C146" s="25">
        <f t="shared" si="18"/>
        <v>29791461.006910168</v>
      </c>
      <c r="D146" s="25">
        <f t="shared" si="18"/>
        <v>29791461.006910168</v>
      </c>
      <c r="E146" s="25">
        <f t="shared" si="18"/>
        <v>29791461.006910168</v>
      </c>
      <c r="F146" s="25">
        <f t="shared" si="18"/>
        <v>29791461.006910168</v>
      </c>
      <c r="G146" s="25">
        <f t="shared" si="18"/>
        <v>29791461.006910168</v>
      </c>
      <c r="H146" s="25">
        <f t="shared" si="18"/>
        <v>29791461.006910168</v>
      </c>
      <c r="I146" s="25">
        <f t="shared" si="18"/>
        <v>29791461.006910168</v>
      </c>
      <c r="J146" s="25">
        <f t="shared" si="18"/>
        <v>29791461.006910168</v>
      </c>
      <c r="K146" s="25">
        <f t="shared" si="18"/>
        <v>29791461.006910168</v>
      </c>
      <c r="L146" s="25">
        <f t="shared" si="18"/>
        <v>29791461.006910168</v>
      </c>
    </row>
    <row r="147" spans="1:12" x14ac:dyDescent="0.25">
      <c r="A147" s="72" t="s">
        <v>220</v>
      </c>
      <c r="B147" s="25">
        <f t="shared" ref="B147:L147" si="19">B34</f>
        <v>424000</v>
      </c>
      <c r="C147" s="25">
        <f t="shared" si="19"/>
        <v>424000</v>
      </c>
      <c r="D147" s="25">
        <f t="shared" si="19"/>
        <v>424000</v>
      </c>
      <c r="E147" s="25">
        <f t="shared" si="19"/>
        <v>424000</v>
      </c>
      <c r="F147" s="25">
        <f t="shared" si="19"/>
        <v>424000</v>
      </c>
      <c r="G147" s="25">
        <f t="shared" si="19"/>
        <v>424000</v>
      </c>
      <c r="H147" s="25">
        <f t="shared" si="19"/>
        <v>424000</v>
      </c>
      <c r="I147" s="25">
        <f t="shared" si="19"/>
        <v>424000</v>
      </c>
      <c r="J147" s="25">
        <f t="shared" si="19"/>
        <v>424000</v>
      </c>
      <c r="K147" s="25">
        <f t="shared" si="19"/>
        <v>424000</v>
      </c>
      <c r="L147" s="25">
        <f t="shared" si="19"/>
        <v>424000</v>
      </c>
    </row>
    <row r="148" spans="1:12" ht="15.75" thickBot="1" x14ac:dyDescent="0.3">
      <c r="A148" s="95" t="s">
        <v>257</v>
      </c>
      <c r="B148" s="96">
        <f>SUM(B122:B139,B142:B144,B146:B147)</f>
        <v>565962543.68557215</v>
      </c>
      <c r="C148" s="96">
        <f t="shared" ref="C148:L148" si="20">SUM(C122:C139,C142:C144,C146:C147)</f>
        <v>581421958.04624116</v>
      </c>
      <c r="D148" s="96">
        <f t="shared" si="20"/>
        <v>592336454.24624121</v>
      </c>
      <c r="E148" s="96">
        <f t="shared" si="20"/>
        <v>525112416.5462411</v>
      </c>
      <c r="F148" s="96">
        <f t="shared" si="20"/>
        <v>524758687.74624109</v>
      </c>
      <c r="G148" s="96">
        <f t="shared" si="20"/>
        <v>510792554.94624108</v>
      </c>
      <c r="H148" s="96">
        <f t="shared" si="20"/>
        <v>523305514.14624113</v>
      </c>
      <c r="I148" s="96">
        <f t="shared" si="20"/>
        <v>535818473.34624106</v>
      </c>
      <c r="J148" s="96">
        <f t="shared" si="20"/>
        <v>543470683.74624109</v>
      </c>
      <c r="K148" s="96">
        <f t="shared" si="20"/>
        <v>547923172.74624109</v>
      </c>
      <c r="L148" s="96">
        <f t="shared" si="20"/>
        <v>552947514.54624116</v>
      </c>
    </row>
    <row r="149" spans="1:12" ht="16.5" thickTop="1" thickBot="1" x14ac:dyDescent="0.3">
      <c r="A149" s="94" t="s">
        <v>259</v>
      </c>
      <c r="B149" s="97">
        <f t="shared" ref="B149:L149" si="21">B117-B148</f>
        <v>42433290.121337891</v>
      </c>
      <c r="C149" s="97">
        <f t="shared" si="21"/>
        <v>111100.93639266491</v>
      </c>
      <c r="D149" s="97">
        <f t="shared" si="21"/>
        <v>48144300.026014447</v>
      </c>
      <c r="E149" s="97">
        <f t="shared" si="21"/>
        <v>40069807.524945438</v>
      </c>
      <c r="F149" s="97">
        <f t="shared" si="21"/>
        <v>44765411.701014519</v>
      </c>
      <c r="G149" s="97">
        <f t="shared" si="21"/>
        <v>30356829.060807288</v>
      </c>
      <c r="H149" s="97">
        <f t="shared" si="21"/>
        <v>7130980.2844617367</v>
      </c>
      <c r="I149" s="97">
        <f t="shared" si="21"/>
        <v>45318400.98101455</v>
      </c>
      <c r="J149" s="97">
        <f t="shared" si="21"/>
        <v>16319771.772599936</v>
      </c>
      <c r="K149" s="97">
        <f t="shared" si="21"/>
        <v>1451052.348392725</v>
      </c>
      <c r="L149" s="97">
        <f t="shared" si="21"/>
        <v>21216645.060669065</v>
      </c>
    </row>
    <row r="150" spans="1:12" ht="16.5" thickTop="1" thickBot="1" x14ac:dyDescent="0.3">
      <c r="A150" s="94" t="s">
        <v>401</v>
      </c>
      <c r="B150" s="152">
        <f>B149/'Game Assumptions'!$B$17</f>
        <v>4.2433290121337892</v>
      </c>
      <c r="C150" s="152">
        <f>C149/'Game Assumptions'!$B$17</f>
        <v>1.111009363926649E-2</v>
      </c>
      <c r="D150" s="152">
        <f>D149/'Game Assumptions'!$B$17</f>
        <v>4.814430002601445</v>
      </c>
      <c r="E150" s="152">
        <f>E149/'Game Assumptions'!$B$17</f>
        <v>4.0069807524945436</v>
      </c>
      <c r="F150" s="152">
        <f>F149/'Game Assumptions'!$B$17</f>
        <v>4.4765411701014521</v>
      </c>
      <c r="G150" s="152">
        <f>G149/'Game Assumptions'!$B$17</f>
        <v>3.0356829060807287</v>
      </c>
      <c r="H150" s="152">
        <f>H149/'Game Assumptions'!$B$17</f>
        <v>0.71309802844617365</v>
      </c>
      <c r="I150" s="152">
        <f>I149/'Game Assumptions'!$B$17</f>
        <v>4.5318400981014548</v>
      </c>
      <c r="J150" s="152">
        <f>J149/'Game Assumptions'!$B$17</f>
        <v>1.6319771772599936</v>
      </c>
      <c r="K150" s="152">
        <f>K149/'Game Assumptions'!$B$17</f>
        <v>0.14510523483927251</v>
      </c>
      <c r="L150" s="152">
        <f>L149/'Game Assumptions'!$B$17</f>
        <v>2.1216645060669066</v>
      </c>
    </row>
    <row r="151" spans="1:12" ht="15.75" thickTop="1" x14ac:dyDescent="0.25"/>
    <row r="152" spans="1:12" x14ac:dyDescent="0.25">
      <c r="B152" s="18"/>
    </row>
    <row r="155" spans="1:12" x14ac:dyDescent="0.25">
      <c r="B155" s="6"/>
    </row>
  </sheetData>
  <conditionalFormatting sqref="A40:XFD40 A44:XFD49 A51:XFD53 A65:XFD65 B69:XFD74 B76:XFD78 A126:XFD131 A133:XFD135 A9:XFD9 A13:XFD18 A20:XFD22 A122:XFD122 B123:L123">
    <cfRule type="expression" dxfId="1" priority="3">
      <formula>$B$2="DR"</formula>
    </cfRule>
  </conditionalFormatting>
  <conditionalFormatting sqref="A69:A74 A76:A78">
    <cfRule type="expression" dxfId="0" priority="1">
      <formula>$B$2="DR"</formula>
    </cfRule>
  </conditionalFormatting>
  <pageMargins left="0.7" right="0.7" top="0.75" bottom="0.75" header="0.3" footer="0.3"/>
  <pageSetup orientation="portrait" r:id="rId1"/>
  <cellWatches>
    <cellWatch r="C98"/>
  </cellWatches>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tabColor theme="7"/>
  </sheetPr>
  <dimension ref="A1:M162"/>
  <sheetViews>
    <sheetView topLeftCell="A128" zoomScale="85" zoomScaleNormal="85" workbookViewId="0">
      <selection activeCell="C156" sqref="C156:L156"/>
    </sheetView>
  </sheetViews>
  <sheetFormatPr defaultRowHeight="15" x14ac:dyDescent="0.25"/>
  <cols>
    <col min="1" max="1" width="72.28515625" customWidth="1"/>
    <col min="2" max="2" width="15.28515625" bestFit="1" customWidth="1"/>
    <col min="3" max="5" width="9.7109375" bestFit="1" customWidth="1"/>
    <col min="6" max="6" width="37.140625" bestFit="1" customWidth="1"/>
    <col min="7" max="7" width="16" customWidth="1"/>
    <col min="8" max="9" width="9.7109375" bestFit="1" customWidth="1"/>
    <col min="10" max="10" width="27.7109375" bestFit="1" customWidth="1"/>
    <col min="11" max="11" width="9.7109375" bestFit="1" customWidth="1"/>
  </cols>
  <sheetData>
    <row r="1" spans="1:10" ht="19.5" thickBot="1" x14ac:dyDescent="0.35">
      <c r="A1" s="20" t="s">
        <v>14</v>
      </c>
      <c r="B1" s="20"/>
      <c r="C1" s="20"/>
      <c r="D1" s="20"/>
      <c r="E1" s="20"/>
      <c r="F1" s="20"/>
      <c r="G1" s="20"/>
    </row>
    <row r="2" spans="1:10" ht="15.75" thickBot="1" x14ac:dyDescent="0.3">
      <c r="A2" t="s">
        <v>118</v>
      </c>
      <c r="B2" s="92">
        <v>981814740.74492908</v>
      </c>
      <c r="C2" t="s">
        <v>235</v>
      </c>
    </row>
    <row r="3" spans="1:10" ht="15.75" thickBot="1" x14ac:dyDescent="0.3">
      <c r="A3" t="s">
        <v>119</v>
      </c>
      <c r="B3" s="92">
        <v>981814740.74492908</v>
      </c>
      <c r="C3" t="s">
        <v>235</v>
      </c>
      <c r="J3" s="93"/>
    </row>
    <row r="4" spans="1:10" ht="15.75" thickBot="1" x14ac:dyDescent="0.3">
      <c r="A4" t="s">
        <v>120</v>
      </c>
      <c r="B4" s="92">
        <v>981814740.74492908</v>
      </c>
      <c r="C4" t="s">
        <v>235</v>
      </c>
    </row>
    <row r="5" spans="1:10" ht="15.75" thickBot="1" x14ac:dyDescent="0.3">
      <c r="A5" t="s">
        <v>256</v>
      </c>
      <c r="B5" s="108">
        <v>0.08</v>
      </c>
      <c r="C5" t="s">
        <v>235</v>
      </c>
    </row>
    <row r="6" spans="1:10" ht="15.75" thickBot="1" x14ac:dyDescent="0.3">
      <c r="A6" t="s">
        <v>309</v>
      </c>
      <c r="B6" s="84">
        <v>0.05</v>
      </c>
      <c r="C6" t="s">
        <v>235</v>
      </c>
    </row>
    <row r="7" spans="1:10" x14ac:dyDescent="0.25">
      <c r="A7" t="s">
        <v>82</v>
      </c>
      <c r="B7" s="5">
        <v>0.25</v>
      </c>
    </row>
    <row r="8" spans="1:10" x14ac:dyDescent="0.25">
      <c r="A8" t="s">
        <v>115</v>
      </c>
      <c r="B8" s="7">
        <v>5</v>
      </c>
    </row>
    <row r="9" spans="1:10" ht="15.75" thickBot="1" x14ac:dyDescent="0.3">
      <c r="A9" t="s">
        <v>211</v>
      </c>
      <c r="B9" s="7">
        <v>100</v>
      </c>
    </row>
    <row r="10" spans="1:10" ht="15.75" thickBot="1" x14ac:dyDescent="0.3">
      <c r="A10" t="s">
        <v>234</v>
      </c>
      <c r="B10" s="84">
        <v>0.02</v>
      </c>
      <c r="C10" t="s">
        <v>235</v>
      </c>
    </row>
    <row r="11" spans="1:10" ht="15.75" thickBot="1" x14ac:dyDescent="0.3">
      <c r="A11" t="s">
        <v>253</v>
      </c>
      <c r="B11" s="90">
        <v>3.3000000000000002E-2</v>
      </c>
      <c r="C11" t="s">
        <v>235</v>
      </c>
    </row>
    <row r="12" spans="1:10" ht="15.75" thickBot="1" x14ac:dyDescent="0.3">
      <c r="A12" t="s">
        <v>254</v>
      </c>
      <c r="B12" s="90">
        <v>3.3000000000000002E-2</v>
      </c>
    </row>
    <row r="13" spans="1:10" ht="15.75" thickBot="1" x14ac:dyDescent="0.3">
      <c r="A13" t="s">
        <v>255</v>
      </c>
      <c r="B13" s="91">
        <v>3.3000000000000002E-2</v>
      </c>
      <c r="C13" t="s">
        <v>350</v>
      </c>
    </row>
    <row r="14" spans="1:10" x14ac:dyDescent="0.25">
      <c r="A14" t="s">
        <v>310</v>
      </c>
      <c r="B14" s="106">
        <v>20</v>
      </c>
      <c r="C14" s="65"/>
    </row>
    <row r="15" spans="1:10" x14ac:dyDescent="0.25">
      <c r="A15" t="s">
        <v>328</v>
      </c>
      <c r="B15" s="86">
        <v>0.1</v>
      </c>
      <c r="C15" s="65"/>
    </row>
    <row r="16" spans="1:10" x14ac:dyDescent="0.25">
      <c r="A16" t="s">
        <v>329</v>
      </c>
      <c r="B16" s="86">
        <v>0.03</v>
      </c>
      <c r="C16" s="65"/>
    </row>
    <row r="17" spans="1:11" x14ac:dyDescent="0.25">
      <c r="A17" t="s">
        <v>400</v>
      </c>
      <c r="B17" s="151">
        <f>10^7</f>
        <v>10000000</v>
      </c>
      <c r="C17" s="65"/>
    </row>
    <row r="18" spans="1:11" x14ac:dyDescent="0.25">
      <c r="B18" s="86"/>
      <c r="C18" s="65"/>
    </row>
    <row r="19" spans="1:11" ht="18.75" x14ac:dyDescent="0.3">
      <c r="A19" s="20" t="s">
        <v>294</v>
      </c>
      <c r="B19" s="101"/>
      <c r="C19" s="65"/>
    </row>
    <row r="20" spans="1:11" x14ac:dyDescent="0.25">
      <c r="A20" t="s">
        <v>291</v>
      </c>
      <c r="B20" s="7">
        <v>3</v>
      </c>
      <c r="C20" s="65"/>
    </row>
    <row r="21" spans="1:11" x14ac:dyDescent="0.25">
      <c r="A21" t="s">
        <v>295</v>
      </c>
      <c r="B21" s="5">
        <v>0.05</v>
      </c>
    </row>
    <row r="22" spans="1:11" x14ac:dyDescent="0.25">
      <c r="A22" t="s">
        <v>297</v>
      </c>
      <c r="B22" s="18">
        <v>0.2</v>
      </c>
    </row>
    <row r="23" spans="1:11" ht="15.75" thickBot="1" x14ac:dyDescent="0.3">
      <c r="A23" t="s">
        <v>395</v>
      </c>
      <c r="B23" s="7">
        <v>5</v>
      </c>
    </row>
    <row r="24" spans="1:11" ht="15.75" thickBot="1" x14ac:dyDescent="0.3">
      <c r="A24" t="s">
        <v>408</v>
      </c>
      <c r="B24" s="156">
        <v>100</v>
      </c>
    </row>
    <row r="26" spans="1:11" ht="18.75" x14ac:dyDescent="0.3">
      <c r="A26" s="20" t="s">
        <v>59</v>
      </c>
      <c r="B26" s="21"/>
      <c r="C26" s="21"/>
      <c r="D26" s="21"/>
      <c r="E26" s="21"/>
      <c r="F26" s="21"/>
      <c r="G26" s="21"/>
      <c r="H26" s="21"/>
      <c r="I26" s="21"/>
      <c r="J26" s="21"/>
      <c r="K26" s="21"/>
    </row>
    <row r="27" spans="1:11" x14ac:dyDescent="0.25">
      <c r="A27" s="9" t="s">
        <v>48</v>
      </c>
      <c r="B27" s="9"/>
      <c r="F27" s="9" t="s">
        <v>50</v>
      </c>
      <c r="G27" s="9"/>
      <c r="J27" s="9" t="s">
        <v>134</v>
      </c>
      <c r="K27" s="3"/>
    </row>
    <row r="28" spans="1:11" x14ac:dyDescent="0.25">
      <c r="A28" t="s">
        <v>7</v>
      </c>
      <c r="B28">
        <v>40</v>
      </c>
      <c r="C28" t="s">
        <v>25</v>
      </c>
      <c r="F28" t="s">
        <v>7</v>
      </c>
      <c r="G28" s="7">
        <f>AVERAGE(3000,8400)*1000</f>
        <v>5700000</v>
      </c>
      <c r="H28" t="s">
        <v>25</v>
      </c>
      <c r="J28" t="s">
        <v>7</v>
      </c>
      <c r="K28">
        <v>1.075</v>
      </c>
    </row>
    <row r="29" spans="1:11" x14ac:dyDescent="0.25">
      <c r="A29" t="s">
        <v>8</v>
      </c>
      <c r="B29">
        <v>20</v>
      </c>
      <c r="C29" t="s">
        <v>25</v>
      </c>
      <c r="F29" t="s">
        <v>8</v>
      </c>
      <c r="G29" s="7">
        <f>AVERAGE(1000,1300)*1000</f>
        <v>1150000</v>
      </c>
      <c r="H29" t="s">
        <v>25</v>
      </c>
      <c r="J29" t="s">
        <v>8</v>
      </c>
      <c r="K29">
        <v>0.60499999999999998</v>
      </c>
    </row>
    <row r="30" spans="1:11" x14ac:dyDescent="0.25">
      <c r="A30" t="s">
        <v>13</v>
      </c>
      <c r="B30">
        <v>40</v>
      </c>
      <c r="C30" t="s">
        <v>25</v>
      </c>
      <c r="F30" t="s">
        <v>13</v>
      </c>
      <c r="G30" s="7">
        <f>AVERAGE(5400,8200)*1000</f>
        <v>6800000</v>
      </c>
      <c r="H30" t="s">
        <v>25</v>
      </c>
      <c r="J30" t="s">
        <v>13</v>
      </c>
      <c r="K30">
        <v>0</v>
      </c>
    </row>
    <row r="31" spans="1:11" x14ac:dyDescent="0.25">
      <c r="A31" t="s">
        <v>9</v>
      </c>
      <c r="B31">
        <v>30</v>
      </c>
      <c r="C31" t="s">
        <v>25</v>
      </c>
      <c r="F31" t="s">
        <v>9</v>
      </c>
      <c r="G31" s="7">
        <f>AVERAGE(1750,1500,1600,1400)*1000</f>
        <v>1562500</v>
      </c>
      <c r="H31" t="s">
        <v>25</v>
      </c>
      <c r="J31" t="s">
        <v>9</v>
      </c>
      <c r="K31">
        <v>0</v>
      </c>
    </row>
    <row r="32" spans="1:11" x14ac:dyDescent="0.25">
      <c r="A32" t="s">
        <v>10</v>
      </c>
      <c r="B32">
        <v>20</v>
      </c>
      <c r="C32" t="s">
        <v>25</v>
      </c>
      <c r="F32" t="s">
        <v>10</v>
      </c>
      <c r="G32" s="7">
        <f>AVERAGE(1250,1700)*1000</f>
        <v>1475000</v>
      </c>
      <c r="H32" t="s">
        <v>25</v>
      </c>
      <c r="J32" t="s">
        <v>10</v>
      </c>
      <c r="K32">
        <v>0</v>
      </c>
    </row>
    <row r="33" spans="1:11" x14ac:dyDescent="0.25">
      <c r="A33" t="s">
        <v>11</v>
      </c>
      <c r="B33">
        <v>60</v>
      </c>
      <c r="C33" t="s">
        <v>49</v>
      </c>
      <c r="F33" t="s">
        <v>11</v>
      </c>
      <c r="G33" s="7">
        <v>2936000</v>
      </c>
      <c r="H33" t="s">
        <v>318</v>
      </c>
      <c r="J33" t="s">
        <v>11</v>
      </c>
      <c r="K33">
        <v>0</v>
      </c>
    </row>
    <row r="34" spans="1:11" x14ac:dyDescent="0.25">
      <c r="A34" t="s">
        <v>12</v>
      </c>
      <c r="B34">
        <v>10</v>
      </c>
      <c r="C34" t="s">
        <v>49</v>
      </c>
      <c r="F34" t="s">
        <v>12</v>
      </c>
      <c r="G34" s="7">
        <f>0.054*1000*8760</f>
        <v>473040</v>
      </c>
      <c r="H34" t="s">
        <v>322</v>
      </c>
      <c r="J34" t="s">
        <v>12</v>
      </c>
      <c r="K34">
        <v>0</v>
      </c>
    </row>
    <row r="35" spans="1:11" x14ac:dyDescent="0.25">
      <c r="A35" t="s">
        <v>316</v>
      </c>
      <c r="B35" t="s">
        <v>320</v>
      </c>
      <c r="F35" t="s">
        <v>316</v>
      </c>
      <c r="G35" s="7">
        <f>900*1000</f>
        <v>900000</v>
      </c>
      <c r="H35" t="s">
        <v>25</v>
      </c>
    </row>
    <row r="36" spans="1:11" x14ac:dyDescent="0.25">
      <c r="A36" t="s">
        <v>317</v>
      </c>
      <c r="B36" t="s">
        <v>320</v>
      </c>
      <c r="F36" t="s">
        <v>317</v>
      </c>
      <c r="G36" s="7">
        <f>AVERAGE(513,1263)*1000*100/25</f>
        <v>3552000</v>
      </c>
      <c r="H36" t="s">
        <v>25</v>
      </c>
    </row>
    <row r="37" spans="1:11" x14ac:dyDescent="0.25">
      <c r="A37" t="s">
        <v>154</v>
      </c>
      <c r="B37" t="s">
        <v>320</v>
      </c>
      <c r="F37" t="s">
        <v>154</v>
      </c>
      <c r="G37" s="7">
        <v>5288000</v>
      </c>
      <c r="H37" t="s">
        <v>318</v>
      </c>
    </row>
    <row r="38" spans="1:11" x14ac:dyDescent="0.25">
      <c r="A38" t="s">
        <v>300</v>
      </c>
      <c r="B38">
        <v>10</v>
      </c>
      <c r="C38" t="s">
        <v>321</v>
      </c>
      <c r="F38" t="s">
        <v>300</v>
      </c>
      <c r="G38" s="7">
        <f>2.74*1000*B38</f>
        <v>27400</v>
      </c>
      <c r="H38" t="s">
        <v>25</v>
      </c>
    </row>
    <row r="40" spans="1:11" x14ac:dyDescent="0.25">
      <c r="A40" s="9" t="s">
        <v>51</v>
      </c>
      <c r="B40" s="9"/>
      <c r="F40" s="9" t="s">
        <v>58</v>
      </c>
      <c r="G40" s="3"/>
      <c r="J40" s="9" t="s">
        <v>263</v>
      </c>
      <c r="K40" s="3"/>
    </row>
    <row r="41" spans="1:11" x14ac:dyDescent="0.25">
      <c r="A41" t="s">
        <v>7</v>
      </c>
      <c r="B41" s="19">
        <v>31188</v>
      </c>
      <c r="C41" t="s">
        <v>25</v>
      </c>
      <c r="F41" t="s">
        <v>7</v>
      </c>
      <c r="G41" s="15">
        <v>4.47</v>
      </c>
      <c r="H41" t="s">
        <v>25</v>
      </c>
      <c r="J41" t="s">
        <v>7</v>
      </c>
      <c r="K41" s="16">
        <v>500</v>
      </c>
    </row>
    <row r="42" spans="1:11" x14ac:dyDescent="0.25">
      <c r="A42" t="s">
        <v>8</v>
      </c>
      <c r="B42" s="19">
        <v>11429</v>
      </c>
      <c r="C42" t="s">
        <v>25</v>
      </c>
      <c r="F42" t="s">
        <v>8</v>
      </c>
      <c r="G42" s="15">
        <v>6.63</v>
      </c>
      <c r="H42" t="s">
        <v>25</v>
      </c>
      <c r="J42" t="s">
        <v>8</v>
      </c>
      <c r="K42" s="16">
        <v>1200</v>
      </c>
    </row>
    <row r="43" spans="1:11" ht="15.75" thickBot="1" x14ac:dyDescent="0.3">
      <c r="A43" t="s">
        <v>13</v>
      </c>
      <c r="B43" s="19">
        <v>93280</v>
      </c>
      <c r="C43" t="s">
        <v>25</v>
      </c>
      <c r="F43" t="s">
        <v>13</v>
      </c>
      <c r="G43" s="15">
        <v>2.14</v>
      </c>
      <c r="H43" t="s">
        <v>25</v>
      </c>
      <c r="J43" t="s">
        <v>13</v>
      </c>
      <c r="K43" s="16">
        <v>500</v>
      </c>
    </row>
    <row r="44" spans="1:11" ht="15.75" thickBot="1" x14ac:dyDescent="0.3">
      <c r="A44" t="s">
        <v>9</v>
      </c>
      <c r="B44" s="19">
        <v>24690</v>
      </c>
      <c r="C44" t="s">
        <v>25</v>
      </c>
      <c r="F44" t="s">
        <v>9</v>
      </c>
      <c r="G44" s="63">
        <v>0.01</v>
      </c>
      <c r="H44" s="4" t="s">
        <v>136</v>
      </c>
      <c r="J44" t="s">
        <v>9</v>
      </c>
      <c r="K44" s="16">
        <v>30</v>
      </c>
    </row>
    <row r="45" spans="1:11" ht="15.75" thickBot="1" x14ac:dyDescent="0.3">
      <c r="A45" t="s">
        <v>10</v>
      </c>
      <c r="B45" s="19">
        <v>39550</v>
      </c>
      <c r="C45" t="s">
        <v>25</v>
      </c>
      <c r="F45" t="s">
        <v>10</v>
      </c>
      <c r="G45" s="63">
        <v>0.02</v>
      </c>
      <c r="H45" s="4" t="s">
        <v>136</v>
      </c>
      <c r="J45" t="s">
        <v>10</v>
      </c>
      <c r="K45" s="16">
        <v>30</v>
      </c>
    </row>
    <row r="46" spans="1:11" x14ac:dyDescent="0.25">
      <c r="A46" t="s">
        <v>11</v>
      </c>
      <c r="B46" s="19">
        <v>14130</v>
      </c>
      <c r="C46" t="s">
        <v>318</v>
      </c>
      <c r="F46" t="s">
        <v>11</v>
      </c>
      <c r="G46" s="15">
        <v>7</v>
      </c>
      <c r="H46" t="s">
        <v>24</v>
      </c>
      <c r="J46" t="s">
        <v>11</v>
      </c>
      <c r="K46" s="16">
        <v>30</v>
      </c>
    </row>
    <row r="47" spans="1:11" x14ac:dyDescent="0.25">
      <c r="A47" t="s">
        <v>12</v>
      </c>
      <c r="B47" s="19">
        <v>0</v>
      </c>
      <c r="C47" t="s">
        <v>25</v>
      </c>
      <c r="F47" t="s">
        <v>12</v>
      </c>
      <c r="G47" s="15">
        <v>0</v>
      </c>
      <c r="H47" s="4"/>
      <c r="J47" t="s">
        <v>261</v>
      </c>
      <c r="K47" s="16">
        <v>10</v>
      </c>
    </row>
    <row r="48" spans="1:11" x14ac:dyDescent="0.25">
      <c r="A48" t="s">
        <v>316</v>
      </c>
      <c r="B48" s="7">
        <f>AVERAGE(5,25)*1000</f>
        <v>15000</v>
      </c>
      <c r="J48" t="s">
        <v>262</v>
      </c>
      <c r="K48" s="16">
        <v>10</v>
      </c>
    </row>
    <row r="49" spans="1:11" x14ac:dyDescent="0.25">
      <c r="A49" t="s">
        <v>317</v>
      </c>
      <c r="B49" s="7">
        <v>0</v>
      </c>
      <c r="C49" t="s">
        <v>25</v>
      </c>
      <c r="J49" t="s">
        <v>399</v>
      </c>
      <c r="K49" s="16">
        <v>10</v>
      </c>
    </row>
    <row r="50" spans="1:11" x14ac:dyDescent="0.25">
      <c r="A50" t="s">
        <v>154</v>
      </c>
      <c r="B50" s="7">
        <v>18000</v>
      </c>
      <c r="C50" t="s">
        <v>318</v>
      </c>
      <c r="K50" s="16"/>
    </row>
    <row r="51" spans="1:11" x14ac:dyDescent="0.25">
      <c r="A51" t="s">
        <v>300</v>
      </c>
      <c r="B51" s="7">
        <f>22.18*1000</f>
        <v>22180</v>
      </c>
      <c r="C51" t="s">
        <v>319</v>
      </c>
      <c r="K51" s="16"/>
    </row>
    <row r="52" spans="1:11" x14ac:dyDescent="0.25">
      <c r="K52" s="16"/>
    </row>
    <row r="53" spans="1:11" x14ac:dyDescent="0.25">
      <c r="A53" s="9" t="s">
        <v>63</v>
      </c>
      <c r="B53" s="9"/>
      <c r="F53" s="9" t="s">
        <v>97</v>
      </c>
      <c r="G53" s="3"/>
      <c r="H53" s="3"/>
    </row>
    <row r="54" spans="1:11" x14ac:dyDescent="0.25">
      <c r="A54" t="s">
        <v>7</v>
      </c>
      <c r="B54">
        <v>10.375</v>
      </c>
      <c r="C54" t="s">
        <v>25</v>
      </c>
      <c r="G54" t="s">
        <v>98</v>
      </c>
      <c r="H54" t="s">
        <v>99</v>
      </c>
    </row>
    <row r="55" spans="1:11" x14ac:dyDescent="0.25">
      <c r="A55" t="s">
        <v>8</v>
      </c>
      <c r="B55">
        <v>6.8</v>
      </c>
      <c r="C55" t="s">
        <v>25</v>
      </c>
      <c r="F55" t="s">
        <v>7</v>
      </c>
      <c r="G55">
        <v>0.6</v>
      </c>
      <c r="H55">
        <v>0.75</v>
      </c>
    </row>
    <row r="56" spans="1:11" x14ac:dyDescent="0.25">
      <c r="A56" t="s">
        <v>13</v>
      </c>
      <c r="B56">
        <v>10.45</v>
      </c>
      <c r="C56" t="s">
        <v>25</v>
      </c>
      <c r="F56" t="s">
        <v>8</v>
      </c>
      <c r="G56">
        <v>0.4</v>
      </c>
      <c r="H56">
        <v>0.85</v>
      </c>
    </row>
    <row r="57" spans="1:11" x14ac:dyDescent="0.25">
      <c r="A57" t="s">
        <v>9</v>
      </c>
      <c r="B57">
        <v>0</v>
      </c>
      <c r="C57" t="s">
        <v>25</v>
      </c>
      <c r="F57" t="s">
        <v>13</v>
      </c>
      <c r="G57">
        <v>0.9</v>
      </c>
      <c r="H57">
        <v>0.9</v>
      </c>
    </row>
    <row r="58" spans="1:11" x14ac:dyDescent="0.25">
      <c r="A58" t="s">
        <v>10</v>
      </c>
      <c r="B58">
        <v>0</v>
      </c>
      <c r="C58" t="s">
        <v>25</v>
      </c>
      <c r="F58" t="s">
        <v>9</v>
      </c>
      <c r="G58">
        <v>0.25</v>
      </c>
      <c r="H58">
        <v>0.25</v>
      </c>
    </row>
    <row r="59" spans="1:11" x14ac:dyDescent="0.25">
      <c r="A59" t="s">
        <v>11</v>
      </c>
      <c r="B59">
        <v>0</v>
      </c>
      <c r="C59" t="s">
        <v>25</v>
      </c>
      <c r="F59" t="s">
        <v>10</v>
      </c>
      <c r="G59">
        <v>0.3</v>
      </c>
      <c r="H59">
        <v>0.3</v>
      </c>
    </row>
    <row r="60" spans="1:11" x14ac:dyDescent="0.25">
      <c r="A60" t="s">
        <v>12</v>
      </c>
      <c r="B60">
        <v>0</v>
      </c>
      <c r="C60" t="s">
        <v>25</v>
      </c>
      <c r="F60" t="s">
        <v>11</v>
      </c>
      <c r="G60">
        <v>0.6</v>
      </c>
      <c r="H60">
        <v>0.6</v>
      </c>
    </row>
    <row r="61" spans="1:11" x14ac:dyDescent="0.25">
      <c r="F61" t="s">
        <v>261</v>
      </c>
      <c r="G61">
        <v>1</v>
      </c>
      <c r="H61">
        <v>1</v>
      </c>
    </row>
    <row r="62" spans="1:11" x14ac:dyDescent="0.25">
      <c r="F62" t="s">
        <v>262</v>
      </c>
      <c r="G62">
        <v>1</v>
      </c>
      <c r="H62">
        <v>1</v>
      </c>
    </row>
    <row r="63" spans="1:11" x14ac:dyDescent="0.25">
      <c r="F63" t="s">
        <v>399</v>
      </c>
      <c r="G63">
        <v>0.25</v>
      </c>
      <c r="H63">
        <v>0.25</v>
      </c>
    </row>
    <row r="66" spans="1:13" ht="18.75" x14ac:dyDescent="0.3">
      <c r="A66" s="20" t="s">
        <v>61</v>
      </c>
      <c r="B66" s="21"/>
      <c r="C66" s="21"/>
      <c r="D66" s="21"/>
      <c r="E66" s="21"/>
      <c r="F66" s="21"/>
      <c r="G66" s="21"/>
      <c r="H66" s="21"/>
      <c r="I66" s="21"/>
      <c r="J66" s="21"/>
      <c r="K66" s="21"/>
      <c r="L66" s="21"/>
      <c r="M66" s="21"/>
    </row>
    <row r="67" spans="1:13" x14ac:dyDescent="0.25">
      <c r="A67" s="1" t="s">
        <v>19</v>
      </c>
      <c r="B67" s="1">
        <v>0</v>
      </c>
      <c r="C67" s="1">
        <v>1</v>
      </c>
      <c r="D67" s="1">
        <v>2</v>
      </c>
      <c r="E67" s="1">
        <v>3</v>
      </c>
      <c r="F67" s="1">
        <v>4</v>
      </c>
      <c r="G67" s="1">
        <v>5</v>
      </c>
      <c r="H67" s="1">
        <v>6</v>
      </c>
      <c r="I67" s="1">
        <v>7</v>
      </c>
      <c r="J67" s="1">
        <v>8</v>
      </c>
      <c r="K67" s="1">
        <v>9</v>
      </c>
      <c r="L67" s="1">
        <v>10</v>
      </c>
      <c r="M67" s="1" t="s">
        <v>23</v>
      </c>
    </row>
    <row r="68" spans="1:13" x14ac:dyDescent="0.25">
      <c r="A68" t="s">
        <v>16</v>
      </c>
      <c r="B68">
        <v>2.34</v>
      </c>
      <c r="C68">
        <v>2.27</v>
      </c>
      <c r="D68">
        <v>2.2599999999999998</v>
      </c>
      <c r="E68">
        <v>2.25</v>
      </c>
      <c r="F68">
        <v>2.27</v>
      </c>
      <c r="G68">
        <v>2.2999999999999998</v>
      </c>
      <c r="H68">
        <v>2.34</v>
      </c>
      <c r="I68">
        <v>2.38</v>
      </c>
      <c r="J68">
        <v>2.42</v>
      </c>
      <c r="K68">
        <v>2.4500000000000002</v>
      </c>
      <c r="L68">
        <v>2.48</v>
      </c>
      <c r="M68" t="s">
        <v>24</v>
      </c>
    </row>
    <row r="69" spans="1:13" x14ac:dyDescent="0.25">
      <c r="A69" t="s">
        <v>17</v>
      </c>
      <c r="B69">
        <v>4.4000000000000004</v>
      </c>
      <c r="C69">
        <v>5.04</v>
      </c>
      <c r="D69">
        <v>4.38</v>
      </c>
      <c r="E69">
        <v>4.42</v>
      </c>
      <c r="F69">
        <v>4.4000000000000004</v>
      </c>
      <c r="G69">
        <v>4.53</v>
      </c>
      <c r="H69">
        <v>4.96</v>
      </c>
      <c r="I69">
        <v>5.39</v>
      </c>
      <c r="J69">
        <v>5.65</v>
      </c>
      <c r="K69">
        <v>5.8</v>
      </c>
      <c r="L69">
        <v>5.97</v>
      </c>
      <c r="M69" t="s">
        <v>24</v>
      </c>
    </row>
    <row r="70" spans="1:13" x14ac:dyDescent="0.25">
      <c r="A70" t="s">
        <v>18</v>
      </c>
      <c r="B70" s="10">
        <v>0.85</v>
      </c>
      <c r="C70" s="10">
        <v>0.85</v>
      </c>
      <c r="D70" s="10">
        <v>0.85</v>
      </c>
      <c r="E70" s="10">
        <v>0.85</v>
      </c>
      <c r="F70" s="10">
        <v>0.85</v>
      </c>
      <c r="G70" s="10">
        <v>0.85</v>
      </c>
      <c r="H70" s="10">
        <v>0.85</v>
      </c>
      <c r="I70" s="10">
        <v>0.85</v>
      </c>
      <c r="J70" s="10">
        <v>0.85</v>
      </c>
      <c r="K70" s="10">
        <v>0.85</v>
      </c>
      <c r="L70" s="10">
        <v>0.85</v>
      </c>
      <c r="M70" s="10" t="s">
        <v>25</v>
      </c>
    </row>
    <row r="72" spans="1:13" ht="19.5" thickBot="1" x14ac:dyDescent="0.35">
      <c r="A72" s="20" t="s">
        <v>90</v>
      </c>
      <c r="B72" s="21"/>
      <c r="C72" s="21"/>
    </row>
    <row r="73" spans="1:13" ht="15.75" thickBot="1" x14ac:dyDescent="0.3">
      <c r="A73" s="42" t="s">
        <v>91</v>
      </c>
      <c r="B73" s="48">
        <v>0.02</v>
      </c>
      <c r="C73" t="s">
        <v>103</v>
      </c>
    </row>
    <row r="74" spans="1:13" x14ac:dyDescent="0.25">
      <c r="A74" s="43" t="s">
        <v>93</v>
      </c>
      <c r="B74" s="18">
        <v>0.15</v>
      </c>
      <c r="C74" t="s">
        <v>94</v>
      </c>
    </row>
    <row r="75" spans="1:13" ht="15.75" thickBot="1" x14ac:dyDescent="0.3">
      <c r="A75" s="43" t="s">
        <v>92</v>
      </c>
      <c r="B75" s="44">
        <v>0.5</v>
      </c>
    </row>
    <row r="76" spans="1:13" ht="15.75" thickBot="1" x14ac:dyDescent="0.3">
      <c r="A76" t="s">
        <v>229</v>
      </c>
      <c r="B76" s="48">
        <v>0.05</v>
      </c>
      <c r="C76" t="s">
        <v>230</v>
      </c>
    </row>
    <row r="77" spans="1:13" ht="15.75" thickBot="1" x14ac:dyDescent="0.3">
      <c r="A77" t="s">
        <v>237</v>
      </c>
      <c r="B77" s="86">
        <v>5.8000000000000003E-2</v>
      </c>
      <c r="C77" s="65" t="s">
        <v>236</v>
      </c>
    </row>
    <row r="78" spans="1:13" ht="15.75" thickBot="1" x14ac:dyDescent="0.3">
      <c r="A78" t="s">
        <v>387</v>
      </c>
      <c r="B78" s="146">
        <v>0.03</v>
      </c>
      <c r="C78" t="s">
        <v>235</v>
      </c>
    </row>
    <row r="80" spans="1:13" ht="18.75" x14ac:dyDescent="0.3">
      <c r="A80" s="20" t="s">
        <v>79</v>
      </c>
      <c r="B80" s="20"/>
      <c r="C80" s="20"/>
      <c r="D80" s="20"/>
      <c r="E80" s="20"/>
      <c r="F80" s="20"/>
      <c r="G80" s="20"/>
      <c r="H80" s="20"/>
      <c r="I80" s="20"/>
      <c r="J80" s="20"/>
      <c r="K80" s="20"/>
      <c r="L80" s="21"/>
    </row>
    <row r="81" spans="1:12" x14ac:dyDescent="0.25">
      <c r="A81" s="9" t="s">
        <v>238</v>
      </c>
      <c r="B81" s="9">
        <v>0</v>
      </c>
      <c r="C81" s="9">
        <v>1</v>
      </c>
      <c r="D81" s="9">
        <v>2</v>
      </c>
      <c r="E81" s="9">
        <v>3</v>
      </c>
      <c r="F81" s="9">
        <v>4</v>
      </c>
      <c r="G81" s="9">
        <v>5</v>
      </c>
      <c r="H81" s="9">
        <v>6</v>
      </c>
      <c r="I81" s="9">
        <v>7</v>
      </c>
      <c r="J81" s="9">
        <v>8</v>
      </c>
      <c r="K81" s="9">
        <v>9</v>
      </c>
      <c r="L81" s="9">
        <v>10</v>
      </c>
    </row>
    <row r="82" spans="1:12" x14ac:dyDescent="0.25">
      <c r="A82" t="s">
        <v>239</v>
      </c>
      <c r="B82" s="16">
        <f>8000000</f>
        <v>8000000</v>
      </c>
      <c r="C82" s="16">
        <f t="shared" ref="C82:L82" si="0">8000000</f>
        <v>8000000</v>
      </c>
      <c r="D82" s="16">
        <f t="shared" si="0"/>
        <v>8000000</v>
      </c>
      <c r="E82" s="16">
        <f t="shared" si="0"/>
        <v>8000000</v>
      </c>
      <c r="F82" s="16">
        <f t="shared" si="0"/>
        <v>8000000</v>
      </c>
      <c r="G82" s="16">
        <f t="shared" si="0"/>
        <v>8000000</v>
      </c>
      <c r="H82" s="16">
        <f t="shared" si="0"/>
        <v>8000000</v>
      </c>
      <c r="I82" s="16">
        <f t="shared" si="0"/>
        <v>8000000</v>
      </c>
      <c r="J82" s="16">
        <f t="shared" si="0"/>
        <v>8000000</v>
      </c>
      <c r="K82" s="16">
        <f t="shared" si="0"/>
        <v>8000000</v>
      </c>
      <c r="L82" s="16">
        <f t="shared" si="0"/>
        <v>8000000</v>
      </c>
    </row>
    <row r="83" spans="1:12" x14ac:dyDescent="0.25">
      <c r="A83" s="16"/>
      <c r="B83" s="16"/>
      <c r="C83" s="16"/>
      <c r="D83" s="16"/>
      <c r="E83" s="16"/>
      <c r="F83" s="16"/>
      <c r="G83" s="16"/>
      <c r="H83" s="16"/>
      <c r="I83" s="16"/>
      <c r="J83" s="16"/>
      <c r="K83" s="16"/>
    </row>
    <row r="84" spans="1:12" x14ac:dyDescent="0.25">
      <c r="A84" s="87" t="s">
        <v>243</v>
      </c>
      <c r="B84" s="87">
        <v>2010</v>
      </c>
      <c r="C84" s="87">
        <v>2011</v>
      </c>
      <c r="D84" s="87">
        <v>2012</v>
      </c>
      <c r="E84" s="87">
        <v>2013</v>
      </c>
      <c r="F84" s="87">
        <v>2014</v>
      </c>
      <c r="G84" s="16"/>
      <c r="H84" s="16"/>
      <c r="I84" s="16"/>
      <c r="J84" s="16"/>
      <c r="K84" s="16"/>
    </row>
    <row r="85" spans="1:12" x14ac:dyDescent="0.25">
      <c r="A85" s="16" t="s">
        <v>240</v>
      </c>
      <c r="B85" s="16">
        <v>1445708</v>
      </c>
      <c r="C85" s="16">
        <v>1422801</v>
      </c>
      <c r="D85" s="16">
        <v>1374515</v>
      </c>
      <c r="E85" s="16">
        <v>1394812</v>
      </c>
      <c r="F85" s="16">
        <v>1407208</v>
      </c>
      <c r="G85" s="16"/>
      <c r="H85" s="16"/>
      <c r="I85" s="16"/>
      <c r="J85" s="16"/>
      <c r="K85" s="16"/>
    </row>
    <row r="86" spans="1:12" x14ac:dyDescent="0.25">
      <c r="A86" s="16" t="s">
        <v>241</v>
      </c>
      <c r="B86" s="16">
        <v>1330199</v>
      </c>
      <c r="C86" s="16">
        <v>1328057</v>
      </c>
      <c r="D86" s="16">
        <v>1327101</v>
      </c>
      <c r="E86" s="16">
        <v>1337079</v>
      </c>
      <c r="F86" s="16">
        <v>1352158</v>
      </c>
      <c r="G86" s="16"/>
      <c r="H86" s="16"/>
      <c r="I86" s="16"/>
      <c r="J86" s="16"/>
      <c r="K86" s="16"/>
    </row>
    <row r="87" spans="1:12" x14ac:dyDescent="0.25">
      <c r="A87" s="16" t="s">
        <v>242</v>
      </c>
      <c r="B87" s="16">
        <v>971221</v>
      </c>
      <c r="C87" s="16">
        <v>991316</v>
      </c>
      <c r="D87" s="16">
        <v>985714</v>
      </c>
      <c r="E87" s="16">
        <v>985352</v>
      </c>
      <c r="F87" s="16">
        <v>997576</v>
      </c>
      <c r="G87" s="16"/>
      <c r="H87" s="16"/>
      <c r="I87" s="16"/>
      <c r="J87" s="16"/>
      <c r="K87" s="16"/>
    </row>
    <row r="88" spans="1:12" x14ac:dyDescent="0.25">
      <c r="A88" s="16"/>
      <c r="B88" s="16"/>
      <c r="C88" s="16"/>
      <c r="D88" s="16"/>
      <c r="E88" s="16"/>
      <c r="F88" s="16"/>
      <c r="G88" s="16"/>
      <c r="H88" s="16"/>
      <c r="I88" s="16"/>
      <c r="J88" s="16"/>
      <c r="K88" s="16"/>
    </row>
    <row r="89" spans="1:12" x14ac:dyDescent="0.25">
      <c r="A89" s="87" t="s">
        <v>244</v>
      </c>
      <c r="B89" s="87">
        <v>2010</v>
      </c>
      <c r="C89" s="87">
        <v>2011</v>
      </c>
      <c r="D89" s="87">
        <v>2012</v>
      </c>
      <c r="E89" s="87">
        <v>2013</v>
      </c>
      <c r="F89" s="87">
        <v>2014</v>
      </c>
      <c r="G89" s="87" t="s">
        <v>98</v>
      </c>
      <c r="H89" s="16"/>
      <c r="I89" s="16"/>
      <c r="J89" s="16"/>
      <c r="K89" s="16"/>
    </row>
    <row r="90" spans="1:12" x14ac:dyDescent="0.25">
      <c r="A90" s="16" t="s">
        <v>240</v>
      </c>
      <c r="B90" s="5">
        <f>B85/SUM(B$85:B$87)</f>
        <v>0.38581761818651511</v>
      </c>
      <c r="C90" s="5">
        <f t="shared" ref="C90:F90" si="1">C85/SUM(C$85:C$87)</f>
        <v>0.38020706680127647</v>
      </c>
      <c r="D90" s="5">
        <f t="shared" si="1"/>
        <v>0.37276701569970683</v>
      </c>
      <c r="E90" s="5">
        <f t="shared" si="1"/>
        <v>0.37522755439986033</v>
      </c>
      <c r="F90" s="5">
        <f t="shared" si="1"/>
        <v>0.37456207734907804</v>
      </c>
      <c r="G90" s="5">
        <f>AVERAGE(B90:F90)</f>
        <v>0.3777162664872874</v>
      </c>
      <c r="H90" s="16"/>
      <c r="I90" s="16"/>
      <c r="J90" s="16"/>
      <c r="K90" s="16"/>
    </row>
    <row r="91" spans="1:12" x14ac:dyDescent="0.25">
      <c r="A91" s="16" t="s">
        <v>241</v>
      </c>
      <c r="B91" s="5">
        <f t="shared" ref="B91:F92" si="2">B86/SUM(B$85:B$87)</f>
        <v>0.35499160957405246</v>
      </c>
      <c r="C91" s="5">
        <f t="shared" si="2"/>
        <v>0.35488916335798387</v>
      </c>
      <c r="D91" s="5">
        <f t="shared" si="2"/>
        <v>0.35990838899691646</v>
      </c>
      <c r="E91" s="5">
        <f t="shared" si="2"/>
        <v>0.35969642016946429</v>
      </c>
      <c r="F91" s="5">
        <f t="shared" si="2"/>
        <v>0.3599092027505349</v>
      </c>
      <c r="G91" s="5">
        <f t="shared" ref="G91:G93" si="3">AVERAGE(B91:F91)</f>
        <v>0.35787895696979038</v>
      </c>
      <c r="H91" s="16"/>
      <c r="I91" s="16"/>
      <c r="J91" s="16"/>
      <c r="K91" s="16"/>
    </row>
    <row r="92" spans="1:12" x14ac:dyDescent="0.25">
      <c r="A92" s="16" t="s">
        <v>242</v>
      </c>
      <c r="B92" s="5">
        <f t="shared" si="2"/>
        <v>0.25919077223943243</v>
      </c>
      <c r="C92" s="5">
        <f t="shared" si="2"/>
        <v>0.26490376984073966</v>
      </c>
      <c r="D92" s="5">
        <f t="shared" si="2"/>
        <v>0.26732459530337671</v>
      </c>
      <c r="E92" s="5">
        <f t="shared" si="2"/>
        <v>0.26507602543067538</v>
      </c>
      <c r="F92" s="5">
        <f t="shared" si="2"/>
        <v>0.26552871990038707</v>
      </c>
      <c r="G92" s="5">
        <f t="shared" si="3"/>
        <v>0.26440477654292227</v>
      </c>
      <c r="H92" s="16"/>
      <c r="I92" s="16"/>
      <c r="J92" s="16"/>
      <c r="K92" s="16"/>
    </row>
    <row r="93" spans="1:12" x14ac:dyDescent="0.25">
      <c r="A93" s="16" t="s">
        <v>251</v>
      </c>
      <c r="B93" s="5">
        <f>SUM(B85:B86)/SUM(B85:B87)</f>
        <v>0.74080922776056757</v>
      </c>
      <c r="C93" s="5">
        <f t="shared" ref="C93:F93" si="4">SUM(C85:C86)/SUM(C85:C87)</f>
        <v>0.7350962301592604</v>
      </c>
      <c r="D93" s="5">
        <f t="shared" si="4"/>
        <v>0.73267540469662329</v>
      </c>
      <c r="E93" s="5">
        <f t="shared" si="4"/>
        <v>0.73492397456932468</v>
      </c>
      <c r="F93" s="5">
        <f t="shared" si="4"/>
        <v>0.73447128009961293</v>
      </c>
      <c r="G93" s="5">
        <f t="shared" si="3"/>
        <v>0.73559522345707773</v>
      </c>
    </row>
    <row r="95" spans="1:12" ht="18.75" x14ac:dyDescent="0.3">
      <c r="A95" s="20" t="s">
        <v>141</v>
      </c>
      <c r="B95" s="20"/>
      <c r="C95" s="20"/>
      <c r="D95" s="20"/>
      <c r="E95" s="20"/>
      <c r="F95" s="20"/>
      <c r="G95" s="20"/>
      <c r="H95" s="20"/>
      <c r="I95" s="20"/>
      <c r="J95" s="20"/>
      <c r="K95" s="20"/>
    </row>
    <row r="96" spans="1:12" x14ac:dyDescent="0.25">
      <c r="A96" s="9" t="s">
        <v>142</v>
      </c>
      <c r="B96" s="9"/>
      <c r="C96" s="3"/>
    </row>
    <row r="97" spans="1:3" x14ac:dyDescent="0.25">
      <c r="A97" t="s">
        <v>143</v>
      </c>
      <c r="B97">
        <v>7.7837837837837833</v>
      </c>
      <c r="C97" s="65" t="s">
        <v>149</v>
      </c>
    </row>
    <row r="98" spans="1:3" x14ac:dyDescent="0.25">
      <c r="A98" t="s">
        <v>144</v>
      </c>
      <c r="B98">
        <v>7.7837837837837833</v>
      </c>
      <c r="C98" s="65" t="s">
        <v>149</v>
      </c>
    </row>
    <row r="99" spans="1:3" x14ac:dyDescent="0.25">
      <c r="A99" t="s">
        <v>145</v>
      </c>
      <c r="B99">
        <v>4.7058823529411766</v>
      </c>
      <c r="C99" s="65" t="s">
        <v>149</v>
      </c>
    </row>
    <row r="100" spans="1:3" x14ac:dyDescent="0.25">
      <c r="A100" t="s">
        <v>146</v>
      </c>
      <c r="B100">
        <v>3.2505643340857793</v>
      </c>
      <c r="C100" s="65" t="s">
        <v>149</v>
      </c>
    </row>
    <row r="101" spans="1:3" x14ac:dyDescent="0.25">
      <c r="A101" t="s">
        <v>147</v>
      </c>
      <c r="B101">
        <v>3.9782233435134779</v>
      </c>
      <c r="C101" s="65" t="s">
        <v>149</v>
      </c>
    </row>
    <row r="102" spans="1:3" x14ac:dyDescent="0.25">
      <c r="A102" t="s">
        <v>148</v>
      </c>
      <c r="B102">
        <v>1.6666666666666665</v>
      </c>
      <c r="C102" s="65" t="s">
        <v>149</v>
      </c>
    </row>
    <row r="104" spans="1:3" x14ac:dyDescent="0.25">
      <c r="A104" s="9" t="s">
        <v>150</v>
      </c>
      <c r="B104" s="9"/>
    </row>
    <row r="105" spans="1:3" x14ac:dyDescent="0.25">
      <c r="A105" t="s">
        <v>151</v>
      </c>
      <c r="B105">
        <v>0.186</v>
      </c>
      <c r="C105" t="s">
        <v>152</v>
      </c>
    </row>
    <row r="107" spans="1:3" x14ac:dyDescent="0.25">
      <c r="A107" s="9" t="s">
        <v>159</v>
      </c>
      <c r="B107" s="9"/>
    </row>
    <row r="108" spans="1:3" x14ac:dyDescent="0.25">
      <c r="A108" t="s">
        <v>160</v>
      </c>
      <c r="B108">
        <v>5000</v>
      </c>
      <c r="C108" t="s">
        <v>161</v>
      </c>
    </row>
    <row r="110" spans="1:3" x14ac:dyDescent="0.25">
      <c r="A110" s="9" t="s">
        <v>177</v>
      </c>
      <c r="B110" s="3"/>
    </row>
    <row r="111" spans="1:3" x14ac:dyDescent="0.25">
      <c r="A111" t="s">
        <v>178</v>
      </c>
      <c r="B111" s="7">
        <f>AVERAGE(959700,1536400/2,1343800,2150300/2,1919450,3071750/2)</f>
        <v>1267029.1666666667</v>
      </c>
      <c r="C111" t="s">
        <v>182</v>
      </c>
    </row>
    <row r="113" spans="1:3" x14ac:dyDescent="0.25">
      <c r="A113" s="9" t="s">
        <v>179</v>
      </c>
      <c r="B113" s="3"/>
    </row>
    <row r="114" spans="1:3" x14ac:dyDescent="0.25">
      <c r="A114" t="s">
        <v>180</v>
      </c>
      <c r="B114">
        <v>40</v>
      </c>
      <c r="C114" t="s">
        <v>181</v>
      </c>
    </row>
    <row r="116" spans="1:3" x14ac:dyDescent="0.25">
      <c r="A116" s="9" t="s">
        <v>221</v>
      </c>
      <c r="B116" s="3"/>
    </row>
    <row r="117" spans="1:3" x14ac:dyDescent="0.25">
      <c r="A117" t="s">
        <v>216</v>
      </c>
      <c r="B117" s="7">
        <f>(1282+24640+15517+30990)*10^3/12156</f>
        <v>5958.2922013820335</v>
      </c>
      <c r="C117" s="65" t="s">
        <v>219</v>
      </c>
    </row>
    <row r="119" spans="1:3" x14ac:dyDescent="0.25">
      <c r="A119" s="9" t="s">
        <v>222</v>
      </c>
      <c r="B119" s="3"/>
    </row>
    <row r="120" spans="1:3" x14ac:dyDescent="0.25">
      <c r="A120" t="s">
        <v>373</v>
      </c>
      <c r="B120" s="7">
        <v>424</v>
      </c>
      <c r="C120" s="65" t="s">
        <v>372</v>
      </c>
    </row>
    <row r="121" spans="1:3" x14ac:dyDescent="0.25">
      <c r="A121" t="s">
        <v>374</v>
      </c>
      <c r="B121" s="7">
        <v>7671</v>
      </c>
      <c r="C121" s="65" t="s">
        <v>375</v>
      </c>
    </row>
    <row r="123" spans="1:3" x14ac:dyDescent="0.25">
      <c r="A123" s="9" t="s">
        <v>224</v>
      </c>
      <c r="B123" s="9"/>
    </row>
    <row r="124" spans="1:3" x14ac:dyDescent="0.25">
      <c r="A124" t="s">
        <v>225</v>
      </c>
      <c r="B124">
        <v>1000</v>
      </c>
    </row>
    <row r="126" spans="1:3" x14ac:dyDescent="0.25">
      <c r="A126" s="9" t="s">
        <v>249</v>
      </c>
      <c r="B126" s="9"/>
    </row>
    <row r="127" spans="1:3" x14ac:dyDescent="0.25">
      <c r="A127" t="s">
        <v>250</v>
      </c>
      <c r="B127">
        <v>1.1000000000000001</v>
      </c>
    </row>
    <row r="129" spans="1:12" ht="15.75" thickBot="1" x14ac:dyDescent="0.3">
      <c r="A129" s="9" t="s">
        <v>305</v>
      </c>
      <c r="B129" s="9"/>
    </row>
    <row r="130" spans="1:12" ht="15.75" thickBot="1" x14ac:dyDescent="0.3">
      <c r="B130" s="105">
        <v>1.1000000000000001</v>
      </c>
      <c r="C130" t="s">
        <v>235</v>
      </c>
    </row>
    <row r="132" spans="1:12" x14ac:dyDescent="0.25">
      <c r="A132" s="9" t="s">
        <v>351</v>
      </c>
      <c r="B132" s="9"/>
    </row>
    <row r="133" spans="1:12" x14ac:dyDescent="0.25">
      <c r="B133">
        <v>287</v>
      </c>
      <c r="C133" t="s">
        <v>386</v>
      </c>
    </row>
    <row r="134" spans="1:12" x14ac:dyDescent="0.25">
      <c r="A134" s="9" t="s">
        <v>376</v>
      </c>
      <c r="B134" s="3"/>
    </row>
    <row r="135" spans="1:12" x14ac:dyDescent="0.25">
      <c r="A135" t="s">
        <v>368</v>
      </c>
      <c r="B135" s="7">
        <v>94919</v>
      </c>
      <c r="C135" s="65" t="s">
        <v>377</v>
      </c>
    </row>
    <row r="136" spans="1:12" x14ac:dyDescent="0.25">
      <c r="A136" t="s">
        <v>369</v>
      </c>
      <c r="B136" s="7">
        <v>589524</v>
      </c>
      <c r="C136" s="65" t="s">
        <v>378</v>
      </c>
    </row>
    <row r="138" spans="1:12" x14ac:dyDescent="0.25">
      <c r="A138" s="9" t="s">
        <v>379</v>
      </c>
      <c r="B138" s="9"/>
    </row>
    <row r="139" spans="1:12" x14ac:dyDescent="0.25">
      <c r="A139" t="s">
        <v>380</v>
      </c>
      <c r="B139" s="7">
        <v>43063</v>
      </c>
      <c r="C139" s="65" t="s">
        <v>370</v>
      </c>
    </row>
    <row r="140" spans="1:12" x14ac:dyDescent="0.25">
      <c r="A140" t="s">
        <v>369</v>
      </c>
      <c r="B140" s="7">
        <v>237644</v>
      </c>
      <c r="C140" s="65" t="s">
        <v>371</v>
      </c>
    </row>
    <row r="142" spans="1:12" ht="18.75" x14ac:dyDescent="0.3">
      <c r="A142" s="205" t="s">
        <v>407</v>
      </c>
      <c r="B142" s="205"/>
      <c r="C142" s="205"/>
      <c r="D142" s="205"/>
      <c r="E142" s="205"/>
      <c r="F142" s="205"/>
      <c r="G142" s="205"/>
      <c r="H142" s="205"/>
      <c r="I142" s="205"/>
      <c r="J142" s="205"/>
      <c r="K142" s="205"/>
      <c r="L142" s="205"/>
    </row>
    <row r="143" spans="1:12" x14ac:dyDescent="0.25">
      <c r="A143" s="9" t="s">
        <v>414</v>
      </c>
      <c r="B143" s="9">
        <v>0</v>
      </c>
      <c r="C143" s="9">
        <v>1</v>
      </c>
      <c r="D143" s="9">
        <v>2</v>
      </c>
      <c r="E143" s="9">
        <v>3</v>
      </c>
      <c r="F143" s="9">
        <v>4</v>
      </c>
      <c r="G143" s="9">
        <v>5</v>
      </c>
      <c r="H143" s="9">
        <v>6</v>
      </c>
      <c r="I143" s="9">
        <v>7</v>
      </c>
      <c r="J143" s="9">
        <v>8</v>
      </c>
      <c r="K143" s="9">
        <v>9</v>
      </c>
      <c r="L143" s="9">
        <v>10</v>
      </c>
    </row>
    <row r="144" spans="1:12" x14ac:dyDescent="0.25">
      <c r="A144" t="s">
        <v>7</v>
      </c>
      <c r="B144" s="88">
        <v>0</v>
      </c>
      <c r="C144" s="88">
        <v>0</v>
      </c>
      <c r="D144" s="88">
        <v>0</v>
      </c>
      <c r="E144" s="88">
        <v>0</v>
      </c>
      <c r="F144" s="88">
        <v>0</v>
      </c>
      <c r="G144" s="88">
        <v>0</v>
      </c>
      <c r="H144" s="88">
        <v>0</v>
      </c>
      <c r="I144" s="88">
        <v>0</v>
      </c>
      <c r="J144" s="88">
        <v>0</v>
      </c>
      <c r="K144" s="88">
        <v>0</v>
      </c>
      <c r="L144" s="88">
        <v>0</v>
      </c>
    </row>
    <row r="145" spans="1:12" x14ac:dyDescent="0.25">
      <c r="A145" t="s">
        <v>8</v>
      </c>
      <c r="B145" s="88">
        <v>0</v>
      </c>
      <c r="C145" s="88">
        <v>200</v>
      </c>
      <c r="D145" s="88">
        <v>0</v>
      </c>
      <c r="E145" s="88">
        <v>400</v>
      </c>
      <c r="F145" s="88">
        <v>0</v>
      </c>
      <c r="G145" s="88">
        <v>0</v>
      </c>
      <c r="H145" s="88">
        <v>0</v>
      </c>
      <c r="I145" s="88">
        <v>0</v>
      </c>
      <c r="J145" s="88">
        <v>0</v>
      </c>
      <c r="K145" s="88">
        <v>0</v>
      </c>
      <c r="L145" s="88">
        <v>0</v>
      </c>
    </row>
    <row r="146" spans="1:12" x14ac:dyDescent="0.25">
      <c r="A146" t="s">
        <v>13</v>
      </c>
      <c r="B146" s="88">
        <v>0</v>
      </c>
      <c r="C146" s="88">
        <v>0</v>
      </c>
      <c r="D146" s="88">
        <v>0</v>
      </c>
      <c r="E146" s="88">
        <v>0</v>
      </c>
      <c r="F146" s="88">
        <v>0</v>
      </c>
      <c r="G146" s="88">
        <v>0</v>
      </c>
      <c r="H146" s="88">
        <v>0</v>
      </c>
      <c r="I146" s="88">
        <v>0</v>
      </c>
      <c r="J146" s="88">
        <v>0</v>
      </c>
      <c r="K146" s="88">
        <v>0</v>
      </c>
      <c r="L146" s="88">
        <v>0</v>
      </c>
    </row>
    <row r="147" spans="1:12" x14ac:dyDescent="0.25">
      <c r="A147" t="s">
        <v>9</v>
      </c>
      <c r="B147" s="88">
        <v>0</v>
      </c>
      <c r="C147" s="88">
        <v>75</v>
      </c>
      <c r="D147" s="88">
        <v>0</v>
      </c>
      <c r="E147" s="88">
        <v>75</v>
      </c>
      <c r="F147" s="88">
        <v>0</v>
      </c>
      <c r="G147" s="88">
        <v>0</v>
      </c>
      <c r="H147" s="88">
        <v>0</v>
      </c>
      <c r="I147" s="88">
        <v>0</v>
      </c>
      <c r="J147" s="88">
        <v>0</v>
      </c>
      <c r="K147" s="88">
        <v>0</v>
      </c>
      <c r="L147" s="88">
        <v>0</v>
      </c>
    </row>
    <row r="148" spans="1:12" x14ac:dyDescent="0.25">
      <c r="A148" t="s">
        <v>10</v>
      </c>
      <c r="B148" s="88">
        <v>0</v>
      </c>
      <c r="C148" s="88">
        <v>75</v>
      </c>
      <c r="D148" s="88">
        <v>0</v>
      </c>
      <c r="E148" s="88">
        <v>75</v>
      </c>
      <c r="F148" s="88">
        <v>0</v>
      </c>
      <c r="G148" s="88">
        <v>0</v>
      </c>
      <c r="H148" s="88">
        <v>0</v>
      </c>
      <c r="I148" s="88">
        <v>0</v>
      </c>
      <c r="J148" s="88">
        <v>0</v>
      </c>
      <c r="K148" s="88">
        <v>0</v>
      </c>
      <c r="L148" s="88">
        <v>0</v>
      </c>
    </row>
    <row r="149" spans="1:12" x14ac:dyDescent="0.25">
      <c r="A149" t="s">
        <v>11</v>
      </c>
      <c r="B149" s="88">
        <v>0</v>
      </c>
      <c r="C149" s="88">
        <v>0</v>
      </c>
      <c r="D149" s="88">
        <v>0</v>
      </c>
      <c r="E149" s="88">
        <v>0</v>
      </c>
      <c r="F149" s="88">
        <v>0</v>
      </c>
      <c r="G149" s="88">
        <v>0</v>
      </c>
      <c r="H149" s="88">
        <v>0</v>
      </c>
      <c r="I149" s="88">
        <v>0</v>
      </c>
      <c r="J149" s="88">
        <v>0</v>
      </c>
      <c r="K149" s="88">
        <v>0</v>
      </c>
      <c r="L149" s="88">
        <v>0</v>
      </c>
    </row>
    <row r="150" spans="1:12" x14ac:dyDescent="0.25">
      <c r="A150" t="s">
        <v>261</v>
      </c>
      <c r="B150" s="88">
        <v>0</v>
      </c>
      <c r="C150" s="88">
        <v>0</v>
      </c>
      <c r="D150" s="88">
        <v>0</v>
      </c>
      <c r="E150" s="88">
        <v>0</v>
      </c>
      <c r="F150" s="88">
        <v>0</v>
      </c>
      <c r="G150" s="88">
        <v>0</v>
      </c>
      <c r="H150" s="88">
        <v>0</v>
      </c>
      <c r="I150" s="88">
        <v>0</v>
      </c>
      <c r="J150" s="88">
        <v>0</v>
      </c>
      <c r="K150" s="88">
        <v>0</v>
      </c>
      <c r="L150" s="88">
        <v>0</v>
      </c>
    </row>
    <row r="151" spans="1:12" x14ac:dyDescent="0.25">
      <c r="A151" t="s">
        <v>262</v>
      </c>
      <c r="B151" s="88">
        <v>0</v>
      </c>
      <c r="C151" s="88">
        <v>0</v>
      </c>
      <c r="D151" s="88">
        <v>0</v>
      </c>
      <c r="E151" s="88">
        <v>0</v>
      </c>
      <c r="F151" s="88">
        <v>0</v>
      </c>
      <c r="G151" s="88">
        <v>0</v>
      </c>
      <c r="H151" s="88">
        <v>0</v>
      </c>
      <c r="I151" s="88">
        <v>0</v>
      </c>
      <c r="J151" s="88">
        <v>0</v>
      </c>
      <c r="K151" s="88">
        <v>0</v>
      </c>
      <c r="L151" s="88">
        <v>0</v>
      </c>
    </row>
    <row r="152" spans="1:12" x14ac:dyDescent="0.25">
      <c r="A152" t="s">
        <v>399</v>
      </c>
      <c r="B152" s="88">
        <v>0</v>
      </c>
      <c r="C152" s="88">
        <v>0</v>
      </c>
      <c r="D152" s="88">
        <v>0</v>
      </c>
      <c r="E152" s="88">
        <v>0</v>
      </c>
      <c r="F152" s="88">
        <v>0</v>
      </c>
      <c r="G152" s="88">
        <v>0</v>
      </c>
      <c r="H152" s="88">
        <v>0</v>
      </c>
      <c r="I152" s="88">
        <v>0</v>
      </c>
      <c r="J152" s="88">
        <v>0</v>
      </c>
      <c r="K152" s="88">
        <v>0</v>
      </c>
      <c r="L152" s="88">
        <v>0</v>
      </c>
    </row>
    <row r="154" spans="1:12" x14ac:dyDescent="0.25">
      <c r="A154" s="9" t="s">
        <v>32</v>
      </c>
      <c r="B154" s="9">
        <v>0</v>
      </c>
      <c r="C154" s="9">
        <v>1</v>
      </c>
      <c r="D154" s="9">
        <v>2</v>
      </c>
      <c r="E154" s="9">
        <v>3</v>
      </c>
      <c r="F154" s="9">
        <v>4</v>
      </c>
      <c r="G154" s="9">
        <v>5</v>
      </c>
      <c r="H154" s="9">
        <v>6</v>
      </c>
      <c r="I154" s="9">
        <v>7</v>
      </c>
      <c r="J154" s="9">
        <v>8</v>
      </c>
      <c r="K154" s="9">
        <v>9</v>
      </c>
      <c r="L154" s="9">
        <v>10</v>
      </c>
    </row>
    <row r="155" spans="1:12" x14ac:dyDescent="0.25">
      <c r="A155" s="17" t="s">
        <v>62</v>
      </c>
      <c r="B155" s="88">
        <f>90000*(10^2)</f>
        <v>9000000</v>
      </c>
      <c r="C155" s="88">
        <f>88000*(10^2)</f>
        <v>8800000</v>
      </c>
      <c r="D155" s="88">
        <f>87000*(10^2)</f>
        <v>8700000</v>
      </c>
      <c r="E155" s="88">
        <f>85000*(10^2)</f>
        <v>8500000</v>
      </c>
      <c r="F155" s="88">
        <f>83000*(10^2)</f>
        <v>8300000</v>
      </c>
      <c r="G155" s="88">
        <f>84000*(10^2)</f>
        <v>8400000</v>
      </c>
      <c r="H155" s="88">
        <f>82000*(10^2)</f>
        <v>8200000</v>
      </c>
      <c r="I155" s="88">
        <f>80000*(10^2)</f>
        <v>8000000</v>
      </c>
      <c r="J155" s="88">
        <f>82000*(10^2)</f>
        <v>8200000</v>
      </c>
      <c r="K155" s="88">
        <f>81000*(10^2)</f>
        <v>8100000</v>
      </c>
      <c r="L155" s="88">
        <f>80000*(10^2)</f>
        <v>8000000</v>
      </c>
    </row>
    <row r="156" spans="1:12" x14ac:dyDescent="0.25">
      <c r="A156" s="17" t="s">
        <v>292</v>
      </c>
      <c r="B156" s="89">
        <f>B155</f>
        <v>9000000</v>
      </c>
      <c r="C156" s="89">
        <f ca="1">C155+C155*RANDBETWEEN(-20,20)/1000</f>
        <v>8976000</v>
      </c>
      <c r="D156" s="89">
        <f t="shared" ref="D156:L156" ca="1" si="5">D155+D155*RANDBETWEEN(-20,20)/1000</f>
        <v>8708700</v>
      </c>
      <c r="E156" s="89">
        <f t="shared" ca="1" si="5"/>
        <v>8551000</v>
      </c>
      <c r="F156" s="89">
        <f t="shared" ca="1" si="5"/>
        <v>8291700</v>
      </c>
      <c r="G156" s="89">
        <f t="shared" ca="1" si="5"/>
        <v>8526000</v>
      </c>
      <c r="H156" s="89">
        <f t="shared" ca="1" si="5"/>
        <v>8257400</v>
      </c>
      <c r="I156" s="89">
        <f t="shared" ca="1" si="5"/>
        <v>8112000</v>
      </c>
      <c r="J156" s="89">
        <f t="shared" ca="1" si="5"/>
        <v>8290200</v>
      </c>
      <c r="K156" s="89">
        <f t="shared" ca="1" si="5"/>
        <v>8164800</v>
      </c>
      <c r="L156" s="89">
        <f t="shared" ca="1" si="5"/>
        <v>8032000</v>
      </c>
    </row>
    <row r="158" spans="1:12" ht="18.75" x14ac:dyDescent="0.3">
      <c r="A158" s="205" t="s">
        <v>452</v>
      </c>
      <c r="B158" s="205"/>
      <c r="C158" s="205"/>
      <c r="D158" s="205"/>
      <c r="E158" s="205"/>
      <c r="F158" s="205"/>
      <c r="G158" s="205"/>
      <c r="H158" s="205"/>
      <c r="I158" s="205"/>
      <c r="J158" s="205"/>
      <c r="K158" s="205"/>
      <c r="L158" s="205"/>
    </row>
    <row r="159" spans="1:12" ht="16.5" customHeight="1" thickBot="1" x14ac:dyDescent="0.35">
      <c r="A159" s="170" t="s">
        <v>455</v>
      </c>
      <c r="B159" s="170"/>
      <c r="C159" s="170"/>
      <c r="D159" s="169"/>
      <c r="E159" s="169"/>
      <c r="F159" s="169"/>
      <c r="G159" s="169"/>
      <c r="H159" s="169"/>
      <c r="I159" s="169"/>
      <c r="J159" s="169"/>
      <c r="K159" s="169"/>
      <c r="L159" s="169"/>
    </row>
    <row r="160" spans="1:12" ht="15.75" thickBot="1" x14ac:dyDescent="0.3">
      <c r="A160" t="s">
        <v>453</v>
      </c>
      <c r="B160" s="105">
        <f>ROUND('Environmental Performance'!B3*0.8,0)</f>
        <v>719</v>
      </c>
      <c r="C160" t="s">
        <v>454</v>
      </c>
    </row>
    <row r="161" spans="1:3" ht="15.75" thickBot="1" x14ac:dyDescent="0.3">
      <c r="A161" t="s">
        <v>141</v>
      </c>
      <c r="B161" s="105">
        <f>ROUND(Reliability!B95*0.8,0)</f>
        <v>230</v>
      </c>
      <c r="C161" t="s">
        <v>454</v>
      </c>
    </row>
    <row r="162" spans="1:3" ht="15.75" thickBot="1" x14ac:dyDescent="0.3">
      <c r="A162" t="s">
        <v>357</v>
      </c>
      <c r="B162" s="105">
        <f>ROUND('Customer Bills'!B12*0.8,0)</f>
        <v>65</v>
      </c>
      <c r="C162" t="s">
        <v>454</v>
      </c>
    </row>
  </sheetData>
  <mergeCells count="2">
    <mergeCell ref="A142:L142"/>
    <mergeCell ref="A158:L158"/>
  </mergeCells>
  <hyperlinks>
    <hyperlink ref="C97" r:id="rId1" xr:uid="{00000000-0004-0000-0800-000000000000}"/>
    <hyperlink ref="C98:C102" r:id="rId2" display="http://energyenvironment.pnnl.gov/ei/pdf/NWPP%20report.pdf" xr:uid="{00000000-0004-0000-0800-000001000000}"/>
    <hyperlink ref="C117" r:id="rId3" xr:uid="{00000000-0004-0000-0800-000002000000}"/>
    <hyperlink ref="C77" r:id="rId4" xr:uid="{00000000-0004-0000-0800-000003000000}"/>
    <hyperlink ref="C135" r:id="rId5" xr:uid="{00000000-0004-0000-0800-000004000000}"/>
    <hyperlink ref="C136" r:id="rId6" xr:uid="{00000000-0004-0000-0800-000005000000}"/>
    <hyperlink ref="C120" r:id="rId7" xr:uid="{00000000-0004-0000-0800-000006000000}"/>
    <hyperlink ref="C121" r:id="rId8" xr:uid="{00000000-0004-0000-0800-000007000000}"/>
    <hyperlink ref="C139" r:id="rId9" xr:uid="{00000000-0004-0000-0800-000008000000}"/>
    <hyperlink ref="C140" r:id="rId10" xr:uid="{00000000-0004-0000-0800-000009000000}"/>
  </hyperlinks>
  <pageMargins left="0.7" right="0.7" top="0.75" bottom="0.75" header="0.3" footer="0.3"/>
  <pageSetup orientation="portrait" r:id="rId1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tabColor theme="6"/>
  </sheetPr>
  <dimension ref="A1:O83"/>
  <sheetViews>
    <sheetView topLeftCell="A20" zoomScale="70" zoomScaleNormal="70" workbookViewId="0">
      <selection activeCell="H51" sqref="H51"/>
    </sheetView>
  </sheetViews>
  <sheetFormatPr defaultRowHeight="15" x14ac:dyDescent="0.25"/>
  <cols>
    <col min="1" max="1" width="57.5703125" bestFit="1" customWidth="1"/>
    <col min="2" max="2" width="26.140625" customWidth="1"/>
    <col min="3" max="3" width="14.5703125" bestFit="1" customWidth="1"/>
    <col min="4" max="4" width="13.7109375" bestFit="1" customWidth="1"/>
    <col min="5" max="5" width="26.140625" customWidth="1"/>
    <col min="6" max="6" width="14.140625" bestFit="1" customWidth="1"/>
    <col min="7" max="7" width="19.7109375" bestFit="1" customWidth="1"/>
    <col min="8" max="8" width="25.140625" customWidth="1"/>
    <col min="9" max="9" width="25.140625" bestFit="1" customWidth="1"/>
    <col min="10" max="10" width="18.5703125" customWidth="1"/>
    <col min="11" max="11" width="13.85546875" customWidth="1"/>
    <col min="12" max="12" width="11.5703125" bestFit="1" customWidth="1"/>
    <col min="14" max="14" width="20.28515625" customWidth="1"/>
  </cols>
  <sheetData>
    <row r="1" spans="1:15" ht="15.75" thickBot="1" x14ac:dyDescent="0.3">
      <c r="A1" s="9" t="s">
        <v>52</v>
      </c>
      <c r="B1" s="9">
        <v>0</v>
      </c>
      <c r="C1" s="9">
        <v>1</v>
      </c>
      <c r="D1" s="9">
        <v>2</v>
      </c>
      <c r="E1" s="9">
        <v>3</v>
      </c>
      <c r="F1" s="9">
        <v>4</v>
      </c>
      <c r="G1" s="9">
        <v>5</v>
      </c>
      <c r="H1" s="9">
        <v>6</v>
      </c>
      <c r="I1" s="9">
        <v>7</v>
      </c>
      <c r="J1" s="9">
        <v>8</v>
      </c>
      <c r="K1" s="9">
        <v>9</v>
      </c>
      <c r="L1" s="9">
        <v>10</v>
      </c>
      <c r="N1" s="115" t="s">
        <v>355</v>
      </c>
      <c r="O1" s="104">
        <f>'Event Tracker'!$P$1</f>
        <v>0</v>
      </c>
    </row>
    <row r="2" spans="1:15" x14ac:dyDescent="0.25">
      <c r="A2" t="s">
        <v>7</v>
      </c>
      <c r="B2" s="88">
        <v>0</v>
      </c>
      <c r="C2" s="88">
        <f>Gameplay!$D$5</f>
        <v>0</v>
      </c>
      <c r="D2" s="88">
        <f>Gameplay!$D$5</f>
        <v>0</v>
      </c>
      <c r="E2" s="88">
        <f>Gameplay!$D$5</f>
        <v>0</v>
      </c>
      <c r="F2" s="88">
        <f>Gameplay!$D$5</f>
        <v>0</v>
      </c>
      <c r="G2" s="88">
        <f>Gameplay!$D$5</f>
        <v>0</v>
      </c>
      <c r="H2" s="88">
        <f>Gameplay!$D$5</f>
        <v>0</v>
      </c>
      <c r="I2" s="88">
        <f>Gameplay!$D$5</f>
        <v>0</v>
      </c>
      <c r="J2" s="88">
        <f>Gameplay!$D$5</f>
        <v>0</v>
      </c>
      <c r="K2" s="88">
        <f>Gameplay!$D$5</f>
        <v>0</v>
      </c>
      <c r="L2" s="88">
        <f>Gameplay!$D$5</f>
        <v>0</v>
      </c>
    </row>
    <row r="3" spans="1:15" x14ac:dyDescent="0.25">
      <c r="A3" t="s">
        <v>8</v>
      </c>
      <c r="B3" s="88">
        <v>0</v>
      </c>
      <c r="C3" s="88">
        <f>Gameplay!$D$6</f>
        <v>0</v>
      </c>
      <c r="D3" s="88">
        <f>Gameplay!$D$6</f>
        <v>0</v>
      </c>
      <c r="E3" s="88">
        <f>Gameplay!$D$6</f>
        <v>0</v>
      </c>
      <c r="F3" s="88">
        <f>Gameplay!$D$6</f>
        <v>0</v>
      </c>
      <c r="G3" s="88">
        <f>Gameplay!$D$6</f>
        <v>0</v>
      </c>
      <c r="H3" s="88">
        <f>Gameplay!$D$6</f>
        <v>0</v>
      </c>
      <c r="I3" s="88">
        <f>Gameplay!$D$6</f>
        <v>0</v>
      </c>
      <c r="J3" s="88">
        <f>Gameplay!$D$6</f>
        <v>0</v>
      </c>
      <c r="K3" s="88">
        <f>Gameplay!$D$6</f>
        <v>0</v>
      </c>
      <c r="L3" s="88">
        <f>Gameplay!$D$6</f>
        <v>0</v>
      </c>
    </row>
    <row r="4" spans="1:15" x14ac:dyDescent="0.25">
      <c r="A4" t="s">
        <v>13</v>
      </c>
      <c r="B4" s="88">
        <v>0</v>
      </c>
      <c r="C4" s="88">
        <f>Gameplay!$D$7</f>
        <v>0</v>
      </c>
      <c r="D4" s="88">
        <f>Gameplay!$D$7</f>
        <v>0</v>
      </c>
      <c r="E4" s="88">
        <f>Gameplay!$D$7</f>
        <v>0</v>
      </c>
      <c r="F4" s="88">
        <f>Gameplay!$D$7</f>
        <v>0</v>
      </c>
      <c r="G4" s="88">
        <f>Gameplay!$D$7</f>
        <v>0</v>
      </c>
      <c r="H4" s="88">
        <f>Gameplay!$D$7</f>
        <v>0</v>
      </c>
      <c r="I4" s="88">
        <f>Gameplay!$D$7</f>
        <v>0</v>
      </c>
      <c r="J4" s="88">
        <f>Gameplay!$D$7</f>
        <v>0</v>
      </c>
      <c r="K4" s="88">
        <f>Gameplay!$D$7</f>
        <v>0</v>
      </c>
      <c r="L4" s="88">
        <f>Gameplay!$D$7</f>
        <v>0</v>
      </c>
    </row>
    <row r="5" spans="1:15" x14ac:dyDescent="0.25">
      <c r="A5" t="s">
        <v>9</v>
      </c>
      <c r="B5" s="88">
        <v>0</v>
      </c>
      <c r="C5" s="88">
        <f>Gameplay!$D$8</f>
        <v>0</v>
      </c>
      <c r="D5" s="88">
        <f>Gameplay!$D$8</f>
        <v>0</v>
      </c>
      <c r="E5" s="88">
        <f>Gameplay!$D$8</f>
        <v>0</v>
      </c>
      <c r="F5" s="88">
        <f>Gameplay!$D$8</f>
        <v>0</v>
      </c>
      <c r="G5" s="88">
        <f>Gameplay!$D$8</f>
        <v>0</v>
      </c>
      <c r="H5" s="88">
        <f>Gameplay!$D$8</f>
        <v>0</v>
      </c>
      <c r="I5" s="88">
        <f>Gameplay!$D$8</f>
        <v>0</v>
      </c>
      <c r="J5" s="88">
        <f>Gameplay!$D$8</f>
        <v>0</v>
      </c>
      <c r="K5" s="88">
        <f>Gameplay!$D$8</f>
        <v>0</v>
      </c>
      <c r="L5" s="88">
        <f>Gameplay!$D$8</f>
        <v>0</v>
      </c>
    </row>
    <row r="6" spans="1:15" x14ac:dyDescent="0.25">
      <c r="A6" t="s">
        <v>10</v>
      </c>
      <c r="B6" s="88">
        <v>0</v>
      </c>
      <c r="C6" s="88">
        <f>Gameplay!$D$9</f>
        <v>0</v>
      </c>
      <c r="D6" s="88">
        <f>Gameplay!$D$9</f>
        <v>0</v>
      </c>
      <c r="E6" s="88">
        <f>Gameplay!$D$9</f>
        <v>0</v>
      </c>
      <c r="F6" s="88">
        <f>Gameplay!$D$9</f>
        <v>0</v>
      </c>
      <c r="G6" s="88">
        <f>Gameplay!$D$9</f>
        <v>0</v>
      </c>
      <c r="H6" s="88">
        <f>Gameplay!$D$9</f>
        <v>0</v>
      </c>
      <c r="I6" s="88">
        <f>Gameplay!$D$9</f>
        <v>0</v>
      </c>
      <c r="J6" s="88">
        <f>Gameplay!$D$9</f>
        <v>0</v>
      </c>
      <c r="K6" s="88">
        <f>Gameplay!$D$9</f>
        <v>0</v>
      </c>
      <c r="L6" s="88">
        <f>Gameplay!$D$9</f>
        <v>0</v>
      </c>
    </row>
    <row r="7" spans="1:15" x14ac:dyDescent="0.25">
      <c r="A7" t="s">
        <v>11</v>
      </c>
      <c r="B7" s="88">
        <v>0</v>
      </c>
      <c r="C7" s="88">
        <f>Gameplay!$D$10</f>
        <v>0</v>
      </c>
      <c r="D7" s="88">
        <f>Gameplay!$D$10</f>
        <v>0</v>
      </c>
      <c r="E7" s="88">
        <f>Gameplay!$D$10</f>
        <v>0</v>
      </c>
      <c r="F7" s="88">
        <f>Gameplay!$D$10</f>
        <v>0</v>
      </c>
      <c r="G7" s="88">
        <f>Gameplay!$D$10</f>
        <v>0</v>
      </c>
      <c r="H7" s="88">
        <f>Gameplay!$D$10</f>
        <v>0</v>
      </c>
      <c r="I7" s="88">
        <f>Gameplay!$D$10</f>
        <v>0</v>
      </c>
      <c r="J7" s="88">
        <f>Gameplay!$D$10</f>
        <v>0</v>
      </c>
      <c r="K7" s="88">
        <f>Gameplay!$D$10</f>
        <v>0</v>
      </c>
      <c r="L7" s="88">
        <f>Gameplay!$D$10</f>
        <v>0</v>
      </c>
    </row>
    <row r="8" spans="1:15" x14ac:dyDescent="0.25">
      <c r="A8" t="s">
        <v>261</v>
      </c>
      <c r="B8" s="88">
        <v>0</v>
      </c>
      <c r="C8" s="88">
        <f>Gameplay!$D$11</f>
        <v>0</v>
      </c>
      <c r="D8" s="88">
        <f>Gameplay!$D$11</f>
        <v>0</v>
      </c>
      <c r="E8" s="88">
        <f>Gameplay!$D$11</f>
        <v>0</v>
      </c>
      <c r="F8" s="88">
        <f>Gameplay!$D$11</f>
        <v>0</v>
      </c>
      <c r="G8" s="88">
        <f>Gameplay!$D$11</f>
        <v>0</v>
      </c>
      <c r="H8" s="88">
        <f>Gameplay!$D$11</f>
        <v>0</v>
      </c>
      <c r="I8" s="88">
        <f>Gameplay!$D$11</f>
        <v>0</v>
      </c>
      <c r="J8" s="88">
        <f>Gameplay!$D$11</f>
        <v>0</v>
      </c>
      <c r="K8" s="88">
        <f>Gameplay!$D$11</f>
        <v>0</v>
      </c>
      <c r="L8" s="88">
        <f>Gameplay!$D$11</f>
        <v>0</v>
      </c>
    </row>
    <row r="9" spans="1:15" x14ac:dyDescent="0.25">
      <c r="A9" t="s">
        <v>262</v>
      </c>
      <c r="B9" s="88">
        <v>0</v>
      </c>
      <c r="C9" s="88">
        <f>IF('Event Tracker'!C4=1,0.25*'Resource Mix and Demand'!C1,C1*0.5)</f>
        <v>0.5</v>
      </c>
      <c r="D9" s="88">
        <f>IF('Event Tracker'!D4=1,0.25*'Resource Mix and Demand'!D1,D1*0.5)</f>
        <v>1</v>
      </c>
      <c r="E9" s="88">
        <f>IF('Event Tracker'!E4=1,0.25*'Resource Mix and Demand'!E1,E1*0.5)</f>
        <v>1.5</v>
      </c>
      <c r="F9" s="88">
        <f>IF('Event Tracker'!F4=1,0.25*'Resource Mix and Demand'!F1,F1*0.5)</f>
        <v>2</v>
      </c>
      <c r="G9" s="88">
        <f>IF('Event Tracker'!G4=1,0.25*'Resource Mix and Demand'!G1,G1*0.5)</f>
        <v>2.5</v>
      </c>
      <c r="H9" s="88">
        <f>IF('Event Tracker'!H4=1,0.25*'Resource Mix and Demand'!H1,H1*0.5)</f>
        <v>3</v>
      </c>
      <c r="I9" s="88">
        <f>IF('Event Tracker'!I4=1,0.25*'Resource Mix and Demand'!I1,I1*0.5)</f>
        <v>3.5</v>
      </c>
      <c r="J9" s="88">
        <f>IF('Event Tracker'!J4=1,0.25*'Resource Mix and Demand'!J1,J1*0.5)</f>
        <v>4</v>
      </c>
      <c r="K9" s="88">
        <f>IF('Event Tracker'!K4=1,0.25*'Resource Mix and Demand'!K1,K1*0.5)</f>
        <v>4.5</v>
      </c>
      <c r="L9" s="88">
        <f>IF('Event Tracker'!L4=1,0.25*'Resource Mix and Demand'!L1,L1*0.5)</f>
        <v>5</v>
      </c>
    </row>
    <row r="10" spans="1:15" x14ac:dyDescent="0.25">
      <c r="A10" t="s">
        <v>399</v>
      </c>
      <c r="B10">
        <v>0</v>
      </c>
      <c r="C10">
        <f>IF('Event Tracker'!C4=1,0.5*B10,'Resource Mix and Demand'!C1+4)</f>
        <v>5</v>
      </c>
      <c r="D10">
        <f>IF('Event Tracker'!D4=1,0.5*C10,'Resource Mix and Demand'!D1+4)</f>
        <v>6</v>
      </c>
      <c r="E10">
        <f>IF('Event Tracker'!E4=1,0.5*D10,'Resource Mix and Demand'!E1+4)</f>
        <v>7</v>
      </c>
      <c r="F10">
        <f>IF('Event Tracker'!F4=1,0.5*E10,'Resource Mix and Demand'!F1+4)</f>
        <v>8</v>
      </c>
      <c r="G10">
        <f>IF('Event Tracker'!G4=1,0.5*F10,'Resource Mix and Demand'!G1+4)</f>
        <v>9</v>
      </c>
      <c r="H10">
        <f>IF('Event Tracker'!H4=1,0.5*G10,'Resource Mix and Demand'!H1+4)</f>
        <v>10</v>
      </c>
      <c r="I10">
        <f>IF('Event Tracker'!I4=1,0.5*H10,'Resource Mix and Demand'!I1+4)</f>
        <v>11</v>
      </c>
      <c r="J10">
        <f>IF('Event Tracker'!J4=1,0.5*I10,'Resource Mix and Demand'!J1+4)</f>
        <v>12</v>
      </c>
      <c r="K10">
        <f>IF('Event Tracker'!K4=1,0.5*J10,'Resource Mix and Demand'!K1+4)</f>
        <v>13</v>
      </c>
      <c r="L10">
        <f>IF('Event Tracker'!L4=1,0.5*K10,'Resource Mix and Demand'!L1+4)</f>
        <v>14</v>
      </c>
    </row>
    <row r="12" spans="1:15" x14ac:dyDescent="0.25">
      <c r="A12" s="9" t="s">
        <v>53</v>
      </c>
      <c r="B12" s="9">
        <v>0</v>
      </c>
      <c r="C12" s="9">
        <v>1</v>
      </c>
      <c r="D12" s="9">
        <v>2</v>
      </c>
      <c r="E12" s="9">
        <v>3</v>
      </c>
      <c r="F12" s="9">
        <v>4</v>
      </c>
      <c r="G12" s="9">
        <v>5</v>
      </c>
      <c r="H12" s="9">
        <v>6</v>
      </c>
      <c r="I12" s="9">
        <v>7</v>
      </c>
      <c r="J12" s="9">
        <v>8</v>
      </c>
      <c r="K12" s="9">
        <v>9</v>
      </c>
      <c r="L12" s="9">
        <v>10</v>
      </c>
    </row>
    <row r="13" spans="1:15" x14ac:dyDescent="0.25">
      <c r="A13" t="s">
        <v>7</v>
      </c>
      <c r="B13" s="88">
        <v>0</v>
      </c>
      <c r="C13" s="88">
        <v>300</v>
      </c>
      <c r="D13" s="88">
        <v>0</v>
      </c>
      <c r="E13" s="88">
        <v>0</v>
      </c>
      <c r="F13" s="88">
        <v>0</v>
      </c>
      <c r="G13" s="88">
        <v>100</v>
      </c>
      <c r="H13" s="88">
        <v>0</v>
      </c>
      <c r="I13" s="88">
        <v>0</v>
      </c>
      <c r="J13" s="88">
        <v>0</v>
      </c>
      <c r="K13" s="88">
        <v>0</v>
      </c>
      <c r="L13" s="88">
        <v>0</v>
      </c>
    </row>
    <row r="14" spans="1:15" x14ac:dyDescent="0.25">
      <c r="A14" t="s">
        <v>8</v>
      </c>
      <c r="B14" s="88">
        <v>0</v>
      </c>
      <c r="C14" s="88">
        <v>0</v>
      </c>
      <c r="D14" s="88">
        <v>0</v>
      </c>
      <c r="E14" s="88">
        <v>0</v>
      </c>
      <c r="F14" s="88">
        <v>0</v>
      </c>
      <c r="G14" s="88">
        <v>0</v>
      </c>
      <c r="H14" s="88">
        <v>0</v>
      </c>
      <c r="I14" s="88">
        <v>0</v>
      </c>
      <c r="J14" s="88">
        <v>0</v>
      </c>
      <c r="K14" s="88">
        <v>0</v>
      </c>
      <c r="L14" s="88">
        <v>0</v>
      </c>
    </row>
    <row r="15" spans="1:15" x14ac:dyDescent="0.25">
      <c r="A15" t="s">
        <v>13</v>
      </c>
      <c r="B15" s="88">
        <v>0</v>
      </c>
      <c r="C15" s="88">
        <v>0</v>
      </c>
      <c r="D15" s="88">
        <v>0</v>
      </c>
      <c r="E15" s="88">
        <v>500</v>
      </c>
      <c r="F15" s="88">
        <v>0</v>
      </c>
      <c r="G15" s="88">
        <v>0</v>
      </c>
      <c r="H15" s="88">
        <v>0</v>
      </c>
      <c r="I15" s="88">
        <v>0</v>
      </c>
      <c r="J15" s="88">
        <v>0</v>
      </c>
      <c r="K15" s="88">
        <v>0</v>
      </c>
      <c r="L15" s="88">
        <v>0</v>
      </c>
    </row>
    <row r="16" spans="1:15" x14ac:dyDescent="0.25">
      <c r="A16" t="s">
        <v>9</v>
      </c>
      <c r="B16" s="88">
        <v>0</v>
      </c>
      <c r="C16" s="88">
        <v>0</v>
      </c>
      <c r="D16" s="88">
        <v>0</v>
      </c>
      <c r="E16" s="88">
        <v>0</v>
      </c>
      <c r="F16" s="88">
        <v>0</v>
      </c>
      <c r="G16" s="88">
        <v>0</v>
      </c>
      <c r="H16" s="88">
        <v>0</v>
      </c>
      <c r="I16" s="88">
        <v>0</v>
      </c>
      <c r="J16" s="88">
        <v>0</v>
      </c>
      <c r="K16" s="88">
        <v>0</v>
      </c>
      <c r="L16" s="88">
        <v>0</v>
      </c>
    </row>
    <row r="17" spans="1:12" x14ac:dyDescent="0.25">
      <c r="A17" t="s">
        <v>10</v>
      </c>
      <c r="B17" s="88">
        <v>0</v>
      </c>
      <c r="C17" s="88">
        <v>0</v>
      </c>
      <c r="D17" s="88">
        <v>0</v>
      </c>
      <c r="E17" s="88">
        <v>0</v>
      </c>
      <c r="F17" s="88">
        <v>0</v>
      </c>
      <c r="G17" s="88">
        <v>0</v>
      </c>
      <c r="H17" s="88">
        <v>0</v>
      </c>
      <c r="I17" s="88">
        <v>0</v>
      </c>
      <c r="J17" s="88">
        <v>0</v>
      </c>
      <c r="K17" s="88">
        <v>0</v>
      </c>
      <c r="L17" s="88">
        <v>0</v>
      </c>
    </row>
    <row r="18" spans="1:12" x14ac:dyDescent="0.25">
      <c r="A18" t="s">
        <v>11</v>
      </c>
      <c r="B18" s="88">
        <v>0</v>
      </c>
      <c r="C18" s="88">
        <v>0</v>
      </c>
      <c r="D18" s="88">
        <v>0</v>
      </c>
      <c r="E18" s="88">
        <v>0</v>
      </c>
      <c r="F18" s="88">
        <v>0</v>
      </c>
      <c r="G18" s="88">
        <v>0</v>
      </c>
      <c r="H18" s="88">
        <v>0</v>
      </c>
      <c r="I18" s="88">
        <v>0</v>
      </c>
      <c r="J18" s="88">
        <v>0</v>
      </c>
      <c r="K18" s="88">
        <v>0</v>
      </c>
      <c r="L18" s="88">
        <v>0</v>
      </c>
    </row>
    <row r="19" spans="1:12" x14ac:dyDescent="0.25">
      <c r="A19" t="s">
        <v>261</v>
      </c>
      <c r="B19" s="88">
        <v>0</v>
      </c>
      <c r="C19" s="88">
        <v>0</v>
      </c>
      <c r="D19" s="88">
        <v>0</v>
      </c>
      <c r="E19" s="88">
        <v>0</v>
      </c>
      <c r="F19" s="88">
        <v>0</v>
      </c>
      <c r="G19" s="88">
        <v>0</v>
      </c>
      <c r="H19" s="88">
        <v>0</v>
      </c>
      <c r="I19" s="88">
        <v>0</v>
      </c>
      <c r="J19" s="88">
        <v>0</v>
      </c>
      <c r="K19" s="88">
        <v>0</v>
      </c>
      <c r="L19" s="88">
        <v>0</v>
      </c>
    </row>
    <row r="20" spans="1:12" x14ac:dyDescent="0.25">
      <c r="A20" t="s">
        <v>262</v>
      </c>
      <c r="B20" s="88">
        <v>0</v>
      </c>
      <c r="C20" s="88">
        <v>0</v>
      </c>
      <c r="D20" s="88">
        <v>0</v>
      </c>
      <c r="E20" s="88">
        <v>0</v>
      </c>
      <c r="F20" s="88">
        <v>0</v>
      </c>
      <c r="G20" s="88">
        <v>0</v>
      </c>
      <c r="H20" s="88">
        <v>0</v>
      </c>
      <c r="I20" s="88">
        <v>0</v>
      </c>
      <c r="J20" s="88">
        <v>0</v>
      </c>
      <c r="K20" s="88">
        <v>0</v>
      </c>
      <c r="L20" s="88">
        <v>0</v>
      </c>
    </row>
    <row r="21" spans="1:12" x14ac:dyDescent="0.25">
      <c r="A21" t="s">
        <v>399</v>
      </c>
      <c r="B21" s="88">
        <v>0</v>
      </c>
      <c r="C21" s="88">
        <v>0</v>
      </c>
      <c r="D21" s="88">
        <v>0</v>
      </c>
      <c r="E21" s="88">
        <v>0</v>
      </c>
      <c r="F21" s="88">
        <v>0</v>
      </c>
      <c r="G21" s="88">
        <v>0</v>
      </c>
      <c r="H21" s="88">
        <v>0</v>
      </c>
      <c r="I21" s="88">
        <v>0</v>
      </c>
      <c r="J21" s="88">
        <v>0</v>
      </c>
      <c r="K21" s="88">
        <v>0</v>
      </c>
      <c r="L21" s="88">
        <v>0</v>
      </c>
    </row>
    <row r="23" spans="1:12" x14ac:dyDescent="0.25">
      <c r="A23" s="9" t="s">
        <v>54</v>
      </c>
      <c r="B23" s="9">
        <v>0</v>
      </c>
      <c r="C23" s="9">
        <v>1</v>
      </c>
      <c r="D23" s="9">
        <v>2</v>
      </c>
      <c r="E23" s="9">
        <v>3</v>
      </c>
      <c r="F23" s="9">
        <v>4</v>
      </c>
      <c r="G23" s="9">
        <v>5</v>
      </c>
      <c r="H23" s="9">
        <v>6</v>
      </c>
      <c r="I23" s="9">
        <v>7</v>
      </c>
      <c r="J23" s="9">
        <v>8</v>
      </c>
      <c r="K23" s="9">
        <v>9</v>
      </c>
      <c r="L23" s="9">
        <v>10</v>
      </c>
    </row>
    <row r="24" spans="1:12" x14ac:dyDescent="0.25">
      <c r="A24" t="s">
        <v>7</v>
      </c>
      <c r="B24" s="163">
        <f>'Game Assumptions'!K41</f>
        <v>500</v>
      </c>
      <c r="C24" s="163">
        <f>INDEX($B$24:$L$32,MATCH($A24,$A$24:$A$32,0),C$23)+INDEX($B$2:$L$10,MATCH($A24,$A$2:$A$10,0),C$23+1)-INDEX($B$13:$L$21,MATCH($A24,$A$13:$A$21,0),C$23+1)</f>
        <v>200</v>
      </c>
      <c r="D24" s="163">
        <f t="shared" ref="D24:L24" si="0">INDEX($B$24:$L$32,MATCH($A24,$A$24:$A$32,0),D$23)+INDEX($B$2:$L$10,MATCH($A24,$A$2:$A$10,0),D$23+1)-INDEX($B$13:$L$21,MATCH($A24,$A$13:$A$21,0),D$23+1)</f>
        <v>200</v>
      </c>
      <c r="E24" s="163">
        <f t="shared" si="0"/>
        <v>200</v>
      </c>
      <c r="F24" s="163">
        <f t="shared" si="0"/>
        <v>200</v>
      </c>
      <c r="G24" s="163">
        <f t="shared" si="0"/>
        <v>100</v>
      </c>
      <c r="H24" s="163">
        <f t="shared" si="0"/>
        <v>100</v>
      </c>
      <c r="I24" s="163">
        <f t="shared" si="0"/>
        <v>100</v>
      </c>
      <c r="J24" s="163">
        <f t="shared" si="0"/>
        <v>100</v>
      </c>
      <c r="K24" s="163">
        <f t="shared" si="0"/>
        <v>100</v>
      </c>
      <c r="L24" s="163">
        <f t="shared" si="0"/>
        <v>100</v>
      </c>
    </row>
    <row r="25" spans="1:12" x14ac:dyDescent="0.25">
      <c r="A25" t="s">
        <v>8</v>
      </c>
      <c r="B25" s="163">
        <f>'Game Assumptions'!K42</f>
        <v>1200</v>
      </c>
      <c r="C25" s="163">
        <f t="shared" ref="C25:L32" si="1">INDEX($B$24:$L$32,MATCH($A25,$A$24:$A$32,0),C$23)+INDEX($B$2:$L$10,MATCH($A25,$A$2:$A$10,0),C$23+1)-INDEX($B$13:$L$21,MATCH($A25,$A$13:$A$21,0),C$23+1)</f>
        <v>1200</v>
      </c>
      <c r="D25" s="163">
        <f t="shared" si="1"/>
        <v>1200</v>
      </c>
      <c r="E25" s="163">
        <f t="shared" si="1"/>
        <v>1200</v>
      </c>
      <c r="F25" s="163">
        <f t="shared" si="1"/>
        <v>1200</v>
      </c>
      <c r="G25" s="163">
        <f t="shared" si="1"/>
        <v>1200</v>
      </c>
      <c r="H25" s="163">
        <f t="shared" si="1"/>
        <v>1200</v>
      </c>
      <c r="I25" s="163">
        <f t="shared" si="1"/>
        <v>1200</v>
      </c>
      <c r="J25" s="163">
        <f t="shared" si="1"/>
        <v>1200</v>
      </c>
      <c r="K25" s="163">
        <f t="shared" si="1"/>
        <v>1200</v>
      </c>
      <c r="L25" s="163">
        <f t="shared" si="1"/>
        <v>1200</v>
      </c>
    </row>
    <row r="26" spans="1:12" x14ac:dyDescent="0.25">
      <c r="A26" t="s">
        <v>13</v>
      </c>
      <c r="B26" s="163">
        <f>'Game Assumptions'!K43</f>
        <v>500</v>
      </c>
      <c r="C26" s="163">
        <f t="shared" si="1"/>
        <v>500</v>
      </c>
      <c r="D26" s="163">
        <f t="shared" si="1"/>
        <v>500</v>
      </c>
      <c r="E26" s="163">
        <f t="shared" si="1"/>
        <v>0</v>
      </c>
      <c r="F26" s="163">
        <f t="shared" si="1"/>
        <v>0</v>
      </c>
      <c r="G26" s="163">
        <f t="shared" si="1"/>
        <v>0</v>
      </c>
      <c r="H26" s="163">
        <f t="shared" si="1"/>
        <v>0</v>
      </c>
      <c r="I26" s="163">
        <f t="shared" si="1"/>
        <v>0</v>
      </c>
      <c r="J26" s="163">
        <f t="shared" si="1"/>
        <v>0</v>
      </c>
      <c r="K26" s="163">
        <f t="shared" si="1"/>
        <v>0</v>
      </c>
      <c r="L26" s="163">
        <f t="shared" si="1"/>
        <v>0</v>
      </c>
    </row>
    <row r="27" spans="1:12" x14ac:dyDescent="0.25">
      <c r="A27" t="s">
        <v>9</v>
      </c>
      <c r="B27" s="163">
        <f>'Game Assumptions'!K44</f>
        <v>30</v>
      </c>
      <c r="C27" s="163">
        <f t="shared" si="1"/>
        <v>30</v>
      </c>
      <c r="D27" s="163">
        <f t="shared" si="1"/>
        <v>30</v>
      </c>
      <c r="E27" s="163">
        <f t="shared" si="1"/>
        <v>30</v>
      </c>
      <c r="F27" s="163">
        <f t="shared" si="1"/>
        <v>30</v>
      </c>
      <c r="G27" s="163">
        <f t="shared" si="1"/>
        <v>30</v>
      </c>
      <c r="H27" s="163">
        <f t="shared" si="1"/>
        <v>30</v>
      </c>
      <c r="I27" s="163">
        <f t="shared" si="1"/>
        <v>30</v>
      </c>
      <c r="J27" s="163">
        <f t="shared" si="1"/>
        <v>30</v>
      </c>
      <c r="K27" s="163">
        <f t="shared" si="1"/>
        <v>30</v>
      </c>
      <c r="L27" s="163">
        <f t="shared" si="1"/>
        <v>30</v>
      </c>
    </row>
    <row r="28" spans="1:12" x14ac:dyDescent="0.25">
      <c r="A28" t="s">
        <v>10</v>
      </c>
      <c r="B28" s="163">
        <f>'Game Assumptions'!K45</f>
        <v>30</v>
      </c>
      <c r="C28" s="163">
        <f t="shared" si="1"/>
        <v>30</v>
      </c>
      <c r="D28" s="163">
        <f t="shared" si="1"/>
        <v>30</v>
      </c>
      <c r="E28" s="163">
        <f t="shared" si="1"/>
        <v>30</v>
      </c>
      <c r="F28" s="163">
        <f t="shared" si="1"/>
        <v>30</v>
      </c>
      <c r="G28" s="163">
        <f t="shared" si="1"/>
        <v>30</v>
      </c>
      <c r="H28" s="163">
        <f t="shared" si="1"/>
        <v>30</v>
      </c>
      <c r="I28" s="163">
        <f t="shared" si="1"/>
        <v>30</v>
      </c>
      <c r="J28" s="163">
        <f t="shared" si="1"/>
        <v>30</v>
      </c>
      <c r="K28" s="163">
        <f t="shared" si="1"/>
        <v>30</v>
      </c>
      <c r="L28" s="163">
        <f t="shared" si="1"/>
        <v>30</v>
      </c>
    </row>
    <row r="29" spans="1:12" x14ac:dyDescent="0.25">
      <c r="A29" t="s">
        <v>11</v>
      </c>
      <c r="B29" s="163">
        <f>'Game Assumptions'!K46</f>
        <v>30</v>
      </c>
      <c r="C29" s="163">
        <f t="shared" si="1"/>
        <v>30</v>
      </c>
      <c r="D29" s="163">
        <f t="shared" si="1"/>
        <v>30</v>
      </c>
      <c r="E29" s="163">
        <f t="shared" si="1"/>
        <v>30</v>
      </c>
      <c r="F29" s="163">
        <f t="shared" si="1"/>
        <v>30</v>
      </c>
      <c r="G29" s="163">
        <f t="shared" si="1"/>
        <v>30</v>
      </c>
      <c r="H29" s="163">
        <f t="shared" si="1"/>
        <v>30</v>
      </c>
      <c r="I29" s="163">
        <f t="shared" si="1"/>
        <v>30</v>
      </c>
      <c r="J29" s="163">
        <f t="shared" si="1"/>
        <v>30</v>
      </c>
      <c r="K29" s="163">
        <f t="shared" si="1"/>
        <v>30</v>
      </c>
      <c r="L29" s="163">
        <f t="shared" si="1"/>
        <v>30</v>
      </c>
    </row>
    <row r="30" spans="1:12" x14ac:dyDescent="0.25">
      <c r="A30" t="s">
        <v>261</v>
      </c>
      <c r="B30" s="163">
        <f>'Game Assumptions'!K47</f>
        <v>10</v>
      </c>
      <c r="C30" s="163">
        <f t="shared" si="1"/>
        <v>10</v>
      </c>
      <c r="D30" s="163">
        <f t="shared" si="1"/>
        <v>10</v>
      </c>
      <c r="E30" s="163">
        <f t="shared" si="1"/>
        <v>10</v>
      </c>
      <c r="F30" s="163">
        <f t="shared" si="1"/>
        <v>10</v>
      </c>
      <c r="G30" s="163">
        <f t="shared" si="1"/>
        <v>10</v>
      </c>
      <c r="H30" s="163">
        <f t="shared" si="1"/>
        <v>10</v>
      </c>
      <c r="I30" s="163">
        <f t="shared" si="1"/>
        <v>10</v>
      </c>
      <c r="J30" s="163">
        <f t="shared" si="1"/>
        <v>10</v>
      </c>
      <c r="K30" s="163">
        <f t="shared" si="1"/>
        <v>10</v>
      </c>
      <c r="L30" s="163">
        <f t="shared" si="1"/>
        <v>10</v>
      </c>
    </row>
    <row r="31" spans="1:12" x14ac:dyDescent="0.25">
      <c r="A31" t="s">
        <v>262</v>
      </c>
      <c r="B31" s="163">
        <f>'Game Assumptions'!K48</f>
        <v>10</v>
      </c>
      <c r="C31" s="163">
        <f t="shared" si="1"/>
        <v>10.5</v>
      </c>
      <c r="D31" s="163">
        <f t="shared" si="1"/>
        <v>11.5</v>
      </c>
      <c r="E31" s="163">
        <f t="shared" si="1"/>
        <v>13</v>
      </c>
      <c r="F31" s="163">
        <f t="shared" si="1"/>
        <v>15</v>
      </c>
      <c r="G31" s="163">
        <f t="shared" si="1"/>
        <v>17.5</v>
      </c>
      <c r="H31" s="163">
        <f t="shared" si="1"/>
        <v>20.5</v>
      </c>
      <c r="I31" s="163">
        <f t="shared" si="1"/>
        <v>24</v>
      </c>
      <c r="J31" s="163">
        <f t="shared" si="1"/>
        <v>28</v>
      </c>
      <c r="K31" s="163">
        <f t="shared" si="1"/>
        <v>32.5</v>
      </c>
      <c r="L31" s="163">
        <f t="shared" si="1"/>
        <v>37.5</v>
      </c>
    </row>
    <row r="32" spans="1:12" x14ac:dyDescent="0.25">
      <c r="A32" t="s">
        <v>399</v>
      </c>
      <c r="B32" s="163">
        <f>'Game Assumptions'!K49</f>
        <v>10</v>
      </c>
      <c r="C32" s="163">
        <f t="shared" si="1"/>
        <v>15</v>
      </c>
      <c r="D32" s="163">
        <f t="shared" si="1"/>
        <v>21</v>
      </c>
      <c r="E32" s="163">
        <f t="shared" si="1"/>
        <v>28</v>
      </c>
      <c r="F32" s="163">
        <f t="shared" si="1"/>
        <v>36</v>
      </c>
      <c r="G32" s="163">
        <f t="shared" si="1"/>
        <v>45</v>
      </c>
      <c r="H32" s="163">
        <f t="shared" si="1"/>
        <v>55</v>
      </c>
      <c r="I32" s="163">
        <f t="shared" si="1"/>
        <v>66</v>
      </c>
      <c r="J32" s="163">
        <f t="shared" si="1"/>
        <v>78</v>
      </c>
      <c r="K32" s="163">
        <f t="shared" si="1"/>
        <v>91</v>
      </c>
      <c r="L32" s="163">
        <f t="shared" si="1"/>
        <v>105</v>
      </c>
    </row>
    <row r="33" spans="1:12" x14ac:dyDescent="0.25">
      <c r="B33" s="2"/>
      <c r="C33" s="88"/>
      <c r="D33" s="88"/>
      <c r="E33" s="88"/>
      <c r="F33" s="88"/>
      <c r="G33" s="88"/>
      <c r="H33" s="88"/>
      <c r="I33" s="88"/>
      <c r="J33" s="88"/>
      <c r="K33" s="88"/>
      <c r="L33" s="88"/>
    </row>
    <row r="34" spans="1:12" x14ac:dyDescent="0.25">
      <c r="A34" s="9" t="s">
        <v>171</v>
      </c>
      <c r="B34" s="9">
        <v>0</v>
      </c>
      <c r="C34" s="9">
        <v>1</v>
      </c>
      <c r="D34" s="9">
        <v>2</v>
      </c>
      <c r="E34" s="9">
        <v>3</v>
      </c>
      <c r="F34" s="9">
        <v>4</v>
      </c>
      <c r="G34" s="9">
        <v>5</v>
      </c>
      <c r="H34" s="9">
        <v>6</v>
      </c>
      <c r="I34" s="9">
        <v>7</v>
      </c>
      <c r="J34" s="9">
        <v>8</v>
      </c>
      <c r="K34" s="9">
        <v>9</v>
      </c>
      <c r="L34" s="9">
        <v>10</v>
      </c>
    </row>
    <row r="35" spans="1:12" x14ac:dyDescent="0.25">
      <c r="A35" t="s">
        <v>7</v>
      </c>
      <c r="B35" s="88">
        <f>(B24*'Game Assumptions'!$G55*8760)</f>
        <v>2628000</v>
      </c>
      <c r="C35" s="88">
        <f>(C24*'Game Assumptions'!$G55*8760)</f>
        <v>1051200</v>
      </c>
      <c r="D35" s="88">
        <f>(D24*'Game Assumptions'!$G55*8760)</f>
        <v>1051200</v>
      </c>
      <c r="E35" s="88">
        <f>(E24*'Game Assumptions'!$G55*8760)</f>
        <v>1051200</v>
      </c>
      <c r="F35" s="88">
        <f>(F24*'Game Assumptions'!$G55*8760)</f>
        <v>1051200</v>
      </c>
      <c r="G35" s="88">
        <f>(G24*'Game Assumptions'!$G55*8760)</f>
        <v>525600</v>
      </c>
      <c r="H35" s="88">
        <f>(H24*'Game Assumptions'!$G55*8760)</f>
        <v>525600</v>
      </c>
      <c r="I35" s="88">
        <f>(I24*'Game Assumptions'!$G55*8760)</f>
        <v>525600</v>
      </c>
      <c r="J35" s="88">
        <f>(J24*'Game Assumptions'!$G55*8760)</f>
        <v>525600</v>
      </c>
      <c r="K35" s="88">
        <f>(K24*'Game Assumptions'!$G55*8760)</f>
        <v>525600</v>
      </c>
      <c r="L35" s="88">
        <f>(L24*'Game Assumptions'!$G55*8760)</f>
        <v>525600</v>
      </c>
    </row>
    <row r="36" spans="1:12" x14ac:dyDescent="0.25">
      <c r="A36" t="s">
        <v>8</v>
      </c>
      <c r="B36" s="88">
        <f>(B25*'Game Assumptions'!$G56*8760)</f>
        <v>4204800</v>
      </c>
      <c r="C36" s="88">
        <f>(C25*'Game Assumptions'!$G56*8760)</f>
        <v>4204800</v>
      </c>
      <c r="D36" s="88">
        <f>(D25*'Game Assumptions'!$G56*8760)</f>
        <v>4204800</v>
      </c>
      <c r="E36" s="88">
        <f>(E25*'Game Assumptions'!$G56*8760)</f>
        <v>4204800</v>
      </c>
      <c r="F36" s="88">
        <f>(F25*'Game Assumptions'!$G56*8760)</f>
        <v>4204800</v>
      </c>
      <c r="G36" s="88">
        <f>(G25*'Game Assumptions'!$G56*8760)</f>
        <v>4204800</v>
      </c>
      <c r="H36" s="88">
        <f>(H25*'Game Assumptions'!$G56*8760)</f>
        <v>4204800</v>
      </c>
      <c r="I36" s="88">
        <f>(I25*'Game Assumptions'!$G56*8760)</f>
        <v>4204800</v>
      </c>
      <c r="J36" s="88">
        <f>(J25*'Game Assumptions'!$G56*8760)</f>
        <v>4204800</v>
      </c>
      <c r="K36" s="88">
        <f>(K25*'Game Assumptions'!$G56*8760)</f>
        <v>4204800</v>
      </c>
      <c r="L36" s="88">
        <f>(L25*'Game Assumptions'!$G56*8760)</f>
        <v>4204800</v>
      </c>
    </row>
    <row r="37" spans="1:12" x14ac:dyDescent="0.25">
      <c r="A37" t="s">
        <v>13</v>
      </c>
      <c r="B37" s="88">
        <f>(B26*'Game Assumptions'!$G57*8760)</f>
        <v>3942000</v>
      </c>
      <c r="C37" s="88">
        <f>(C26*'Game Assumptions'!$G57*8760)</f>
        <v>3942000</v>
      </c>
      <c r="D37" s="88">
        <f>(D26*'Game Assumptions'!$G57*8760)</f>
        <v>3942000</v>
      </c>
      <c r="E37" s="88">
        <f>(E26*'Game Assumptions'!$G57*8760)</f>
        <v>0</v>
      </c>
      <c r="F37" s="88">
        <f>(F26*'Game Assumptions'!$G57*8760)</f>
        <v>0</v>
      </c>
      <c r="G37" s="88">
        <f>(G26*'Game Assumptions'!$G57*8760)</f>
        <v>0</v>
      </c>
      <c r="H37" s="88">
        <f>(H26*'Game Assumptions'!$G57*8760)</f>
        <v>0</v>
      </c>
      <c r="I37" s="88">
        <f>(I26*'Game Assumptions'!$G57*8760)</f>
        <v>0</v>
      </c>
      <c r="J37" s="88">
        <f>(J26*'Game Assumptions'!$G57*8760)</f>
        <v>0</v>
      </c>
      <c r="K37" s="88">
        <f>(K26*'Game Assumptions'!$G57*8760)</f>
        <v>0</v>
      </c>
      <c r="L37" s="88">
        <f>(L26*'Game Assumptions'!$G57*8760)</f>
        <v>0</v>
      </c>
    </row>
    <row r="38" spans="1:12" x14ac:dyDescent="0.25">
      <c r="A38" t="s">
        <v>9</v>
      </c>
      <c r="B38" s="88">
        <f>(B27*'Game Assumptions'!$G58*8760)</f>
        <v>65700</v>
      </c>
      <c r="C38" s="88">
        <f>(C27*'Game Assumptions'!$G58*8760)</f>
        <v>65700</v>
      </c>
      <c r="D38" s="88">
        <f>(D27*'Game Assumptions'!$G58*8760)</f>
        <v>65700</v>
      </c>
      <c r="E38" s="88">
        <f>(E27*'Game Assumptions'!$G58*8760)</f>
        <v>65700</v>
      </c>
      <c r="F38" s="88">
        <f>(F27*'Game Assumptions'!$G58*8760)</f>
        <v>65700</v>
      </c>
      <c r="G38" s="88">
        <f>(G27*'Game Assumptions'!$G58*8760)</f>
        <v>65700</v>
      </c>
      <c r="H38" s="88">
        <f>(H27*'Game Assumptions'!$G58*8760)</f>
        <v>65700</v>
      </c>
      <c r="I38" s="88">
        <f>(I27*'Game Assumptions'!$G58*8760)</f>
        <v>65700</v>
      </c>
      <c r="J38" s="88">
        <f>(J27*'Game Assumptions'!$G58*8760)</f>
        <v>65700</v>
      </c>
      <c r="K38" s="88">
        <f>(K27*'Game Assumptions'!$G58*8760)</f>
        <v>65700</v>
      </c>
      <c r="L38" s="88">
        <f>(L27*'Game Assumptions'!$G58*8760)</f>
        <v>65700</v>
      </c>
    </row>
    <row r="39" spans="1:12" x14ac:dyDescent="0.25">
      <c r="A39" t="s">
        <v>10</v>
      </c>
      <c r="B39" s="88">
        <f>(B28*'Game Assumptions'!$G59*8760)</f>
        <v>78840</v>
      </c>
      <c r="C39" s="88">
        <f>(C28*'Game Assumptions'!$G59*8760)</f>
        <v>78840</v>
      </c>
      <c r="D39" s="88">
        <f>(D28*'Game Assumptions'!$G59*8760)</f>
        <v>78840</v>
      </c>
      <c r="E39" s="88">
        <f>(E28*'Game Assumptions'!$G59*8760)</f>
        <v>78840</v>
      </c>
      <c r="F39" s="88">
        <f>(F28*'Game Assumptions'!$G59*8760)</f>
        <v>78840</v>
      </c>
      <c r="G39" s="88">
        <f>(G28*'Game Assumptions'!$G59*8760)</f>
        <v>78840</v>
      </c>
      <c r="H39" s="88">
        <f>(H28*'Game Assumptions'!$G59*8760)</f>
        <v>78840</v>
      </c>
      <c r="I39" s="88">
        <f>(I28*'Game Assumptions'!$G59*8760)</f>
        <v>78840</v>
      </c>
      <c r="J39" s="88">
        <f>(J28*'Game Assumptions'!$G59*8760)</f>
        <v>78840</v>
      </c>
      <c r="K39" s="88">
        <f>(K28*'Game Assumptions'!$G59*8760)</f>
        <v>78840</v>
      </c>
      <c r="L39" s="88">
        <f>(L28*'Game Assumptions'!$G59*8760)</f>
        <v>78840</v>
      </c>
    </row>
    <row r="40" spans="1:12" x14ac:dyDescent="0.25">
      <c r="A40" t="s">
        <v>11</v>
      </c>
      <c r="B40" s="88">
        <f>(B29*'Game Assumptions'!$G60*8760)</f>
        <v>157680</v>
      </c>
      <c r="C40" s="88">
        <f>(C29*'Game Assumptions'!$G60*8760)</f>
        <v>157680</v>
      </c>
      <c r="D40" s="88">
        <f>(D29*'Game Assumptions'!$G60*8760)</f>
        <v>157680</v>
      </c>
      <c r="E40" s="88">
        <f>(E29*'Game Assumptions'!$G60*8760)</f>
        <v>157680</v>
      </c>
      <c r="F40" s="88">
        <f>(F29*'Game Assumptions'!$G60*8760)</f>
        <v>157680</v>
      </c>
      <c r="G40" s="88">
        <f>(G29*'Game Assumptions'!$G60*8760)</f>
        <v>157680</v>
      </c>
      <c r="H40" s="88">
        <f>(H29*'Game Assumptions'!$G60*8760)</f>
        <v>157680</v>
      </c>
      <c r="I40" s="88">
        <f>(I29*'Game Assumptions'!$G60*8760)</f>
        <v>157680</v>
      </c>
      <c r="J40" s="88">
        <f>(J29*'Game Assumptions'!$G60*8760)</f>
        <v>157680</v>
      </c>
      <c r="K40" s="88">
        <f>(K29*'Game Assumptions'!$G60*8760)</f>
        <v>157680</v>
      </c>
      <c r="L40" s="88">
        <f>(L29*'Game Assumptions'!$G60*8760)</f>
        <v>157680</v>
      </c>
    </row>
    <row r="41" spans="1:12" x14ac:dyDescent="0.25">
      <c r="A41" t="s">
        <v>261</v>
      </c>
      <c r="B41" s="88">
        <f>(B30*'Game Assumptions'!$G61*8760)</f>
        <v>87600</v>
      </c>
      <c r="C41" s="88">
        <f>(C30*'Game Assumptions'!$G61*8760)</f>
        <v>87600</v>
      </c>
      <c r="D41" s="88">
        <f>(D30*'Game Assumptions'!$G61*8760)</f>
        <v>87600</v>
      </c>
      <c r="E41" s="88">
        <f>(E30*'Game Assumptions'!$G61*8760)</f>
        <v>87600</v>
      </c>
      <c r="F41" s="88">
        <f>(F30*'Game Assumptions'!$G61*8760)</f>
        <v>87600</v>
      </c>
      <c r="G41" s="88">
        <f>(G30*'Game Assumptions'!$G61*8760)</f>
        <v>87600</v>
      </c>
      <c r="H41" s="88">
        <f>(H30*'Game Assumptions'!$G61*8760)</f>
        <v>87600</v>
      </c>
      <c r="I41" s="88">
        <f>(I30*'Game Assumptions'!$G61*8760)</f>
        <v>87600</v>
      </c>
      <c r="J41" s="88">
        <f>(J30*'Game Assumptions'!$G61*8760)</f>
        <v>87600</v>
      </c>
      <c r="K41" s="88">
        <f>(K30*'Game Assumptions'!$G61*8760)</f>
        <v>87600</v>
      </c>
      <c r="L41" s="88">
        <f>(L30*'Game Assumptions'!$G61*8760)</f>
        <v>87600</v>
      </c>
    </row>
    <row r="42" spans="1:12" x14ac:dyDescent="0.25">
      <c r="A42" t="s">
        <v>262</v>
      </c>
      <c r="B42" s="88">
        <f>(B31*'Game Assumptions'!$G62*8760)</f>
        <v>87600</v>
      </c>
      <c r="C42" s="88">
        <f>(C31*'Game Assumptions'!$G62*8760)</f>
        <v>91980</v>
      </c>
      <c r="D42" s="88">
        <f>(D31*'Game Assumptions'!$G62*8760)</f>
        <v>100740</v>
      </c>
      <c r="E42" s="88">
        <f>(E31*'Game Assumptions'!$G62*8760)</f>
        <v>113880</v>
      </c>
      <c r="F42" s="88">
        <f>(F31*'Game Assumptions'!$G62*8760)</f>
        <v>131400</v>
      </c>
      <c r="G42" s="88">
        <f>(G31*'Game Assumptions'!$G62*8760)</f>
        <v>153300</v>
      </c>
      <c r="H42" s="88">
        <f>(H31*'Game Assumptions'!$G62*8760)</f>
        <v>179580</v>
      </c>
      <c r="I42" s="88">
        <f>(I31*'Game Assumptions'!$G62*8760)</f>
        <v>210240</v>
      </c>
      <c r="J42" s="88">
        <f>(J31*'Game Assumptions'!$G62*8760)</f>
        <v>245280</v>
      </c>
      <c r="K42" s="88">
        <f>(K31*'Game Assumptions'!$G62*8760)</f>
        <v>284700</v>
      </c>
      <c r="L42" s="88">
        <f>(L31*'Game Assumptions'!$G62*8760)</f>
        <v>328500</v>
      </c>
    </row>
    <row r="43" spans="1:12" x14ac:dyDescent="0.25">
      <c r="A43" t="s">
        <v>399</v>
      </c>
      <c r="B43" s="88">
        <f>(B32*'Game Assumptions'!$G63*8760)</f>
        <v>21900</v>
      </c>
      <c r="C43" s="88">
        <f>(C32*'Game Assumptions'!$G63*8760)</f>
        <v>32850</v>
      </c>
      <c r="D43" s="88">
        <f>(D32*'Game Assumptions'!$G63*8760)</f>
        <v>45990</v>
      </c>
      <c r="E43" s="88">
        <f>(E32*'Game Assumptions'!$G63*8760)</f>
        <v>61320</v>
      </c>
      <c r="F43" s="88">
        <f>(F32*'Game Assumptions'!$G63*8760)</f>
        <v>78840</v>
      </c>
      <c r="G43" s="88">
        <f>(G32*'Game Assumptions'!$G63*8760)</f>
        <v>98550</v>
      </c>
      <c r="H43" s="88">
        <f>(H32*'Game Assumptions'!$G63*8760)</f>
        <v>120450</v>
      </c>
      <c r="I43" s="88">
        <f>(I32*'Game Assumptions'!$G63*8760)</f>
        <v>144540</v>
      </c>
      <c r="J43" s="88">
        <f>(J32*'Game Assumptions'!$G63*8760)</f>
        <v>170820</v>
      </c>
      <c r="K43" s="88">
        <f>(K32*'Game Assumptions'!$G63*8760)</f>
        <v>199290</v>
      </c>
      <c r="L43" s="88">
        <f>(L32*'Game Assumptions'!$G63*8760)</f>
        <v>229950</v>
      </c>
    </row>
    <row r="45" spans="1:12" x14ac:dyDescent="0.25">
      <c r="A45" s="9" t="s">
        <v>172</v>
      </c>
      <c r="B45" s="9">
        <v>0</v>
      </c>
      <c r="C45" s="9">
        <v>1</v>
      </c>
      <c r="D45" s="9">
        <v>2</v>
      </c>
      <c r="E45" s="9">
        <v>3</v>
      </c>
      <c r="F45" s="9">
        <v>4</v>
      </c>
      <c r="G45" s="9">
        <v>5</v>
      </c>
      <c r="H45" s="9">
        <v>6</v>
      </c>
      <c r="I45" s="9">
        <v>7</v>
      </c>
      <c r="J45" s="9">
        <v>8</v>
      </c>
      <c r="K45" s="9">
        <v>9</v>
      </c>
      <c r="L45" s="9">
        <v>10</v>
      </c>
    </row>
    <row r="46" spans="1:12" x14ac:dyDescent="0.25">
      <c r="A46" t="s">
        <v>7</v>
      </c>
      <c r="B46" s="88">
        <f>B35</f>
        <v>2628000</v>
      </c>
      <c r="C46" s="88">
        <f t="shared" ref="C46:L46" si="2">C35</f>
        <v>1051200</v>
      </c>
      <c r="D46" s="88">
        <f t="shared" si="2"/>
        <v>1051200</v>
      </c>
      <c r="E46" s="88">
        <f t="shared" si="2"/>
        <v>1051200</v>
      </c>
      <c r="F46" s="88">
        <f t="shared" si="2"/>
        <v>1051200</v>
      </c>
      <c r="G46" s="88">
        <f t="shared" si="2"/>
        <v>525600</v>
      </c>
      <c r="H46" s="88">
        <f t="shared" si="2"/>
        <v>525600</v>
      </c>
      <c r="I46" s="88">
        <f t="shared" si="2"/>
        <v>525600</v>
      </c>
      <c r="J46" s="88">
        <f t="shared" si="2"/>
        <v>525600</v>
      </c>
      <c r="K46" s="88">
        <f t="shared" si="2"/>
        <v>525600</v>
      </c>
      <c r="L46" s="88">
        <f t="shared" si="2"/>
        <v>525600</v>
      </c>
    </row>
    <row r="47" spans="1:12" x14ac:dyDescent="0.25">
      <c r="A47" t="s">
        <v>8</v>
      </c>
      <c r="B47" s="88">
        <f t="shared" ref="B47:L48" si="3">B36</f>
        <v>4204800</v>
      </c>
      <c r="C47" s="88">
        <f t="shared" si="3"/>
        <v>4204800</v>
      </c>
      <c r="D47" s="88">
        <f t="shared" si="3"/>
        <v>4204800</v>
      </c>
      <c r="E47" s="88">
        <f t="shared" si="3"/>
        <v>4204800</v>
      </c>
      <c r="F47" s="88">
        <f t="shared" si="3"/>
        <v>4204800</v>
      </c>
      <c r="G47" s="88">
        <f t="shared" si="3"/>
        <v>4204800</v>
      </c>
      <c r="H47" s="88">
        <f t="shared" si="3"/>
        <v>4204800</v>
      </c>
      <c r="I47" s="88">
        <f t="shared" si="3"/>
        <v>4204800</v>
      </c>
      <c r="J47" s="88">
        <f t="shared" si="3"/>
        <v>4204800</v>
      </c>
      <c r="K47" s="88">
        <f t="shared" si="3"/>
        <v>4204800</v>
      </c>
      <c r="L47" s="88">
        <f t="shared" si="3"/>
        <v>4204800</v>
      </c>
    </row>
    <row r="48" spans="1:12" x14ac:dyDescent="0.25">
      <c r="A48" t="s">
        <v>13</v>
      </c>
      <c r="B48" s="88">
        <f t="shared" si="3"/>
        <v>3942000</v>
      </c>
      <c r="C48" s="88">
        <f t="shared" si="3"/>
        <v>3942000</v>
      </c>
      <c r="D48" s="88">
        <f t="shared" si="3"/>
        <v>3942000</v>
      </c>
      <c r="E48" s="88">
        <f t="shared" si="3"/>
        <v>0</v>
      </c>
      <c r="F48" s="88">
        <f t="shared" si="3"/>
        <v>0</v>
      </c>
      <c r="G48" s="88">
        <f t="shared" si="3"/>
        <v>0</v>
      </c>
      <c r="H48" s="88">
        <f t="shared" si="3"/>
        <v>0</v>
      </c>
      <c r="I48" s="88">
        <f t="shared" si="3"/>
        <v>0</v>
      </c>
      <c r="J48" s="88">
        <f t="shared" si="3"/>
        <v>0</v>
      </c>
      <c r="K48" s="88">
        <f t="shared" si="3"/>
        <v>0</v>
      </c>
      <c r="L48" s="88">
        <f t="shared" si="3"/>
        <v>0</v>
      </c>
    </row>
    <row r="49" spans="1:12" x14ac:dyDescent="0.25">
      <c r="A49" t="s">
        <v>9</v>
      </c>
      <c r="B49" s="88">
        <f>MIN(B27,Reliability!B55)*8760*'Game Assumptions'!$G$58</f>
        <v>65700</v>
      </c>
      <c r="C49" s="88">
        <f>MIN(C27,Reliability!C55)*8760*'Game Assumptions'!$G$58</f>
        <v>65700</v>
      </c>
      <c r="D49" s="88">
        <f>MIN(D27,Reliability!D55)*8760*'Game Assumptions'!$G$58</f>
        <v>65700</v>
      </c>
      <c r="E49" s="88">
        <f>MIN(E27,Reliability!E55)*8760*'Game Assumptions'!$G$58</f>
        <v>65700</v>
      </c>
      <c r="F49" s="88">
        <f>MIN(F27,Reliability!F55)*8760*'Game Assumptions'!$G$58</f>
        <v>65700</v>
      </c>
      <c r="G49" s="88">
        <f>MIN(G27,Reliability!G55)*8760*'Game Assumptions'!$G$58</f>
        <v>65700</v>
      </c>
      <c r="H49" s="88">
        <f>MIN(H27,Reliability!H55)*8760*'Game Assumptions'!$G$58</f>
        <v>65700</v>
      </c>
      <c r="I49" s="88">
        <f>MIN(I27,Reliability!I55)*8760*'Game Assumptions'!$G$58</f>
        <v>65700</v>
      </c>
      <c r="J49" s="88">
        <f>MIN(J27,Reliability!J55)*8760*'Game Assumptions'!$G$58</f>
        <v>65700</v>
      </c>
      <c r="K49" s="88">
        <f>MIN(K27,Reliability!K55)*8760*'Game Assumptions'!$G$58</f>
        <v>65700</v>
      </c>
      <c r="L49" s="88">
        <f>MIN(L27,Reliability!L55)*8760*'Game Assumptions'!$G$58</f>
        <v>65700</v>
      </c>
    </row>
    <row r="50" spans="1:12" x14ac:dyDescent="0.25">
      <c r="A50" t="s">
        <v>10</v>
      </c>
      <c r="B50" s="88">
        <f>MIN(B28,Reliability!B55)*8760*'Game Assumptions'!$G$59</f>
        <v>78840</v>
      </c>
      <c r="C50" s="88">
        <f>MIN(C28,Reliability!C55)*8760*'Game Assumptions'!$G$59</f>
        <v>78840</v>
      </c>
      <c r="D50" s="88">
        <f>MIN(D28,Reliability!D55)*8760*'Game Assumptions'!$G$59</f>
        <v>78840</v>
      </c>
      <c r="E50" s="88">
        <f>MIN(E28,Reliability!E55)*8760*'Game Assumptions'!$G$59</f>
        <v>78840</v>
      </c>
      <c r="F50" s="88">
        <f>MIN(F28,Reliability!F55)*8760*'Game Assumptions'!$G$59</f>
        <v>78840</v>
      </c>
      <c r="G50" s="88">
        <f>MIN(G28,Reliability!G55)*8760*'Game Assumptions'!$G$59</f>
        <v>78840</v>
      </c>
      <c r="H50" s="88">
        <f>MIN(H28,Reliability!H55)*8760*'Game Assumptions'!$G$59</f>
        <v>78840</v>
      </c>
      <c r="I50" s="88">
        <f>MIN(I28,Reliability!I55)*8760*'Game Assumptions'!$G$59</f>
        <v>78840</v>
      </c>
      <c r="J50" s="88">
        <f>MIN(J28,Reliability!J55)*8760*'Game Assumptions'!$G$59</f>
        <v>78840</v>
      </c>
      <c r="K50" s="88">
        <f>MIN(K28,Reliability!K55)*8760*'Game Assumptions'!$G$59</f>
        <v>78840</v>
      </c>
      <c r="L50" s="88">
        <f>MIN(L28,Reliability!L55)*8760*'Game Assumptions'!$G$59</f>
        <v>78840</v>
      </c>
    </row>
    <row r="51" spans="1:12" x14ac:dyDescent="0.25">
      <c r="A51" t="s">
        <v>11</v>
      </c>
      <c r="B51" s="88">
        <f>B40</f>
        <v>157680</v>
      </c>
      <c r="C51" s="88">
        <f t="shared" ref="C51:L51" si="4">C40</f>
        <v>157680</v>
      </c>
      <c r="D51" s="88">
        <f t="shared" si="4"/>
        <v>157680</v>
      </c>
      <c r="E51" s="88">
        <f t="shared" si="4"/>
        <v>157680</v>
      </c>
      <c r="F51" s="88">
        <f t="shared" si="4"/>
        <v>157680</v>
      </c>
      <c r="G51" s="88">
        <f t="shared" si="4"/>
        <v>157680</v>
      </c>
      <c r="H51" s="88">
        <f t="shared" si="4"/>
        <v>157680</v>
      </c>
      <c r="I51" s="88">
        <f t="shared" si="4"/>
        <v>157680</v>
      </c>
      <c r="J51" s="88">
        <f t="shared" si="4"/>
        <v>157680</v>
      </c>
      <c r="K51" s="88">
        <f t="shared" si="4"/>
        <v>157680</v>
      </c>
      <c r="L51" s="88">
        <f t="shared" si="4"/>
        <v>157680</v>
      </c>
    </row>
    <row r="52" spans="1:12" x14ac:dyDescent="0.25">
      <c r="A52" t="s">
        <v>261</v>
      </c>
      <c r="B52" s="88">
        <f>B41</f>
        <v>87600</v>
      </c>
      <c r="C52" s="88">
        <f t="shared" ref="C52:L52" si="5">C41</f>
        <v>87600</v>
      </c>
      <c r="D52" s="88">
        <f t="shared" si="5"/>
        <v>87600</v>
      </c>
      <c r="E52" s="88">
        <f t="shared" si="5"/>
        <v>87600</v>
      </c>
      <c r="F52" s="88">
        <f t="shared" si="5"/>
        <v>87600</v>
      </c>
      <c r="G52" s="88">
        <f t="shared" si="5"/>
        <v>87600</v>
      </c>
      <c r="H52" s="88">
        <f t="shared" si="5"/>
        <v>87600</v>
      </c>
      <c r="I52" s="88">
        <f t="shared" si="5"/>
        <v>87600</v>
      </c>
      <c r="J52" s="88">
        <f t="shared" si="5"/>
        <v>87600</v>
      </c>
      <c r="K52" s="88">
        <f t="shared" si="5"/>
        <v>87600</v>
      </c>
      <c r="L52" s="88">
        <f t="shared" si="5"/>
        <v>87600</v>
      </c>
    </row>
    <row r="53" spans="1:12" x14ac:dyDescent="0.25">
      <c r="A53" t="s">
        <v>262</v>
      </c>
      <c r="B53" s="88">
        <f>B42</f>
        <v>87600</v>
      </c>
      <c r="C53" s="88">
        <f t="shared" ref="C53:L53" si="6">C42</f>
        <v>91980</v>
      </c>
      <c r="D53" s="88">
        <f t="shared" si="6"/>
        <v>100740</v>
      </c>
      <c r="E53" s="88">
        <f t="shared" si="6"/>
        <v>113880</v>
      </c>
      <c r="F53" s="88">
        <f t="shared" si="6"/>
        <v>131400</v>
      </c>
      <c r="G53" s="88">
        <f t="shared" si="6"/>
        <v>153300</v>
      </c>
      <c r="H53" s="88">
        <f t="shared" si="6"/>
        <v>179580</v>
      </c>
      <c r="I53" s="88">
        <f t="shared" si="6"/>
        <v>210240</v>
      </c>
      <c r="J53" s="88">
        <f t="shared" si="6"/>
        <v>245280</v>
      </c>
      <c r="K53" s="88">
        <f t="shared" si="6"/>
        <v>284700</v>
      </c>
      <c r="L53" s="88">
        <f t="shared" si="6"/>
        <v>328500</v>
      </c>
    </row>
    <row r="54" spans="1:12" x14ac:dyDescent="0.25">
      <c r="A54" t="s">
        <v>399</v>
      </c>
      <c r="B54" s="88">
        <f>MIN(B32,Reliability!B56)*8760*'Game Assumptions'!$G$63</f>
        <v>21900</v>
      </c>
      <c r="C54" s="88">
        <f>MIN(C32,Reliability!C56)*8760*'Game Assumptions'!$G$63</f>
        <v>32850</v>
      </c>
      <c r="D54" s="88">
        <f>MIN(D32,Reliability!D56)*8760*'Game Assumptions'!$G$63</f>
        <v>45990</v>
      </c>
      <c r="E54" s="88">
        <f>MIN(E32,Reliability!E56)*8760*'Game Assumptions'!$G$63</f>
        <v>61320</v>
      </c>
      <c r="F54" s="88">
        <f>MIN(F32,Reliability!F56)*8760*'Game Assumptions'!$G$63</f>
        <v>78840</v>
      </c>
      <c r="G54" s="88">
        <f>MIN(G32,Reliability!G56)*8760*'Game Assumptions'!$G$63</f>
        <v>98550</v>
      </c>
      <c r="H54" s="88">
        <f>MIN(H32,Reliability!H56)*8760*'Game Assumptions'!$G$63</f>
        <v>120450</v>
      </c>
      <c r="I54" s="88">
        <f>MIN(I32,Reliability!I56)*8760*'Game Assumptions'!$G$63</f>
        <v>144540</v>
      </c>
      <c r="J54" s="88">
        <f>MIN(J32,Reliability!J56)*8760*'Game Assumptions'!$G$63</f>
        <v>170820</v>
      </c>
      <c r="K54" s="88">
        <f>MIN(K32,Reliability!K56)*8760*'Game Assumptions'!$G$63</f>
        <v>199290</v>
      </c>
      <c r="L54" s="88">
        <f>MIN(L32,Reliability!L56)*8760*'Game Assumptions'!$G$63</f>
        <v>229950</v>
      </c>
    </row>
    <row r="56" spans="1:12" x14ac:dyDescent="0.25">
      <c r="A56" s="9" t="s">
        <v>32</v>
      </c>
      <c r="B56" s="9">
        <v>0</v>
      </c>
      <c r="C56" s="9">
        <v>1</v>
      </c>
      <c r="D56" s="9">
        <v>2</v>
      </c>
      <c r="E56" s="9">
        <v>3</v>
      </c>
      <c r="F56" s="9">
        <v>4</v>
      </c>
      <c r="G56" s="9">
        <v>5</v>
      </c>
      <c r="H56" s="9">
        <v>6</v>
      </c>
      <c r="I56" s="9">
        <v>7</v>
      </c>
      <c r="J56" s="9">
        <v>8</v>
      </c>
      <c r="K56" s="9">
        <v>9</v>
      </c>
      <c r="L56" s="9">
        <v>10</v>
      </c>
    </row>
    <row r="57" spans="1:12" x14ac:dyDescent="0.25">
      <c r="A57" s="17" t="s">
        <v>62</v>
      </c>
      <c r="B57" s="88">
        <f>90000*(10^2)</f>
        <v>9000000</v>
      </c>
      <c r="C57" s="88">
        <f>88000*(10^2)</f>
        <v>8800000</v>
      </c>
      <c r="D57" s="88">
        <f>87000*(10^2)</f>
        <v>8700000</v>
      </c>
      <c r="E57" s="88">
        <f>85000*(10^2)</f>
        <v>8500000</v>
      </c>
      <c r="F57" s="88">
        <f>83000*(10^2)</f>
        <v>8300000</v>
      </c>
      <c r="G57" s="88">
        <f>84000*(10^2)</f>
        <v>8400000</v>
      </c>
      <c r="H57" s="88">
        <f>82000*(10^2)</f>
        <v>8200000</v>
      </c>
      <c r="I57" s="88">
        <f>80000*(10^2)</f>
        <v>8000000</v>
      </c>
      <c r="J57" s="88">
        <f>82000*(10^2)</f>
        <v>8200000</v>
      </c>
      <c r="K57" s="88">
        <f>81000*(10^2)</f>
        <v>8100000</v>
      </c>
      <c r="L57" s="88">
        <f>80000*(10^2)</f>
        <v>8000000</v>
      </c>
    </row>
    <row r="58" spans="1:12" x14ac:dyDescent="0.25">
      <c r="A58" s="17" t="s">
        <v>265</v>
      </c>
      <c r="B58" s="88">
        <f>B57-B53-B54</f>
        <v>8890500</v>
      </c>
      <c r="C58" s="88">
        <f t="shared" ref="C58:L58" si="7">C57-C53-C54</f>
        <v>8675170</v>
      </c>
      <c r="D58" s="88">
        <f t="shared" si="7"/>
        <v>8553270</v>
      </c>
      <c r="E58" s="88">
        <f t="shared" si="7"/>
        <v>8324800</v>
      </c>
      <c r="F58" s="88">
        <f t="shared" si="7"/>
        <v>8089760</v>
      </c>
      <c r="G58" s="88">
        <f t="shared" si="7"/>
        <v>8148150</v>
      </c>
      <c r="H58" s="88">
        <f t="shared" si="7"/>
        <v>7899970</v>
      </c>
      <c r="I58" s="88">
        <f t="shared" si="7"/>
        <v>7645220</v>
      </c>
      <c r="J58" s="88">
        <f t="shared" si="7"/>
        <v>7783900</v>
      </c>
      <c r="K58" s="88">
        <f t="shared" si="7"/>
        <v>7616010</v>
      </c>
      <c r="L58" s="88">
        <f t="shared" si="7"/>
        <v>7441550</v>
      </c>
    </row>
    <row r="59" spans="1:12" x14ac:dyDescent="0.25">
      <c r="A59" s="17" t="s">
        <v>292</v>
      </c>
      <c r="B59" s="89">
        <v>9000000</v>
      </c>
      <c r="C59" s="89">
        <v>8448000</v>
      </c>
      <c r="D59" s="89">
        <v>9135000</v>
      </c>
      <c r="E59" s="89">
        <v>8840000</v>
      </c>
      <c r="F59" s="89">
        <v>8715000</v>
      </c>
      <c r="G59" s="89">
        <v>8568000</v>
      </c>
      <c r="H59" s="89">
        <v>7954000</v>
      </c>
      <c r="I59" s="89">
        <v>8400000</v>
      </c>
      <c r="J59" s="89">
        <v>8118000</v>
      </c>
      <c r="K59" s="89">
        <v>7776000</v>
      </c>
      <c r="L59" s="89">
        <v>8000000</v>
      </c>
    </row>
    <row r="60" spans="1:12" s="149" customFormat="1" x14ac:dyDescent="0.25">
      <c r="A60" s="149" t="s">
        <v>293</v>
      </c>
      <c r="B60" s="164">
        <f>B59+'Event Tracker'!B10*'Game Assumptions'!$B$21*'Resource Mix and Demand'!B59</f>
        <v>9000000</v>
      </c>
      <c r="C60" s="164">
        <f>C59+'Event Tracker'!C10*'Game Assumptions'!$B$21*'Resource Mix and Demand'!C59</f>
        <v>8448000</v>
      </c>
      <c r="D60" s="164">
        <f>D59+'Event Tracker'!D10*'Game Assumptions'!$B$21*'Resource Mix and Demand'!D59</f>
        <v>9135000</v>
      </c>
      <c r="E60" s="164">
        <f>E59+'Event Tracker'!E10*'Game Assumptions'!$B$21*'Resource Mix and Demand'!E59</f>
        <v>8840000</v>
      </c>
      <c r="F60" s="164">
        <f>F59+'Event Tracker'!F10*'Game Assumptions'!$B$21*'Resource Mix and Demand'!F59</f>
        <v>8715000</v>
      </c>
      <c r="G60" s="164">
        <f>G59+'Event Tracker'!G10*'Game Assumptions'!$B$21*'Resource Mix and Demand'!G59</f>
        <v>8568000</v>
      </c>
      <c r="H60" s="164">
        <f>H59+'Event Tracker'!H10*'Game Assumptions'!$B$21*'Resource Mix and Demand'!H59</f>
        <v>7954000</v>
      </c>
      <c r="I60" s="164">
        <f>I59+'Event Tracker'!I10*'Game Assumptions'!$B$21*'Resource Mix and Demand'!I59</f>
        <v>8400000</v>
      </c>
      <c r="J60" s="164">
        <f>J59+'Event Tracker'!J10*'Game Assumptions'!$B$21*'Resource Mix and Demand'!J59</f>
        <v>8118000</v>
      </c>
      <c r="K60" s="164">
        <f>K59+'Event Tracker'!K10*'Game Assumptions'!$B$21*'Resource Mix and Demand'!K59</f>
        <v>7776000</v>
      </c>
      <c r="L60" s="164">
        <f>L59+'Event Tracker'!L10*'Game Assumptions'!$B$21*'Resource Mix and Demand'!L59</f>
        <v>8000000</v>
      </c>
    </row>
    <row r="61" spans="1:12" x14ac:dyDescent="0.25">
      <c r="A61" s="17" t="s">
        <v>266</v>
      </c>
      <c r="B61" s="89">
        <f>B60-SUM(B53:B54)</f>
        <v>8890500</v>
      </c>
      <c r="C61" s="89">
        <f t="shared" ref="C61:L61" si="8">C60-SUM(C53:C54)</f>
        <v>8323170</v>
      </c>
      <c r="D61" s="89">
        <f t="shared" si="8"/>
        <v>8988270</v>
      </c>
      <c r="E61" s="89">
        <f t="shared" si="8"/>
        <v>8664800</v>
      </c>
      <c r="F61" s="89">
        <f t="shared" si="8"/>
        <v>8504760</v>
      </c>
      <c r="G61" s="89">
        <f t="shared" si="8"/>
        <v>8316150</v>
      </c>
      <c r="H61" s="89">
        <f t="shared" si="8"/>
        <v>7653970</v>
      </c>
      <c r="I61" s="89">
        <f t="shared" si="8"/>
        <v>8045220</v>
      </c>
      <c r="J61" s="89">
        <f t="shared" si="8"/>
        <v>7701900</v>
      </c>
      <c r="K61" s="89">
        <f t="shared" si="8"/>
        <v>7292010</v>
      </c>
      <c r="L61" s="89">
        <f t="shared" si="8"/>
        <v>7441550</v>
      </c>
    </row>
    <row r="62" spans="1:12" x14ac:dyDescent="0.25">
      <c r="A62" t="s">
        <v>96</v>
      </c>
      <c r="B62" s="88">
        <f t="shared" ref="B62:L62" si="9">B57/8760</f>
        <v>1027.3972602739725</v>
      </c>
      <c r="C62" s="88">
        <f t="shared" si="9"/>
        <v>1004.566210045662</v>
      </c>
      <c r="D62" s="88">
        <f t="shared" si="9"/>
        <v>993.15068493150682</v>
      </c>
      <c r="E62" s="88">
        <f t="shared" si="9"/>
        <v>970.31963470319636</v>
      </c>
      <c r="F62" s="88">
        <f t="shared" si="9"/>
        <v>947.4885844748859</v>
      </c>
      <c r="G62" s="88">
        <f t="shared" si="9"/>
        <v>958.90410958904113</v>
      </c>
      <c r="H62" s="88">
        <f t="shared" si="9"/>
        <v>936.07305936073055</v>
      </c>
      <c r="I62" s="88">
        <f t="shared" si="9"/>
        <v>913.24200913242009</v>
      </c>
      <c r="J62" s="88">
        <f t="shared" si="9"/>
        <v>936.07305936073055</v>
      </c>
      <c r="K62" s="88">
        <f t="shared" si="9"/>
        <v>924.65753424657532</v>
      </c>
      <c r="L62" s="88">
        <f t="shared" si="9"/>
        <v>913.24200913242009</v>
      </c>
    </row>
    <row r="63" spans="1:12" x14ac:dyDescent="0.25">
      <c r="A63" t="s">
        <v>245</v>
      </c>
      <c r="B63" s="88">
        <f>B62/'Game Assumptions'!$B$75</f>
        <v>2054.794520547945</v>
      </c>
      <c r="C63" s="88">
        <f>C62/'Game Assumptions'!$B$75</f>
        <v>2009.1324200913241</v>
      </c>
      <c r="D63" s="88">
        <f>D62/'Game Assumptions'!$B$75</f>
        <v>1986.3013698630136</v>
      </c>
      <c r="E63" s="88">
        <f>E62/'Game Assumptions'!$B$75</f>
        <v>1940.6392694063927</v>
      </c>
      <c r="F63" s="88">
        <f>F62/'Game Assumptions'!$B$75</f>
        <v>1894.9771689497718</v>
      </c>
      <c r="G63" s="88">
        <f>G62/'Game Assumptions'!$B$75</f>
        <v>1917.8082191780823</v>
      </c>
      <c r="H63" s="88">
        <f>H62/'Game Assumptions'!$B$75</f>
        <v>1872.1461187214611</v>
      </c>
      <c r="I63" s="88">
        <f>I62/'Game Assumptions'!$B$75</f>
        <v>1826.4840182648402</v>
      </c>
      <c r="J63" s="88">
        <f>J62/'Game Assumptions'!$B$75</f>
        <v>1872.1461187214611</v>
      </c>
      <c r="K63" s="88">
        <f>K62/'Game Assumptions'!$B$75</f>
        <v>1849.3150684931506</v>
      </c>
      <c r="L63" s="88">
        <f>L62/'Game Assumptions'!$B$75</f>
        <v>1826.4840182648402</v>
      </c>
    </row>
    <row r="64" spans="1:12" x14ac:dyDescent="0.25">
      <c r="A64" t="s">
        <v>246</v>
      </c>
      <c r="B64" s="88">
        <v>0</v>
      </c>
      <c r="C64" s="88">
        <f>IF('Event Tracker'!C5=1,'Resource Mix and Demand'!C63*'Game Assumptions'!$B$77*'Game Assumptions'!$G$93,0)</f>
        <v>0</v>
      </c>
      <c r="D64" s="88">
        <f>IF('Event Tracker'!D5=1,'Resource Mix and Demand'!D63*'Game Assumptions'!$B$77*'Game Assumptions'!$G$93,0)</f>
        <v>0</v>
      </c>
      <c r="E64" s="88">
        <f>IF('Event Tracker'!E5=1,'Resource Mix and Demand'!E63*'Game Assumptions'!$B$77*'Game Assumptions'!$G$93,0)</f>
        <v>0</v>
      </c>
      <c r="F64" s="88">
        <f>IF('Event Tracker'!F5=1,'Resource Mix and Demand'!F63*'Game Assumptions'!$B$77*'Game Assumptions'!$G$93,0)</f>
        <v>0</v>
      </c>
      <c r="G64" s="88">
        <f>IF('Event Tracker'!G5=1,'Resource Mix and Demand'!G63*'Game Assumptions'!$B$77*'Game Assumptions'!$G$93,0)</f>
        <v>0</v>
      </c>
      <c r="H64" s="88">
        <f>IF('Event Tracker'!H5=1,'Resource Mix and Demand'!H63*'Game Assumptions'!$B$77*'Game Assumptions'!$G$93,0)</f>
        <v>0</v>
      </c>
      <c r="I64" s="88">
        <f>IF('Event Tracker'!I5=1,'Resource Mix and Demand'!I63*'Game Assumptions'!$B$77*'Game Assumptions'!$G$93,0)</f>
        <v>0</v>
      </c>
      <c r="J64" s="88">
        <f>IF('Event Tracker'!J5=1,'Resource Mix and Demand'!J63*'Game Assumptions'!$B$77*'Game Assumptions'!$G$93,0)</f>
        <v>0</v>
      </c>
      <c r="K64" s="88">
        <f>IF('Event Tracker'!K5=1,'Resource Mix and Demand'!K63*'Game Assumptions'!$B$77*'Game Assumptions'!$G$93,0)</f>
        <v>0</v>
      </c>
      <c r="L64" s="88">
        <f>IF('Event Tracker'!L5=1,'Resource Mix and Demand'!L63*'Game Assumptions'!$B$77*'Game Assumptions'!$G$93,0)</f>
        <v>0</v>
      </c>
    </row>
    <row r="65" spans="1:12" x14ac:dyDescent="0.25">
      <c r="B65" s="88"/>
      <c r="C65" s="88"/>
      <c r="D65" s="88"/>
      <c r="E65" s="88"/>
      <c r="F65" s="88"/>
      <c r="G65" s="88"/>
      <c r="H65" s="88"/>
      <c r="I65" s="88"/>
      <c r="J65" s="88"/>
      <c r="K65" s="88"/>
      <c r="L65" s="88"/>
    </row>
    <row r="66" spans="1:12" x14ac:dyDescent="0.25">
      <c r="B66" s="88"/>
      <c r="C66" s="88"/>
      <c r="D66" s="88"/>
      <c r="E66" s="88"/>
      <c r="F66" s="88"/>
      <c r="G66" s="88"/>
      <c r="H66" s="88"/>
      <c r="I66" s="88"/>
      <c r="J66" s="88"/>
      <c r="K66" s="88"/>
      <c r="L66" s="88"/>
    </row>
    <row r="67" spans="1:12" x14ac:dyDescent="0.25">
      <c r="B67" s="88"/>
      <c r="C67" s="88"/>
      <c r="D67" s="88"/>
      <c r="E67" s="88"/>
      <c r="F67" s="88"/>
      <c r="G67" s="88"/>
      <c r="H67" s="88"/>
      <c r="I67" s="88"/>
      <c r="J67" s="88"/>
      <c r="K67" s="88"/>
      <c r="L67" s="88"/>
    </row>
    <row r="80" spans="1:12" x14ac:dyDescent="0.25">
      <c r="A80" s="6"/>
    </row>
    <row r="83" spans="1:1" x14ac:dyDescent="0.25">
      <c r="A83" s="7"/>
    </row>
  </sheetData>
  <pageMargins left="0.7" right="0.7" top="0.75" bottom="0.75" header="0.3" footer="0.3"/>
  <pageSetup orientation="portrait" horizontalDpi="1200" verticalDpi="12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5">
    <tabColor theme="6"/>
  </sheetPr>
  <dimension ref="A1:N171"/>
  <sheetViews>
    <sheetView topLeftCell="A47" zoomScale="85" zoomScaleNormal="85" workbookViewId="0">
      <selection activeCell="L5" sqref="L5"/>
    </sheetView>
  </sheetViews>
  <sheetFormatPr defaultRowHeight="15" x14ac:dyDescent="0.25"/>
  <cols>
    <col min="1" max="1" width="35" bestFit="1" customWidth="1"/>
    <col min="2" max="2" width="27.28515625" bestFit="1" customWidth="1"/>
    <col min="3" max="4" width="15.5703125" bestFit="1" customWidth="1"/>
    <col min="5" max="5" width="17.140625" bestFit="1" customWidth="1"/>
    <col min="6" max="6" width="15.5703125" bestFit="1" customWidth="1"/>
    <col min="7" max="7" width="27.28515625" bestFit="1" customWidth="1"/>
    <col min="8" max="8" width="15" customWidth="1"/>
    <col min="9" max="9" width="20.140625" bestFit="1" customWidth="1"/>
    <col min="10" max="10" width="16.28515625" customWidth="1"/>
    <col min="11" max="12" width="15.5703125" bestFit="1" customWidth="1"/>
    <col min="15" max="15" width="12.5703125" bestFit="1" customWidth="1"/>
    <col min="16" max="16" width="39" bestFit="1" customWidth="1"/>
    <col min="17" max="17" width="14" bestFit="1" customWidth="1"/>
    <col min="18" max="18" width="23.28515625" bestFit="1" customWidth="1"/>
    <col min="19" max="19" width="17" bestFit="1" customWidth="1"/>
    <col min="20" max="20" width="10.28515625" bestFit="1" customWidth="1"/>
    <col min="22" max="22" width="14" bestFit="1" customWidth="1"/>
    <col min="23" max="23" width="20" bestFit="1" customWidth="1"/>
  </cols>
  <sheetData>
    <row r="1" spans="1:14" ht="15.75" thickBot="1" x14ac:dyDescent="0.3">
      <c r="A1" s="9" t="s">
        <v>27</v>
      </c>
      <c r="B1" s="9">
        <v>0</v>
      </c>
      <c r="C1" s="9">
        <v>1</v>
      </c>
      <c r="D1" s="9">
        <v>2</v>
      </c>
      <c r="E1" s="9">
        <v>3</v>
      </c>
      <c r="F1" s="9">
        <v>4</v>
      </c>
      <c r="G1" s="9">
        <v>5</v>
      </c>
      <c r="H1" s="9">
        <v>6</v>
      </c>
      <c r="I1" s="9">
        <v>7</v>
      </c>
      <c r="J1" s="9">
        <v>8</v>
      </c>
      <c r="K1" s="9">
        <v>9</v>
      </c>
      <c r="L1" s="9">
        <v>10</v>
      </c>
      <c r="M1" s="1" t="s">
        <v>15</v>
      </c>
      <c r="N1" s="11">
        <f>'Event Tracker'!P1</f>
        <v>0</v>
      </c>
    </row>
    <row r="2" spans="1:14" x14ac:dyDescent="0.25">
      <c r="A2" t="s">
        <v>7</v>
      </c>
      <c r="B2" s="88">
        <f>'Resource Mix and Demand'!B46</f>
        <v>2628000</v>
      </c>
      <c r="C2" s="88">
        <f>'Resource Mix and Demand'!C46</f>
        <v>1051200</v>
      </c>
      <c r="D2" s="88">
        <f>'Resource Mix and Demand'!D46</f>
        <v>1051200</v>
      </c>
      <c r="E2" s="88">
        <f>'Resource Mix and Demand'!E46</f>
        <v>1051200</v>
      </c>
      <c r="F2" s="88">
        <f>'Resource Mix and Demand'!F46</f>
        <v>1051200</v>
      </c>
      <c r="G2" s="88">
        <f>'Resource Mix and Demand'!G46</f>
        <v>525600</v>
      </c>
      <c r="H2" s="88">
        <f>'Resource Mix and Demand'!H46</f>
        <v>525600</v>
      </c>
      <c r="I2" s="88">
        <f>'Resource Mix and Demand'!I46</f>
        <v>525600</v>
      </c>
      <c r="J2" s="88">
        <f>'Resource Mix and Demand'!J46</f>
        <v>525600</v>
      </c>
      <c r="K2" s="88">
        <f>'Resource Mix and Demand'!K46</f>
        <v>525600</v>
      </c>
      <c r="L2" s="88">
        <f>'Resource Mix and Demand'!L46</f>
        <v>525600</v>
      </c>
    </row>
    <row r="3" spans="1:14" x14ac:dyDescent="0.25">
      <c r="A3" t="s">
        <v>8</v>
      </c>
      <c r="B3" s="88">
        <f>'Resource Mix and Demand'!B47</f>
        <v>4204800</v>
      </c>
      <c r="C3" s="88">
        <f>'Resource Mix and Demand'!C47</f>
        <v>4204800</v>
      </c>
      <c r="D3" s="88">
        <f>'Resource Mix and Demand'!D47</f>
        <v>4204800</v>
      </c>
      <c r="E3" s="88">
        <f>'Resource Mix and Demand'!E47</f>
        <v>4204800</v>
      </c>
      <c r="F3" s="88">
        <f>'Resource Mix and Demand'!F47</f>
        <v>4204800</v>
      </c>
      <c r="G3" s="88">
        <f>'Resource Mix and Demand'!G47</f>
        <v>4204800</v>
      </c>
      <c r="H3" s="88">
        <f>'Resource Mix and Demand'!H47</f>
        <v>4204800</v>
      </c>
      <c r="I3" s="88">
        <f>'Resource Mix and Demand'!I47</f>
        <v>4204800</v>
      </c>
      <c r="J3" s="88">
        <f>'Resource Mix and Demand'!J47</f>
        <v>4204800</v>
      </c>
      <c r="K3" s="88">
        <f>'Resource Mix and Demand'!K47</f>
        <v>4204800</v>
      </c>
      <c r="L3" s="88">
        <f>'Resource Mix and Demand'!L47</f>
        <v>4204800</v>
      </c>
    </row>
    <row r="4" spans="1:14" x14ac:dyDescent="0.25">
      <c r="A4" t="s">
        <v>13</v>
      </c>
      <c r="B4" s="88">
        <f>'Resource Mix and Demand'!B48</f>
        <v>3942000</v>
      </c>
      <c r="C4" s="88">
        <f>'Resource Mix and Demand'!C48</f>
        <v>3942000</v>
      </c>
      <c r="D4" s="88">
        <f>'Resource Mix and Demand'!D48</f>
        <v>3942000</v>
      </c>
      <c r="E4" s="88">
        <f>'Resource Mix and Demand'!E48</f>
        <v>0</v>
      </c>
      <c r="F4" s="88">
        <f>'Resource Mix and Demand'!F48</f>
        <v>0</v>
      </c>
      <c r="G4" s="88">
        <f>'Resource Mix and Demand'!G48</f>
        <v>0</v>
      </c>
      <c r="H4" s="88">
        <f>'Resource Mix and Demand'!H48</f>
        <v>0</v>
      </c>
      <c r="I4" s="88">
        <f>'Resource Mix and Demand'!I48</f>
        <v>0</v>
      </c>
      <c r="J4" s="88">
        <f>'Resource Mix and Demand'!J48</f>
        <v>0</v>
      </c>
      <c r="K4" s="88">
        <f>'Resource Mix and Demand'!K48</f>
        <v>0</v>
      </c>
      <c r="L4" s="88">
        <f>'Resource Mix and Demand'!L48</f>
        <v>0</v>
      </c>
    </row>
    <row r="5" spans="1:14" x14ac:dyDescent="0.25">
      <c r="A5" t="s">
        <v>9</v>
      </c>
      <c r="B5" s="88">
        <f>'Resource Mix and Demand'!B49</f>
        <v>65700</v>
      </c>
      <c r="C5" s="88">
        <f>'Resource Mix and Demand'!C49</f>
        <v>65700</v>
      </c>
      <c r="D5" s="88">
        <f>'Resource Mix and Demand'!D49</f>
        <v>65700</v>
      </c>
      <c r="E5" s="88">
        <f>'Resource Mix and Demand'!E49</f>
        <v>65700</v>
      </c>
      <c r="F5" s="88">
        <f>'Resource Mix and Demand'!F49</f>
        <v>65700</v>
      </c>
      <c r="G5" s="88">
        <f>'Resource Mix and Demand'!G49</f>
        <v>65700</v>
      </c>
      <c r="H5" s="88">
        <f>'Resource Mix and Demand'!H49</f>
        <v>65700</v>
      </c>
      <c r="I5" s="88">
        <f>'Resource Mix and Demand'!I49</f>
        <v>65700</v>
      </c>
      <c r="J5" s="88">
        <f>'Resource Mix and Demand'!J49</f>
        <v>65700</v>
      </c>
      <c r="K5" s="88">
        <f>'Resource Mix and Demand'!K49</f>
        <v>65700</v>
      </c>
      <c r="L5" s="88">
        <f>'Resource Mix and Demand'!L49</f>
        <v>65700</v>
      </c>
    </row>
    <row r="6" spans="1:14" x14ac:dyDescent="0.25">
      <c r="A6" t="s">
        <v>10</v>
      </c>
      <c r="B6" s="88">
        <f>'Resource Mix and Demand'!B50</f>
        <v>78840</v>
      </c>
      <c r="C6" s="88">
        <f>'Resource Mix and Demand'!C50</f>
        <v>78840</v>
      </c>
      <c r="D6" s="88">
        <f>'Resource Mix and Demand'!D50</f>
        <v>78840</v>
      </c>
      <c r="E6" s="88">
        <f>'Resource Mix and Demand'!E50</f>
        <v>78840</v>
      </c>
      <c r="F6" s="88">
        <f>'Resource Mix and Demand'!F50</f>
        <v>78840</v>
      </c>
      <c r="G6" s="88">
        <f>'Resource Mix and Demand'!G50</f>
        <v>78840</v>
      </c>
      <c r="H6" s="88">
        <f>'Resource Mix and Demand'!H50</f>
        <v>78840</v>
      </c>
      <c r="I6" s="88">
        <f>'Resource Mix and Demand'!I50</f>
        <v>78840</v>
      </c>
      <c r="J6" s="88">
        <f>'Resource Mix and Demand'!J50</f>
        <v>78840</v>
      </c>
      <c r="K6" s="88">
        <f>'Resource Mix and Demand'!K50</f>
        <v>78840</v>
      </c>
      <c r="L6" s="88">
        <f>'Resource Mix and Demand'!L50</f>
        <v>78840</v>
      </c>
    </row>
    <row r="7" spans="1:14" x14ac:dyDescent="0.25">
      <c r="A7" t="s">
        <v>11</v>
      </c>
      <c r="B7" s="88">
        <f>'Resource Mix and Demand'!B51</f>
        <v>157680</v>
      </c>
      <c r="C7" s="88">
        <f>'Resource Mix and Demand'!C51</f>
        <v>157680</v>
      </c>
      <c r="D7" s="88">
        <f>'Resource Mix and Demand'!D51</f>
        <v>157680</v>
      </c>
      <c r="E7" s="88">
        <f>'Resource Mix and Demand'!E51</f>
        <v>157680</v>
      </c>
      <c r="F7" s="88">
        <f>'Resource Mix and Demand'!F51</f>
        <v>157680</v>
      </c>
      <c r="G7" s="88">
        <f>'Resource Mix and Demand'!G51</f>
        <v>157680</v>
      </c>
      <c r="H7" s="88">
        <f>'Resource Mix and Demand'!H51</f>
        <v>157680</v>
      </c>
      <c r="I7" s="88">
        <f>'Resource Mix and Demand'!I51</f>
        <v>157680</v>
      </c>
      <c r="J7" s="88">
        <f>'Resource Mix and Demand'!J51</f>
        <v>157680</v>
      </c>
      <c r="K7" s="88">
        <f>'Resource Mix and Demand'!K51</f>
        <v>157680</v>
      </c>
      <c r="L7" s="88">
        <f>'Resource Mix and Demand'!L51</f>
        <v>157680</v>
      </c>
    </row>
    <row r="8" spans="1:14" x14ac:dyDescent="0.25">
      <c r="A8" t="s">
        <v>268</v>
      </c>
      <c r="B8" s="88">
        <f>'Resource Mix and Demand'!B52</f>
        <v>87600</v>
      </c>
      <c r="C8" s="88">
        <f>'Resource Mix and Demand'!C52</f>
        <v>87600</v>
      </c>
      <c r="D8" s="88">
        <f>'Resource Mix and Demand'!D52</f>
        <v>87600</v>
      </c>
      <c r="E8" s="88">
        <f>'Resource Mix and Demand'!E52</f>
        <v>87600</v>
      </c>
      <c r="F8" s="88">
        <f>'Resource Mix and Demand'!F52</f>
        <v>87600</v>
      </c>
      <c r="G8" s="88">
        <f>'Resource Mix and Demand'!G52</f>
        <v>87600</v>
      </c>
      <c r="H8" s="88">
        <f>'Resource Mix and Demand'!H52</f>
        <v>87600</v>
      </c>
      <c r="I8" s="88">
        <f>'Resource Mix and Demand'!I52</f>
        <v>87600</v>
      </c>
      <c r="J8" s="88">
        <f>'Resource Mix and Demand'!J52</f>
        <v>87600</v>
      </c>
      <c r="K8" s="88">
        <f>'Resource Mix and Demand'!K52</f>
        <v>87600</v>
      </c>
      <c r="L8" s="88">
        <f>'Resource Mix and Demand'!L52</f>
        <v>87600</v>
      </c>
    </row>
    <row r="10" spans="1:14" x14ac:dyDescent="0.25">
      <c r="A10" s="9" t="s">
        <v>20</v>
      </c>
      <c r="B10" s="9">
        <v>0</v>
      </c>
      <c r="C10" s="9">
        <v>1</v>
      </c>
      <c r="D10" s="9">
        <v>2</v>
      </c>
      <c r="E10" s="9">
        <v>3</v>
      </c>
      <c r="F10" s="9">
        <v>4</v>
      </c>
      <c r="G10" s="9">
        <v>5</v>
      </c>
      <c r="H10" s="9">
        <v>6</v>
      </c>
      <c r="I10" s="9">
        <v>7</v>
      </c>
      <c r="J10" s="9">
        <v>8</v>
      </c>
      <c r="K10" s="9">
        <v>9</v>
      </c>
      <c r="L10" s="9">
        <v>10</v>
      </c>
    </row>
    <row r="11" spans="1:14" x14ac:dyDescent="0.25">
      <c r="A11" t="s">
        <v>21</v>
      </c>
      <c r="B11" s="15">
        <f>IF(INDEX('Event Tracker'!$B$12:$L$12,1,MATCH(Dispatch!B10,'Event Tracker'!$B$9:$L$9,0))=0,0,IF(INDEX('Event Tracker'!$B$12:$L$12,1,MATCH(Dispatch!B10,'Event Tracker'!$B$9:$L$9,0))=1,IF(INDEX('Event Tracker'!$B$12:$L$12,1,MATCH(Dispatch!B10,'Event Tracker'!$B$9:$L$9,0)-1)=0,0,'Game Assumptions'!$B$23+Dispatch!A11)))</f>
        <v>0</v>
      </c>
      <c r="C11" s="15">
        <f>IF(INDEX('Event Tracker'!$B$12:$L$12,1,MATCH(Dispatch!C10,'Event Tracker'!$B$9:$L$9,0))=0,0,IF(INDEX('Event Tracker'!$B$12:$L$12,1,MATCH(Dispatch!C10,'Event Tracker'!$B$9:$L$9,0))=1,IF(INDEX('Event Tracker'!$B$12:$L$12,1,MATCH(Dispatch!C10,'Event Tracker'!$B$9:$L$9,0)-1)=0,0,5+Dispatch!B11)))</f>
        <v>0</v>
      </c>
      <c r="D11" s="15">
        <f>IF(INDEX('Event Tracker'!$B$12:$L$12,1,MATCH(Dispatch!D10,'Event Tracker'!$B$9:$L$9,0))=0,0,IF(INDEX('Event Tracker'!$B$12:$L$12,1,MATCH(Dispatch!D10,'Event Tracker'!$B$9:$L$9,0))=1,IF(INDEX('Event Tracker'!$B$12:$L$12,1,MATCH(Dispatch!D10,'Event Tracker'!$B$9:$L$9,0)-1)=0,0,5+Dispatch!C11)))</f>
        <v>0</v>
      </c>
      <c r="E11" s="15">
        <f>IF(INDEX('Event Tracker'!$B$12:$L$12,1,MATCH(Dispatch!E10,'Event Tracker'!$B$9:$L$9,0))=0,0,IF(INDEX('Event Tracker'!$B$12:$L$12,1,MATCH(Dispatch!E10,'Event Tracker'!$B$9:$L$9,0))=1,IF(INDEX('Event Tracker'!$B$12:$L$12,1,MATCH(Dispatch!E10,'Event Tracker'!$B$9:$L$9,0)-1)=0,0,5+Dispatch!D11)))</f>
        <v>0</v>
      </c>
      <c r="F11" s="15">
        <f>IF(INDEX('Event Tracker'!$B$12:$L$12,1,MATCH(Dispatch!F10,'Event Tracker'!$B$9:$L$9,0))=0,0,IF(INDEX('Event Tracker'!$B$12:$L$12,1,MATCH(Dispatch!F10,'Event Tracker'!$B$9:$L$9,0))=1,IF(INDEX('Event Tracker'!$B$12:$L$12,1,MATCH(Dispatch!F10,'Event Tracker'!$B$9:$L$9,0)-1)=0,0,5+Dispatch!E11)))</f>
        <v>0</v>
      </c>
      <c r="G11" s="15">
        <f>IF(INDEX('Event Tracker'!$B$12:$L$12,1,MATCH(Dispatch!G10,'Event Tracker'!$B$9:$L$9,0))=0,0,IF(INDEX('Event Tracker'!$B$12:$L$12,1,MATCH(Dispatch!G10,'Event Tracker'!$B$9:$L$9,0))=1,IF(INDEX('Event Tracker'!$B$12:$L$12,1,MATCH(Dispatch!G10,'Event Tracker'!$B$9:$L$9,0)-1)=0,0,5+Dispatch!F11)))</f>
        <v>0</v>
      </c>
      <c r="H11" s="15">
        <f>IF(INDEX('Event Tracker'!$B$12:$L$12,1,MATCH(Dispatch!H10,'Event Tracker'!$B$9:$L$9,0))=0,0,IF(INDEX('Event Tracker'!$B$12:$L$12,1,MATCH(Dispatch!H10,'Event Tracker'!$B$9:$L$9,0))=1,IF(INDEX('Event Tracker'!$B$12:$L$12,1,MATCH(Dispatch!H10,'Event Tracker'!$B$9:$L$9,0)-1)=0,0,5+Dispatch!G11)))</f>
        <v>0</v>
      </c>
      <c r="I11" s="15">
        <f>IF(INDEX('Event Tracker'!$B$12:$L$12,1,MATCH(Dispatch!I10,'Event Tracker'!$B$9:$L$9,0))=0,0,IF(INDEX('Event Tracker'!$B$12:$L$12,1,MATCH(Dispatch!I10,'Event Tracker'!$B$9:$L$9,0))=1,IF(INDEX('Event Tracker'!$B$12:$L$12,1,MATCH(Dispatch!I10,'Event Tracker'!$B$9:$L$9,0)-1)=0,0,5+Dispatch!H11)))</f>
        <v>0</v>
      </c>
      <c r="J11" s="15">
        <f>IF(INDEX('Event Tracker'!$B$12:$L$12,1,MATCH(Dispatch!J10,'Event Tracker'!$B$9:$L$9,0))=0,0,IF(INDEX('Event Tracker'!$B$12:$L$12,1,MATCH(Dispatch!J10,'Event Tracker'!$B$9:$L$9,0))=1,IF(INDEX('Event Tracker'!$B$12:$L$12,1,MATCH(Dispatch!J10,'Event Tracker'!$B$9:$L$9,0)-1)=0,0,5+Dispatch!I11)))</f>
        <v>0</v>
      </c>
      <c r="K11" s="15">
        <f>IF(INDEX('Event Tracker'!$B$12:$L$12,1,MATCH(Dispatch!K10,'Event Tracker'!$B$9:$L$9,0))=0,0,IF(INDEX('Event Tracker'!$B$12:$L$12,1,MATCH(Dispatch!K10,'Event Tracker'!$B$9:$L$9,0))=1,IF(INDEX('Event Tracker'!$B$12:$L$12,1,MATCH(Dispatch!K10,'Event Tracker'!$B$9:$L$9,0)-1)=0,0,5+Dispatch!J11)))</f>
        <v>0</v>
      </c>
      <c r="L11" s="15">
        <f>IF(INDEX('Event Tracker'!$B$12:$L$12,1,MATCH(Dispatch!L10,'Event Tracker'!$B$9:$L$9,0))=0,0,IF(INDEX('Event Tracker'!$B$12:$L$12,1,MATCH(Dispatch!L10,'Event Tracker'!$B$9:$L$9,0))=1,IF(INDEX('Event Tracker'!$B$12:$L$12,1,MATCH(Dispatch!L10,'Event Tracker'!$B$9:$L$9,0)-1)=0,0,5+Dispatch!K11)))</f>
        <v>0</v>
      </c>
    </row>
    <row r="13" spans="1:14" x14ac:dyDescent="0.25">
      <c r="A13" s="9" t="s">
        <v>22</v>
      </c>
      <c r="B13" s="9">
        <v>0</v>
      </c>
      <c r="C13" s="9">
        <v>1</v>
      </c>
      <c r="D13" s="9">
        <v>2</v>
      </c>
      <c r="E13" s="9">
        <v>3</v>
      </c>
      <c r="F13" s="9">
        <v>4</v>
      </c>
      <c r="G13" s="9">
        <v>5</v>
      </c>
      <c r="H13" s="9">
        <v>6</v>
      </c>
      <c r="I13" s="9">
        <v>7</v>
      </c>
      <c r="J13" s="9">
        <v>8</v>
      </c>
      <c r="K13" s="9">
        <v>9</v>
      </c>
      <c r="L13" s="9">
        <v>10</v>
      </c>
    </row>
    <row r="14" spans="1:14" x14ac:dyDescent="0.25">
      <c r="A14" t="s">
        <v>7</v>
      </c>
      <c r="B14" s="15">
        <f>B$11*'Game Assumptions'!$K28</f>
        <v>0</v>
      </c>
      <c r="C14" s="15">
        <f>C$11*'Game Assumptions'!$K28</f>
        <v>0</v>
      </c>
      <c r="D14" s="15">
        <f>D$11*'Game Assumptions'!$K28</f>
        <v>0</v>
      </c>
      <c r="E14" s="15">
        <f>E$11*'Game Assumptions'!$K28</f>
        <v>0</v>
      </c>
      <c r="F14" s="15">
        <f>F$11*'Game Assumptions'!$K28</f>
        <v>0</v>
      </c>
      <c r="G14" s="15">
        <f>G$11*'Game Assumptions'!$K28</f>
        <v>0</v>
      </c>
      <c r="H14" s="15">
        <f>H$11*'Game Assumptions'!$K28</f>
        <v>0</v>
      </c>
      <c r="I14" s="15">
        <f>I$11*'Game Assumptions'!$K28</f>
        <v>0</v>
      </c>
      <c r="J14" s="15">
        <f>J$11*'Game Assumptions'!$K28</f>
        <v>0</v>
      </c>
      <c r="K14" s="15">
        <f>K$11*'Game Assumptions'!$K28</f>
        <v>0</v>
      </c>
      <c r="L14" s="15">
        <f>L$11*'Game Assumptions'!$K28</f>
        <v>0</v>
      </c>
    </row>
    <row r="15" spans="1:14" x14ac:dyDescent="0.25">
      <c r="A15" t="s">
        <v>8</v>
      </c>
      <c r="B15" s="15">
        <f>B$11*'Game Assumptions'!$K29</f>
        <v>0</v>
      </c>
      <c r="C15" s="15">
        <f>C$11*'Game Assumptions'!$K29</f>
        <v>0</v>
      </c>
      <c r="D15" s="15">
        <f>D$11*'Game Assumptions'!$K29</f>
        <v>0</v>
      </c>
      <c r="E15" s="15">
        <f>E$11*'Game Assumptions'!$K29</f>
        <v>0</v>
      </c>
      <c r="F15" s="15">
        <f>F$11*'Game Assumptions'!$K29</f>
        <v>0</v>
      </c>
      <c r="G15" s="15">
        <f>G$11*'Game Assumptions'!$K29</f>
        <v>0</v>
      </c>
      <c r="H15" s="15">
        <f>H$11*'Game Assumptions'!$K29</f>
        <v>0</v>
      </c>
      <c r="I15" s="15">
        <f>I$11*'Game Assumptions'!$K29</f>
        <v>0</v>
      </c>
      <c r="J15" s="15">
        <f>J$11*'Game Assumptions'!$K29</f>
        <v>0</v>
      </c>
      <c r="K15" s="15">
        <f>K$11*'Game Assumptions'!$K29</f>
        <v>0</v>
      </c>
      <c r="L15" s="15">
        <f>L$11*'Game Assumptions'!$K29</f>
        <v>0</v>
      </c>
    </row>
    <row r="16" spans="1:14" x14ac:dyDescent="0.25">
      <c r="A16" t="s">
        <v>13</v>
      </c>
      <c r="B16" s="15">
        <f>B$11*'Game Assumptions'!$K30</f>
        <v>0</v>
      </c>
      <c r="C16" s="15">
        <f>C$11*'Game Assumptions'!$K30</f>
        <v>0</v>
      </c>
      <c r="D16" s="15">
        <f>D$11*'Game Assumptions'!$K30</f>
        <v>0</v>
      </c>
      <c r="E16" s="15">
        <f>E$11*'Game Assumptions'!$K30</f>
        <v>0</v>
      </c>
      <c r="F16" s="15">
        <f>F$11*'Game Assumptions'!$K30</f>
        <v>0</v>
      </c>
      <c r="G16" s="15">
        <f>G$11*'Game Assumptions'!$K30</f>
        <v>0</v>
      </c>
      <c r="H16" s="15">
        <f>H$11*'Game Assumptions'!$K30</f>
        <v>0</v>
      </c>
      <c r="I16" s="15">
        <f>I$11*'Game Assumptions'!$K30</f>
        <v>0</v>
      </c>
      <c r="J16" s="15">
        <f>J$11*'Game Assumptions'!$K30</f>
        <v>0</v>
      </c>
      <c r="K16" s="15">
        <f>K$11*'Game Assumptions'!$K30</f>
        <v>0</v>
      </c>
      <c r="L16" s="15">
        <f>L$11*'Game Assumptions'!$K30</f>
        <v>0</v>
      </c>
    </row>
    <row r="17" spans="1:12" x14ac:dyDescent="0.25">
      <c r="A17" t="s">
        <v>9</v>
      </c>
      <c r="B17" s="15">
        <f>B$11*'Game Assumptions'!$K31</f>
        <v>0</v>
      </c>
      <c r="C17" s="15">
        <f>C$11*'Game Assumptions'!$K31</f>
        <v>0</v>
      </c>
      <c r="D17" s="15">
        <f>D$11*'Game Assumptions'!$K31</f>
        <v>0</v>
      </c>
      <c r="E17" s="15">
        <f>E$11*'Game Assumptions'!$K31</f>
        <v>0</v>
      </c>
      <c r="F17" s="15">
        <f>F$11*'Game Assumptions'!$K31</f>
        <v>0</v>
      </c>
      <c r="G17" s="15">
        <f>G$11*'Game Assumptions'!$K31</f>
        <v>0</v>
      </c>
      <c r="H17" s="15">
        <f>H$11*'Game Assumptions'!$K31</f>
        <v>0</v>
      </c>
      <c r="I17" s="15">
        <f>I$11*'Game Assumptions'!$K31</f>
        <v>0</v>
      </c>
      <c r="J17" s="15">
        <f>J$11*'Game Assumptions'!$K31</f>
        <v>0</v>
      </c>
      <c r="K17" s="15">
        <f>K$11*'Game Assumptions'!$K31</f>
        <v>0</v>
      </c>
      <c r="L17" s="15">
        <f>L$11*'Game Assumptions'!$K31</f>
        <v>0</v>
      </c>
    </row>
    <row r="18" spans="1:12" x14ac:dyDescent="0.25">
      <c r="A18" t="s">
        <v>10</v>
      </c>
      <c r="B18" s="15">
        <f>B$11*'Game Assumptions'!$K32</f>
        <v>0</v>
      </c>
      <c r="C18" s="15">
        <f>C$11*'Game Assumptions'!$K32</f>
        <v>0</v>
      </c>
      <c r="D18" s="15">
        <f>D$11*'Game Assumptions'!$K32</f>
        <v>0</v>
      </c>
      <c r="E18" s="15">
        <f>E$11*'Game Assumptions'!$K32</f>
        <v>0</v>
      </c>
      <c r="F18" s="15">
        <f>F$11*'Game Assumptions'!$K32</f>
        <v>0</v>
      </c>
      <c r="G18" s="15">
        <f>G$11*'Game Assumptions'!$K32</f>
        <v>0</v>
      </c>
      <c r="H18" s="15">
        <f>H$11*'Game Assumptions'!$K32</f>
        <v>0</v>
      </c>
      <c r="I18" s="15">
        <f>I$11*'Game Assumptions'!$K32</f>
        <v>0</v>
      </c>
      <c r="J18" s="15">
        <f>J$11*'Game Assumptions'!$K32</f>
        <v>0</v>
      </c>
      <c r="K18" s="15">
        <f>K$11*'Game Assumptions'!$K32</f>
        <v>0</v>
      </c>
      <c r="L18" s="15">
        <f>L$11*'Game Assumptions'!$K32</f>
        <v>0</v>
      </c>
    </row>
    <row r="19" spans="1:12" x14ac:dyDescent="0.25">
      <c r="A19" t="s">
        <v>11</v>
      </c>
      <c r="B19" s="15">
        <f>B$11*'Game Assumptions'!$K33</f>
        <v>0</v>
      </c>
      <c r="C19" s="15">
        <f>C$11*'Game Assumptions'!$K33</f>
        <v>0</v>
      </c>
      <c r="D19" s="15">
        <f>D$11*'Game Assumptions'!$K33</f>
        <v>0</v>
      </c>
      <c r="E19" s="15">
        <f>E$11*'Game Assumptions'!$K33</f>
        <v>0</v>
      </c>
      <c r="F19" s="15">
        <f>F$11*'Game Assumptions'!$K33</f>
        <v>0</v>
      </c>
      <c r="G19" s="15">
        <f>G$11*'Game Assumptions'!$K33</f>
        <v>0</v>
      </c>
      <c r="H19" s="15">
        <f>H$11*'Game Assumptions'!$K33</f>
        <v>0</v>
      </c>
      <c r="I19" s="15">
        <f>I$11*'Game Assumptions'!$K33</f>
        <v>0</v>
      </c>
      <c r="J19" s="15">
        <f>J$11*'Game Assumptions'!$K33</f>
        <v>0</v>
      </c>
      <c r="K19" s="15">
        <f>K$11*'Game Assumptions'!$K33</f>
        <v>0</v>
      </c>
      <c r="L19" s="15">
        <f>L$11*'Game Assumptions'!$K33</f>
        <v>0</v>
      </c>
    </row>
    <row r="20" spans="1:12" x14ac:dyDescent="0.25">
      <c r="A20" t="s">
        <v>268</v>
      </c>
    </row>
    <row r="22" spans="1:12" x14ac:dyDescent="0.25">
      <c r="A22" s="9" t="s">
        <v>289</v>
      </c>
      <c r="B22" s="9">
        <v>0</v>
      </c>
      <c r="C22" s="9">
        <v>1</v>
      </c>
      <c r="D22" s="9">
        <v>2</v>
      </c>
      <c r="E22" s="9">
        <v>3</v>
      </c>
      <c r="F22" s="9">
        <v>4</v>
      </c>
      <c r="G22" s="9">
        <v>5</v>
      </c>
      <c r="H22" s="9">
        <v>6</v>
      </c>
      <c r="I22" s="9">
        <v>7</v>
      </c>
      <c r="J22" s="9">
        <v>8</v>
      </c>
      <c r="K22" s="9">
        <v>9</v>
      </c>
      <c r="L22" s="9">
        <v>10</v>
      </c>
    </row>
    <row r="23" spans="1:12" x14ac:dyDescent="0.25">
      <c r="A23" t="s">
        <v>290</v>
      </c>
      <c r="B23" s="15">
        <f>INDEX('Event Tracker'!$B$11:$L$11,1,MATCH(Dispatch!B22,'Event Tracker'!$B$9:$L$9,0))*'Game Assumptions'!$B$55*'Game Assumptions'!$B$20</f>
        <v>0</v>
      </c>
      <c r="C23" s="15">
        <f>INDEX('Event Tracker'!$B$11:$L$11,1,MATCH(Dispatch!C22,'Event Tracker'!$B$9:$L$9,0))*'Game Assumptions'!$B$55*'Game Assumptions'!$B$20</f>
        <v>0</v>
      </c>
      <c r="D23" s="15">
        <f>INDEX('Event Tracker'!$B$11:$L$11,1,MATCH(Dispatch!D22,'Event Tracker'!$B$9:$L$9,0))*'Game Assumptions'!$B$55*'Game Assumptions'!$B$20</f>
        <v>0</v>
      </c>
      <c r="E23" s="15">
        <f>INDEX('Event Tracker'!$B$11:$L$11,1,MATCH(Dispatch!E22,'Event Tracker'!$B$9:$L$9,0))*'Game Assumptions'!$B$55*'Game Assumptions'!$B$20</f>
        <v>0</v>
      </c>
      <c r="F23" s="15">
        <f>INDEX('Event Tracker'!$B$11:$L$11,1,MATCH(Dispatch!F22,'Event Tracker'!$B$9:$L$9,0))*'Game Assumptions'!$B$55*'Game Assumptions'!$B$20</f>
        <v>0</v>
      </c>
      <c r="G23" s="15">
        <f>INDEX('Event Tracker'!$B$11:$L$11,1,MATCH(Dispatch!G22,'Event Tracker'!$B$9:$L$9,0))*'Game Assumptions'!$B$55*'Game Assumptions'!$B$20</f>
        <v>0</v>
      </c>
      <c r="H23" s="15">
        <f>INDEX('Event Tracker'!$B$11:$L$11,1,MATCH(Dispatch!H22,'Event Tracker'!$B$9:$L$9,0))*'Game Assumptions'!$B$55*'Game Assumptions'!$B$20</f>
        <v>0</v>
      </c>
      <c r="I23" s="15">
        <f>INDEX('Event Tracker'!$B$11:$L$11,1,MATCH(Dispatch!I22,'Event Tracker'!$B$9:$L$9,0))*'Game Assumptions'!$B$55*'Game Assumptions'!$B$20</f>
        <v>0</v>
      </c>
      <c r="J23" s="15">
        <f>INDEX('Event Tracker'!$B$11:$L$11,1,MATCH(Dispatch!J22,'Event Tracker'!$B$9:$L$9,0))*'Game Assumptions'!$B$55*'Game Assumptions'!$B$20</f>
        <v>0</v>
      </c>
      <c r="K23" s="15">
        <f>INDEX('Event Tracker'!$B$11:$L$11,1,MATCH(Dispatch!K22,'Event Tracker'!$B$9:$L$9,0))*'Game Assumptions'!$B$55*'Game Assumptions'!$B$20</f>
        <v>0</v>
      </c>
      <c r="L23" s="15">
        <f>INDEX('Event Tracker'!$B$11:$L$11,1,MATCH(Dispatch!L22,'Event Tracker'!$B$9:$L$9,0))*'Game Assumptions'!$B$55*'Game Assumptions'!$B$20</f>
        <v>0</v>
      </c>
    </row>
    <row r="24" spans="1:12" x14ac:dyDescent="0.25">
      <c r="B24" s="15"/>
      <c r="C24" s="15"/>
      <c r="D24" s="15"/>
      <c r="E24" s="15"/>
      <c r="F24" s="15"/>
      <c r="G24" s="15"/>
      <c r="H24" s="15"/>
      <c r="I24" s="15"/>
      <c r="J24" s="15"/>
      <c r="K24" s="15"/>
      <c r="L24" s="15"/>
    </row>
    <row r="25" spans="1:12" x14ac:dyDescent="0.25">
      <c r="A25" s="9" t="s">
        <v>133</v>
      </c>
      <c r="B25" s="9">
        <v>0</v>
      </c>
      <c r="C25" s="9">
        <v>1</v>
      </c>
      <c r="D25" s="9">
        <v>2</v>
      </c>
      <c r="E25" s="9">
        <v>3</v>
      </c>
      <c r="F25" s="9">
        <v>4</v>
      </c>
      <c r="G25" s="9">
        <v>5</v>
      </c>
      <c r="H25" s="9">
        <v>6</v>
      </c>
      <c r="I25" s="9">
        <v>7</v>
      </c>
      <c r="J25" s="9">
        <v>8</v>
      </c>
      <c r="K25" s="9">
        <v>9</v>
      </c>
      <c r="L25" s="9">
        <v>10</v>
      </c>
    </row>
    <row r="26" spans="1:12" x14ac:dyDescent="0.25">
      <c r="A26" t="s">
        <v>7</v>
      </c>
      <c r="B26" s="49">
        <f>'Game Assumptions'!$G41+'Game Assumptions'!B68*'Game Assumptions'!$B54</f>
        <v>28.747499999999999</v>
      </c>
      <c r="C26" s="49">
        <f>'Game Assumptions'!$G41+'Game Assumptions'!C68*'Game Assumptions'!$B54</f>
        <v>28.021249999999998</v>
      </c>
      <c r="D26" s="49">
        <f>'Game Assumptions'!$G41+'Game Assumptions'!D68*'Game Assumptions'!$B54</f>
        <v>27.917499999999997</v>
      </c>
      <c r="E26" s="49">
        <f>'Game Assumptions'!$G41+'Game Assumptions'!E68*'Game Assumptions'!$B54</f>
        <v>27.813749999999999</v>
      </c>
      <c r="F26" s="49">
        <f>'Game Assumptions'!$G41+'Game Assumptions'!F68*'Game Assumptions'!$B54</f>
        <v>28.021249999999998</v>
      </c>
      <c r="G26" s="49">
        <f>'Game Assumptions'!$G41+'Game Assumptions'!G68*'Game Assumptions'!$B54</f>
        <v>28.332499999999996</v>
      </c>
      <c r="H26" s="49">
        <f>'Game Assumptions'!$G41+'Game Assumptions'!H68*'Game Assumptions'!$B54</f>
        <v>28.747499999999999</v>
      </c>
      <c r="I26" s="49">
        <f>'Game Assumptions'!$G41+'Game Assumptions'!I68*'Game Assumptions'!$B54</f>
        <v>29.162499999999998</v>
      </c>
      <c r="J26" s="49">
        <f>'Game Assumptions'!$G41+'Game Assumptions'!J68*'Game Assumptions'!$B54</f>
        <v>29.577499999999997</v>
      </c>
      <c r="K26" s="49">
        <f>'Game Assumptions'!$G41+'Game Assumptions'!K68*'Game Assumptions'!$B54</f>
        <v>29.888750000000002</v>
      </c>
      <c r="L26" s="49">
        <f>'Game Assumptions'!$G41+'Game Assumptions'!L68*'Game Assumptions'!$B54</f>
        <v>30.2</v>
      </c>
    </row>
    <row r="27" spans="1:12" x14ac:dyDescent="0.25">
      <c r="A27" t="s">
        <v>8</v>
      </c>
      <c r="B27" s="49">
        <f>'Game Assumptions'!$G42+'Game Assumptions'!B69*'Game Assumptions'!$B55+B23</f>
        <v>36.550000000000004</v>
      </c>
      <c r="C27" s="49">
        <f>'Game Assumptions'!$G42+'Game Assumptions'!C69*'Game Assumptions'!$B55+C23</f>
        <v>40.902000000000001</v>
      </c>
      <c r="D27" s="49">
        <f>'Game Assumptions'!$G42+'Game Assumptions'!D69*'Game Assumptions'!$B55+D23</f>
        <v>36.414000000000001</v>
      </c>
      <c r="E27" s="49">
        <f>'Game Assumptions'!$G42+'Game Assumptions'!E69*'Game Assumptions'!$B55+E23</f>
        <v>36.686</v>
      </c>
      <c r="F27" s="49">
        <f>'Game Assumptions'!$G42+'Game Assumptions'!F69*'Game Assumptions'!$B55+F23</f>
        <v>36.550000000000004</v>
      </c>
      <c r="G27" s="49">
        <f>'Game Assumptions'!$G42+'Game Assumptions'!G69*'Game Assumptions'!$B55+G23</f>
        <v>37.434000000000005</v>
      </c>
      <c r="H27" s="49">
        <f>'Game Assumptions'!$G42+'Game Assumptions'!H69*'Game Assumptions'!$B55+H23</f>
        <v>40.358000000000004</v>
      </c>
      <c r="I27" s="49">
        <f>'Game Assumptions'!$G42+'Game Assumptions'!I69*'Game Assumptions'!$B55+I23</f>
        <v>43.281999999999996</v>
      </c>
      <c r="J27" s="49">
        <f>'Game Assumptions'!$G42+'Game Assumptions'!J69*'Game Assumptions'!$B55+J23</f>
        <v>45.050000000000004</v>
      </c>
      <c r="K27" s="49">
        <f>'Game Assumptions'!$G42+'Game Assumptions'!K69*'Game Assumptions'!$B55+K23</f>
        <v>46.07</v>
      </c>
      <c r="L27" s="49">
        <f>'Game Assumptions'!$G42+'Game Assumptions'!L69*'Game Assumptions'!$B55+L23</f>
        <v>47.225999999999999</v>
      </c>
    </row>
    <row r="28" spans="1:12" x14ac:dyDescent="0.25">
      <c r="A28" t="s">
        <v>13</v>
      </c>
      <c r="B28" s="49">
        <f>'Game Assumptions'!$G43+'Game Assumptions'!B70*'Game Assumptions'!$B56</f>
        <v>11.022499999999999</v>
      </c>
      <c r="C28" s="49">
        <f>'Game Assumptions'!$G43+'Game Assumptions'!C70*'Game Assumptions'!$B56</f>
        <v>11.022499999999999</v>
      </c>
      <c r="D28" s="49">
        <f>'Game Assumptions'!$G43+'Game Assumptions'!D70*'Game Assumptions'!$B56</f>
        <v>11.022499999999999</v>
      </c>
      <c r="E28" s="49">
        <f>'Game Assumptions'!$G43+'Game Assumptions'!E70*'Game Assumptions'!$B56</f>
        <v>11.022499999999999</v>
      </c>
      <c r="F28" s="49">
        <f>'Game Assumptions'!$G43+'Game Assumptions'!F70*'Game Assumptions'!$B56</f>
        <v>11.022499999999999</v>
      </c>
      <c r="G28" s="49">
        <f>'Game Assumptions'!$G43+'Game Assumptions'!G70*'Game Assumptions'!$B56</f>
        <v>11.022499999999999</v>
      </c>
      <c r="H28" s="49">
        <f>'Game Assumptions'!$G43+'Game Assumptions'!H70*'Game Assumptions'!$B56</f>
        <v>11.022499999999999</v>
      </c>
      <c r="I28" s="49">
        <f>'Game Assumptions'!$G43+'Game Assumptions'!I70*'Game Assumptions'!$B56</f>
        <v>11.022499999999999</v>
      </c>
      <c r="J28" s="49">
        <f>'Game Assumptions'!$G43+'Game Assumptions'!J70*'Game Assumptions'!$B56</f>
        <v>11.022499999999999</v>
      </c>
      <c r="K28" s="49">
        <f>'Game Assumptions'!$G43+'Game Assumptions'!K70*'Game Assumptions'!$B56</f>
        <v>11.022499999999999</v>
      </c>
      <c r="L28" s="49">
        <f>'Game Assumptions'!$G43+'Game Assumptions'!L70*'Game Assumptions'!$B56</f>
        <v>11.022499999999999</v>
      </c>
    </row>
    <row r="29" spans="1:12" x14ac:dyDescent="0.25">
      <c r="A29" t="s">
        <v>9</v>
      </c>
      <c r="B29" s="49">
        <f>'Game Assumptions'!$G44</f>
        <v>0.01</v>
      </c>
      <c r="C29" s="49">
        <f>'Game Assumptions'!$G44</f>
        <v>0.01</v>
      </c>
      <c r="D29" s="49">
        <f>'Game Assumptions'!$G44</f>
        <v>0.01</v>
      </c>
      <c r="E29" s="49">
        <f>'Game Assumptions'!$G44</f>
        <v>0.01</v>
      </c>
      <c r="F29" s="49">
        <f>'Game Assumptions'!$G44</f>
        <v>0.01</v>
      </c>
      <c r="G29" s="49">
        <f>'Game Assumptions'!$G44</f>
        <v>0.01</v>
      </c>
      <c r="H29" s="49">
        <f>'Game Assumptions'!$G44</f>
        <v>0.01</v>
      </c>
      <c r="I29" s="49">
        <f>'Game Assumptions'!$G44</f>
        <v>0.01</v>
      </c>
      <c r="J29" s="49">
        <f>'Game Assumptions'!$G44</f>
        <v>0.01</v>
      </c>
      <c r="K29" s="49">
        <f>'Game Assumptions'!$G44</f>
        <v>0.01</v>
      </c>
      <c r="L29" s="49">
        <f>'Game Assumptions'!$G44</f>
        <v>0.01</v>
      </c>
    </row>
    <row r="30" spans="1:12" x14ac:dyDescent="0.25">
      <c r="A30" t="s">
        <v>10</v>
      </c>
      <c r="B30" s="49">
        <f>'Game Assumptions'!$G45</f>
        <v>0.02</v>
      </c>
      <c r="C30" s="49">
        <f>'Game Assumptions'!$G45</f>
        <v>0.02</v>
      </c>
      <c r="D30" s="49">
        <f>'Game Assumptions'!$G45</f>
        <v>0.02</v>
      </c>
      <c r="E30" s="49">
        <f>'Game Assumptions'!$G45</f>
        <v>0.02</v>
      </c>
      <c r="F30" s="49">
        <f>'Game Assumptions'!$G45</f>
        <v>0.02</v>
      </c>
      <c r="G30" s="49">
        <f>'Game Assumptions'!$G45</f>
        <v>0.02</v>
      </c>
      <c r="H30" s="49">
        <f>'Game Assumptions'!$G45</f>
        <v>0.02</v>
      </c>
      <c r="I30" s="49">
        <f>'Game Assumptions'!$G45</f>
        <v>0.02</v>
      </c>
      <c r="J30" s="49">
        <f>'Game Assumptions'!$G45</f>
        <v>0.02</v>
      </c>
      <c r="K30" s="49">
        <f>'Game Assumptions'!$G45</f>
        <v>0.02</v>
      </c>
      <c r="L30" s="49">
        <f>'Game Assumptions'!$G45</f>
        <v>0.02</v>
      </c>
    </row>
    <row r="31" spans="1:12" x14ac:dyDescent="0.25">
      <c r="A31" t="s">
        <v>11</v>
      </c>
      <c r="B31" s="49">
        <f>'Game Assumptions'!$G46</f>
        <v>7</v>
      </c>
      <c r="C31" s="49">
        <f>'Game Assumptions'!$G46</f>
        <v>7</v>
      </c>
      <c r="D31" s="49">
        <f>'Game Assumptions'!$G46</f>
        <v>7</v>
      </c>
      <c r="E31" s="49">
        <f>'Game Assumptions'!$G46</f>
        <v>7</v>
      </c>
      <c r="F31" s="49">
        <f>'Game Assumptions'!$G46</f>
        <v>7</v>
      </c>
      <c r="G31" s="49">
        <f>'Game Assumptions'!$G46</f>
        <v>7</v>
      </c>
      <c r="H31" s="49">
        <f>'Game Assumptions'!$G46</f>
        <v>7</v>
      </c>
      <c r="I31" s="49">
        <f>'Game Assumptions'!$G46</f>
        <v>7</v>
      </c>
      <c r="J31" s="49">
        <f>'Game Assumptions'!$G46</f>
        <v>7</v>
      </c>
      <c r="K31" s="49">
        <f>'Game Assumptions'!$G46</f>
        <v>7</v>
      </c>
      <c r="L31" s="49">
        <f>'Game Assumptions'!$G46</f>
        <v>7</v>
      </c>
    </row>
    <row r="32" spans="1:12" x14ac:dyDescent="0.25">
      <c r="A32" t="s">
        <v>268</v>
      </c>
      <c r="B32" s="49">
        <f>'Game Assumptions'!$G47</f>
        <v>0</v>
      </c>
      <c r="C32" s="49">
        <f>'Game Assumptions'!$G47</f>
        <v>0</v>
      </c>
      <c r="D32" s="49">
        <f>'Game Assumptions'!$G47</f>
        <v>0</v>
      </c>
      <c r="E32" s="49">
        <f>'Game Assumptions'!$G47</f>
        <v>0</v>
      </c>
      <c r="F32" s="49">
        <f>'Game Assumptions'!$G47</f>
        <v>0</v>
      </c>
      <c r="G32" s="49">
        <f>'Game Assumptions'!$G47</f>
        <v>0</v>
      </c>
      <c r="H32" s="49">
        <f>'Game Assumptions'!$G47</f>
        <v>0</v>
      </c>
      <c r="I32" s="49">
        <f>'Game Assumptions'!$G47</f>
        <v>0</v>
      </c>
      <c r="J32" s="49">
        <f>'Game Assumptions'!$G47</f>
        <v>0</v>
      </c>
      <c r="K32" s="49">
        <f>'Game Assumptions'!$G47</f>
        <v>0</v>
      </c>
      <c r="L32" s="49">
        <f>'Game Assumptions'!$G47</f>
        <v>0</v>
      </c>
    </row>
    <row r="34" spans="1:12" x14ac:dyDescent="0.25">
      <c r="A34" s="9" t="s">
        <v>26</v>
      </c>
      <c r="B34" s="9">
        <v>0</v>
      </c>
      <c r="C34" s="9">
        <v>1</v>
      </c>
      <c r="D34" s="9">
        <v>2</v>
      </c>
      <c r="E34" s="9">
        <v>3</v>
      </c>
      <c r="F34" s="9">
        <v>4</v>
      </c>
      <c r="G34" s="9">
        <v>5</v>
      </c>
      <c r="H34" s="9">
        <v>6</v>
      </c>
      <c r="I34" s="9">
        <v>7</v>
      </c>
      <c r="J34" s="9">
        <v>8</v>
      </c>
      <c r="K34" s="9">
        <v>9</v>
      </c>
      <c r="L34" s="9">
        <v>10</v>
      </c>
    </row>
    <row r="35" spans="1:12" x14ac:dyDescent="0.25">
      <c r="A35" t="s">
        <v>7</v>
      </c>
      <c r="B35" s="15">
        <f t="shared" ref="B35:B41" si="0">B26+B14</f>
        <v>28.747499999999999</v>
      </c>
      <c r="C35" s="15">
        <f t="shared" ref="C35:L35" si="1">C26+C14</f>
        <v>28.021249999999998</v>
      </c>
      <c r="D35" s="15">
        <f t="shared" si="1"/>
        <v>27.917499999999997</v>
      </c>
      <c r="E35" s="15">
        <f t="shared" si="1"/>
        <v>27.813749999999999</v>
      </c>
      <c r="F35" s="15">
        <f t="shared" si="1"/>
        <v>28.021249999999998</v>
      </c>
      <c r="G35" s="15">
        <f t="shared" si="1"/>
        <v>28.332499999999996</v>
      </c>
      <c r="H35" s="15">
        <f t="shared" si="1"/>
        <v>28.747499999999999</v>
      </c>
      <c r="I35" s="15">
        <f t="shared" si="1"/>
        <v>29.162499999999998</v>
      </c>
      <c r="J35" s="15">
        <f t="shared" si="1"/>
        <v>29.577499999999997</v>
      </c>
      <c r="K35" s="15">
        <f t="shared" si="1"/>
        <v>29.888750000000002</v>
      </c>
      <c r="L35" s="15">
        <f t="shared" si="1"/>
        <v>30.2</v>
      </c>
    </row>
    <row r="36" spans="1:12" x14ac:dyDescent="0.25">
      <c r="A36" t="s">
        <v>8</v>
      </c>
      <c r="B36" s="15">
        <f t="shared" si="0"/>
        <v>36.550000000000004</v>
      </c>
      <c r="C36" s="15">
        <f t="shared" ref="C36:L36" si="2">C27+C15</f>
        <v>40.902000000000001</v>
      </c>
      <c r="D36" s="15">
        <f t="shared" si="2"/>
        <v>36.414000000000001</v>
      </c>
      <c r="E36" s="15">
        <f t="shared" si="2"/>
        <v>36.686</v>
      </c>
      <c r="F36" s="15">
        <f t="shared" si="2"/>
        <v>36.550000000000004</v>
      </c>
      <c r="G36" s="15">
        <f t="shared" si="2"/>
        <v>37.434000000000005</v>
      </c>
      <c r="H36" s="15">
        <f t="shared" si="2"/>
        <v>40.358000000000004</v>
      </c>
      <c r="I36" s="15">
        <f t="shared" si="2"/>
        <v>43.281999999999996</v>
      </c>
      <c r="J36" s="15">
        <f t="shared" si="2"/>
        <v>45.050000000000004</v>
      </c>
      <c r="K36" s="15">
        <f t="shared" si="2"/>
        <v>46.07</v>
      </c>
      <c r="L36" s="15">
        <f t="shared" si="2"/>
        <v>47.225999999999999</v>
      </c>
    </row>
    <row r="37" spans="1:12" x14ac:dyDescent="0.25">
      <c r="A37" t="s">
        <v>13</v>
      </c>
      <c r="B37" s="15">
        <f t="shared" si="0"/>
        <v>11.022499999999999</v>
      </c>
      <c r="C37" s="15">
        <f t="shared" ref="C37:L37" si="3">C28+C16</f>
        <v>11.022499999999999</v>
      </c>
      <c r="D37" s="15">
        <f t="shared" si="3"/>
        <v>11.022499999999999</v>
      </c>
      <c r="E37" s="15">
        <f t="shared" si="3"/>
        <v>11.022499999999999</v>
      </c>
      <c r="F37" s="15">
        <f t="shared" si="3"/>
        <v>11.022499999999999</v>
      </c>
      <c r="G37" s="15">
        <f t="shared" si="3"/>
        <v>11.022499999999999</v>
      </c>
      <c r="H37" s="15">
        <f t="shared" si="3"/>
        <v>11.022499999999999</v>
      </c>
      <c r="I37" s="15">
        <f t="shared" si="3"/>
        <v>11.022499999999999</v>
      </c>
      <c r="J37" s="15">
        <f t="shared" si="3"/>
        <v>11.022499999999999</v>
      </c>
      <c r="K37" s="15">
        <f t="shared" si="3"/>
        <v>11.022499999999999</v>
      </c>
      <c r="L37" s="15">
        <f t="shared" si="3"/>
        <v>11.022499999999999</v>
      </c>
    </row>
    <row r="38" spans="1:12" x14ac:dyDescent="0.25">
      <c r="A38" t="s">
        <v>9</v>
      </c>
      <c r="B38" s="15">
        <f t="shared" si="0"/>
        <v>0.01</v>
      </c>
      <c r="C38" s="15">
        <f t="shared" ref="C38:L38" si="4">C29+C17</f>
        <v>0.01</v>
      </c>
      <c r="D38" s="15">
        <f t="shared" si="4"/>
        <v>0.01</v>
      </c>
      <c r="E38" s="15">
        <f t="shared" si="4"/>
        <v>0.01</v>
      </c>
      <c r="F38" s="15">
        <f t="shared" si="4"/>
        <v>0.01</v>
      </c>
      <c r="G38" s="15">
        <f t="shared" si="4"/>
        <v>0.01</v>
      </c>
      <c r="H38" s="15">
        <f t="shared" si="4"/>
        <v>0.01</v>
      </c>
      <c r="I38" s="15">
        <f t="shared" si="4"/>
        <v>0.01</v>
      </c>
      <c r="J38" s="15">
        <f t="shared" si="4"/>
        <v>0.01</v>
      </c>
      <c r="K38" s="15">
        <f t="shared" si="4"/>
        <v>0.01</v>
      </c>
      <c r="L38" s="15">
        <f t="shared" si="4"/>
        <v>0.01</v>
      </c>
    </row>
    <row r="39" spans="1:12" x14ac:dyDescent="0.25">
      <c r="A39" t="s">
        <v>10</v>
      </c>
      <c r="B39" s="15">
        <f t="shared" si="0"/>
        <v>0.02</v>
      </c>
      <c r="C39" s="15">
        <f t="shared" ref="C39:L39" si="5">C30+C18</f>
        <v>0.02</v>
      </c>
      <c r="D39" s="15">
        <f t="shared" si="5"/>
        <v>0.02</v>
      </c>
      <c r="E39" s="15">
        <f t="shared" si="5"/>
        <v>0.02</v>
      </c>
      <c r="F39" s="15">
        <f t="shared" si="5"/>
        <v>0.02</v>
      </c>
      <c r="G39" s="15">
        <f t="shared" si="5"/>
        <v>0.02</v>
      </c>
      <c r="H39" s="15">
        <f t="shared" si="5"/>
        <v>0.02</v>
      </c>
      <c r="I39" s="15">
        <f t="shared" si="5"/>
        <v>0.02</v>
      </c>
      <c r="J39" s="15">
        <f t="shared" si="5"/>
        <v>0.02</v>
      </c>
      <c r="K39" s="15">
        <f t="shared" si="5"/>
        <v>0.02</v>
      </c>
      <c r="L39" s="15">
        <f t="shared" si="5"/>
        <v>0.02</v>
      </c>
    </row>
    <row r="40" spans="1:12" x14ac:dyDescent="0.25">
      <c r="A40" t="s">
        <v>11</v>
      </c>
      <c r="B40" s="15">
        <f t="shared" si="0"/>
        <v>7</v>
      </c>
      <c r="C40" s="15">
        <f t="shared" ref="C40:L40" si="6">C31+C19</f>
        <v>7</v>
      </c>
      <c r="D40" s="15">
        <f t="shared" si="6"/>
        <v>7</v>
      </c>
      <c r="E40" s="15">
        <f t="shared" si="6"/>
        <v>7</v>
      </c>
      <c r="F40" s="15">
        <f t="shared" si="6"/>
        <v>7</v>
      </c>
      <c r="G40" s="15">
        <f t="shared" si="6"/>
        <v>7</v>
      </c>
      <c r="H40" s="15">
        <f t="shared" si="6"/>
        <v>7</v>
      </c>
      <c r="I40" s="15">
        <f t="shared" si="6"/>
        <v>7</v>
      </c>
      <c r="J40" s="15">
        <f t="shared" si="6"/>
        <v>7</v>
      </c>
      <c r="K40" s="15">
        <f t="shared" si="6"/>
        <v>7</v>
      </c>
      <c r="L40" s="15">
        <f t="shared" si="6"/>
        <v>7</v>
      </c>
    </row>
    <row r="41" spans="1:12" x14ac:dyDescent="0.25">
      <c r="A41" t="s">
        <v>268</v>
      </c>
      <c r="B41" s="15">
        <f t="shared" si="0"/>
        <v>0</v>
      </c>
      <c r="C41" s="15">
        <f t="shared" ref="C41:L41" si="7">C32+C20</f>
        <v>0</v>
      </c>
      <c r="D41" s="15">
        <f t="shared" si="7"/>
        <v>0</v>
      </c>
      <c r="E41" s="15">
        <f t="shared" si="7"/>
        <v>0</v>
      </c>
      <c r="F41" s="15">
        <f t="shared" si="7"/>
        <v>0</v>
      </c>
      <c r="G41" s="15">
        <f t="shared" si="7"/>
        <v>0</v>
      </c>
      <c r="H41" s="15">
        <f t="shared" si="7"/>
        <v>0</v>
      </c>
      <c r="I41" s="15">
        <f t="shared" si="7"/>
        <v>0</v>
      </c>
      <c r="J41" s="15">
        <f t="shared" si="7"/>
        <v>0</v>
      </c>
      <c r="K41" s="15">
        <f t="shared" si="7"/>
        <v>0</v>
      </c>
      <c r="L41" s="15">
        <f t="shared" si="7"/>
        <v>0</v>
      </c>
    </row>
    <row r="43" spans="1:12" x14ac:dyDescent="0.25">
      <c r="A43" s="9" t="s">
        <v>122</v>
      </c>
      <c r="B43" s="9">
        <v>0</v>
      </c>
      <c r="C43" s="9">
        <v>1</v>
      </c>
      <c r="D43" s="9">
        <v>2</v>
      </c>
      <c r="E43" s="9">
        <v>3</v>
      </c>
      <c r="F43" s="9">
        <v>4</v>
      </c>
      <c r="G43" s="9">
        <v>5</v>
      </c>
      <c r="H43" s="9">
        <v>6</v>
      </c>
      <c r="I43" s="9">
        <v>7</v>
      </c>
      <c r="J43" s="9">
        <v>8</v>
      </c>
      <c r="K43" s="9">
        <v>9</v>
      </c>
      <c r="L43" s="9">
        <v>10</v>
      </c>
    </row>
    <row r="44" spans="1:12" x14ac:dyDescent="0.25">
      <c r="A44" t="s">
        <v>7</v>
      </c>
      <c r="B44">
        <f>RANK(B35,B$35:B$41,1)</f>
        <v>6</v>
      </c>
      <c r="C44">
        <f t="shared" ref="C44:L44" si="8">RANK(C35,C$35:C$41,1)</f>
        <v>6</v>
      </c>
      <c r="D44">
        <f t="shared" si="8"/>
        <v>6</v>
      </c>
      <c r="E44">
        <f t="shared" si="8"/>
        <v>6</v>
      </c>
      <c r="F44">
        <f t="shared" si="8"/>
        <v>6</v>
      </c>
      <c r="G44">
        <f t="shared" si="8"/>
        <v>6</v>
      </c>
      <c r="H44">
        <f t="shared" si="8"/>
        <v>6</v>
      </c>
      <c r="I44">
        <f t="shared" si="8"/>
        <v>6</v>
      </c>
      <c r="J44">
        <f t="shared" si="8"/>
        <v>6</v>
      </c>
      <c r="K44">
        <f t="shared" si="8"/>
        <v>6</v>
      </c>
      <c r="L44">
        <f t="shared" si="8"/>
        <v>6</v>
      </c>
    </row>
    <row r="45" spans="1:12" x14ac:dyDescent="0.25">
      <c r="A45" t="s">
        <v>8</v>
      </c>
      <c r="B45">
        <f t="shared" ref="B45:L50" si="9">RANK(B36,B$35:B$41,1)</f>
        <v>7</v>
      </c>
      <c r="C45">
        <f t="shared" si="9"/>
        <v>7</v>
      </c>
      <c r="D45">
        <f t="shared" si="9"/>
        <v>7</v>
      </c>
      <c r="E45">
        <f t="shared" si="9"/>
        <v>7</v>
      </c>
      <c r="F45">
        <f t="shared" si="9"/>
        <v>7</v>
      </c>
      <c r="G45">
        <f t="shared" si="9"/>
        <v>7</v>
      </c>
      <c r="H45">
        <f t="shared" si="9"/>
        <v>7</v>
      </c>
      <c r="I45">
        <f t="shared" si="9"/>
        <v>7</v>
      </c>
      <c r="J45">
        <f t="shared" si="9"/>
        <v>7</v>
      </c>
      <c r="K45">
        <f t="shared" si="9"/>
        <v>7</v>
      </c>
      <c r="L45">
        <f t="shared" si="9"/>
        <v>7</v>
      </c>
    </row>
    <row r="46" spans="1:12" x14ac:dyDescent="0.25">
      <c r="A46" t="s">
        <v>13</v>
      </c>
      <c r="B46">
        <f t="shared" si="9"/>
        <v>5</v>
      </c>
      <c r="C46">
        <f t="shared" si="9"/>
        <v>5</v>
      </c>
      <c r="D46">
        <f t="shared" si="9"/>
        <v>5</v>
      </c>
      <c r="E46">
        <f t="shared" si="9"/>
        <v>5</v>
      </c>
      <c r="F46">
        <f t="shared" si="9"/>
        <v>5</v>
      </c>
      <c r="G46">
        <f t="shared" si="9"/>
        <v>5</v>
      </c>
      <c r="H46">
        <f t="shared" si="9"/>
        <v>5</v>
      </c>
      <c r="I46">
        <f t="shared" si="9"/>
        <v>5</v>
      </c>
      <c r="J46">
        <f t="shared" si="9"/>
        <v>5</v>
      </c>
      <c r="K46">
        <f t="shared" si="9"/>
        <v>5</v>
      </c>
      <c r="L46">
        <f t="shared" si="9"/>
        <v>5</v>
      </c>
    </row>
    <row r="47" spans="1:12" x14ac:dyDescent="0.25">
      <c r="A47" t="s">
        <v>9</v>
      </c>
      <c r="B47">
        <f t="shared" si="9"/>
        <v>2</v>
      </c>
      <c r="C47">
        <f t="shared" si="9"/>
        <v>2</v>
      </c>
      <c r="D47">
        <f t="shared" si="9"/>
        <v>2</v>
      </c>
      <c r="E47">
        <f t="shared" si="9"/>
        <v>2</v>
      </c>
      <c r="F47">
        <f t="shared" si="9"/>
        <v>2</v>
      </c>
      <c r="G47">
        <f t="shared" si="9"/>
        <v>2</v>
      </c>
      <c r="H47">
        <f t="shared" si="9"/>
        <v>2</v>
      </c>
      <c r="I47">
        <f t="shared" si="9"/>
        <v>2</v>
      </c>
      <c r="J47">
        <f t="shared" si="9"/>
        <v>2</v>
      </c>
      <c r="K47">
        <f t="shared" si="9"/>
        <v>2</v>
      </c>
      <c r="L47">
        <f t="shared" si="9"/>
        <v>2</v>
      </c>
    </row>
    <row r="48" spans="1:12" x14ac:dyDescent="0.25">
      <c r="A48" t="s">
        <v>10</v>
      </c>
      <c r="B48">
        <f t="shared" si="9"/>
        <v>3</v>
      </c>
      <c r="C48">
        <f t="shared" si="9"/>
        <v>3</v>
      </c>
      <c r="D48">
        <f t="shared" si="9"/>
        <v>3</v>
      </c>
      <c r="E48">
        <f t="shared" si="9"/>
        <v>3</v>
      </c>
      <c r="F48">
        <f t="shared" si="9"/>
        <v>3</v>
      </c>
      <c r="G48">
        <f t="shared" si="9"/>
        <v>3</v>
      </c>
      <c r="H48">
        <f t="shared" si="9"/>
        <v>3</v>
      </c>
      <c r="I48">
        <f t="shared" si="9"/>
        <v>3</v>
      </c>
      <c r="J48">
        <f t="shared" si="9"/>
        <v>3</v>
      </c>
      <c r="K48">
        <f t="shared" si="9"/>
        <v>3</v>
      </c>
      <c r="L48">
        <f t="shared" si="9"/>
        <v>3</v>
      </c>
    </row>
    <row r="49" spans="1:12" x14ac:dyDescent="0.25">
      <c r="A49" t="s">
        <v>11</v>
      </c>
      <c r="B49">
        <f t="shared" si="9"/>
        <v>4</v>
      </c>
      <c r="C49">
        <f t="shared" si="9"/>
        <v>4</v>
      </c>
      <c r="D49">
        <f t="shared" si="9"/>
        <v>4</v>
      </c>
      <c r="E49">
        <f t="shared" si="9"/>
        <v>4</v>
      </c>
      <c r="F49">
        <f t="shared" si="9"/>
        <v>4</v>
      </c>
      <c r="G49">
        <f t="shared" si="9"/>
        <v>4</v>
      </c>
      <c r="H49">
        <f t="shared" si="9"/>
        <v>4</v>
      </c>
      <c r="I49">
        <f t="shared" si="9"/>
        <v>4</v>
      </c>
      <c r="J49">
        <f t="shared" si="9"/>
        <v>4</v>
      </c>
      <c r="K49">
        <f t="shared" si="9"/>
        <v>4</v>
      </c>
      <c r="L49">
        <f t="shared" si="9"/>
        <v>4</v>
      </c>
    </row>
    <row r="50" spans="1:12" x14ac:dyDescent="0.25">
      <c r="A50" t="s">
        <v>268</v>
      </c>
      <c r="B50">
        <f t="shared" si="9"/>
        <v>1</v>
      </c>
      <c r="C50">
        <f t="shared" si="9"/>
        <v>1</v>
      </c>
      <c r="D50">
        <f t="shared" si="9"/>
        <v>1</v>
      </c>
      <c r="E50">
        <f t="shared" si="9"/>
        <v>1</v>
      </c>
      <c r="F50">
        <f t="shared" si="9"/>
        <v>1</v>
      </c>
      <c r="G50">
        <f t="shared" si="9"/>
        <v>1</v>
      </c>
      <c r="H50">
        <f t="shared" si="9"/>
        <v>1</v>
      </c>
      <c r="I50">
        <f t="shared" si="9"/>
        <v>1</v>
      </c>
      <c r="J50">
        <f t="shared" si="9"/>
        <v>1</v>
      </c>
      <c r="K50">
        <f t="shared" si="9"/>
        <v>1</v>
      </c>
      <c r="L50">
        <f t="shared" si="9"/>
        <v>1</v>
      </c>
    </row>
    <row r="52" spans="1:12" x14ac:dyDescent="0.25">
      <c r="A52" s="9" t="s">
        <v>123</v>
      </c>
      <c r="B52" s="9">
        <v>0</v>
      </c>
      <c r="C52" s="9">
        <v>1</v>
      </c>
      <c r="D52" s="9">
        <v>2</v>
      </c>
      <c r="E52" s="9">
        <v>3</v>
      </c>
      <c r="F52" s="9">
        <v>4</v>
      </c>
      <c r="G52" s="9">
        <v>5</v>
      </c>
      <c r="H52" s="9">
        <v>6</v>
      </c>
      <c r="I52" s="9">
        <v>7</v>
      </c>
      <c r="J52" s="9">
        <v>8</v>
      </c>
      <c r="K52" s="9">
        <v>9</v>
      </c>
      <c r="L52" s="9">
        <v>10</v>
      </c>
    </row>
    <row r="53" spans="1:12" x14ac:dyDescent="0.25">
      <c r="A53">
        <v>1</v>
      </c>
      <c r="B53" t="s">
        <v>268</v>
      </c>
      <c r="C53" t="s">
        <v>268</v>
      </c>
      <c r="D53" t="s">
        <v>268</v>
      </c>
      <c r="E53" t="s">
        <v>268</v>
      </c>
      <c r="F53" t="s">
        <v>268</v>
      </c>
      <c r="G53" t="s">
        <v>268</v>
      </c>
      <c r="H53" t="s">
        <v>268</v>
      </c>
      <c r="I53" t="s">
        <v>268</v>
      </c>
      <c r="J53" t="s">
        <v>268</v>
      </c>
      <c r="K53" t="s">
        <v>268</v>
      </c>
      <c r="L53" t="s">
        <v>268</v>
      </c>
    </row>
    <row r="54" spans="1:12" x14ac:dyDescent="0.25">
      <c r="A54">
        <v>2</v>
      </c>
      <c r="B54" t="str">
        <f t="shared" ref="B54:L59" si="10">INDEX($A$44:$A$50,MATCH($A54,B$44:B$50,0))</f>
        <v>solar</v>
      </c>
      <c r="C54" t="str">
        <f t="shared" si="10"/>
        <v>solar</v>
      </c>
      <c r="D54" t="str">
        <f t="shared" si="10"/>
        <v>solar</v>
      </c>
      <c r="E54" t="str">
        <f t="shared" si="10"/>
        <v>solar</v>
      </c>
      <c r="F54" t="str">
        <f t="shared" si="10"/>
        <v>solar</v>
      </c>
      <c r="G54" t="str">
        <f t="shared" si="10"/>
        <v>solar</v>
      </c>
      <c r="H54" t="str">
        <f t="shared" si="10"/>
        <v>solar</v>
      </c>
      <c r="I54" t="str">
        <f t="shared" si="10"/>
        <v>solar</v>
      </c>
      <c r="J54" t="str">
        <f t="shared" si="10"/>
        <v>solar</v>
      </c>
      <c r="K54" t="str">
        <f t="shared" si="10"/>
        <v>solar</v>
      </c>
      <c r="L54" t="str">
        <f t="shared" si="10"/>
        <v>solar</v>
      </c>
    </row>
    <row r="55" spans="1:12" x14ac:dyDescent="0.25">
      <c r="A55">
        <v>3</v>
      </c>
      <c r="B55" t="str">
        <f t="shared" si="10"/>
        <v>wind</v>
      </c>
      <c r="C55" t="str">
        <f t="shared" si="10"/>
        <v>wind</v>
      </c>
      <c r="D55" t="str">
        <f t="shared" si="10"/>
        <v>wind</v>
      </c>
      <c r="E55" t="str">
        <f t="shared" si="10"/>
        <v>wind</v>
      </c>
      <c r="F55" t="str">
        <f t="shared" si="10"/>
        <v>wind</v>
      </c>
      <c r="G55" t="str">
        <f t="shared" si="10"/>
        <v>wind</v>
      </c>
      <c r="H55" t="str">
        <f t="shared" si="10"/>
        <v>wind</v>
      </c>
      <c r="I55" t="str">
        <f t="shared" si="10"/>
        <v>wind</v>
      </c>
      <c r="J55" t="str">
        <f t="shared" si="10"/>
        <v>wind</v>
      </c>
      <c r="K55" t="str">
        <f t="shared" si="10"/>
        <v>wind</v>
      </c>
      <c r="L55" t="str">
        <f t="shared" si="10"/>
        <v>wind</v>
      </c>
    </row>
    <row r="56" spans="1:12" x14ac:dyDescent="0.25">
      <c r="A56">
        <v>4</v>
      </c>
      <c r="B56" t="str">
        <f t="shared" si="10"/>
        <v>hydro</v>
      </c>
      <c r="C56" t="str">
        <f t="shared" si="10"/>
        <v>hydro</v>
      </c>
      <c r="D56" t="str">
        <f t="shared" si="10"/>
        <v>hydro</v>
      </c>
      <c r="E56" t="str">
        <f t="shared" si="10"/>
        <v>hydro</v>
      </c>
      <c r="F56" t="str">
        <f t="shared" si="10"/>
        <v>hydro</v>
      </c>
      <c r="G56" t="str">
        <f t="shared" si="10"/>
        <v>hydro</v>
      </c>
      <c r="H56" t="str">
        <f t="shared" si="10"/>
        <v>hydro</v>
      </c>
      <c r="I56" t="str">
        <f t="shared" si="10"/>
        <v>hydro</v>
      </c>
      <c r="J56" t="str">
        <f t="shared" si="10"/>
        <v>hydro</v>
      </c>
      <c r="K56" t="str">
        <f t="shared" si="10"/>
        <v>hydro</v>
      </c>
      <c r="L56" t="str">
        <f t="shared" si="10"/>
        <v>hydro</v>
      </c>
    </row>
    <row r="57" spans="1:12" x14ac:dyDescent="0.25">
      <c r="A57">
        <v>5</v>
      </c>
      <c r="B57" t="str">
        <f t="shared" si="10"/>
        <v>nuclear</v>
      </c>
      <c r="C57" t="str">
        <f t="shared" si="10"/>
        <v>nuclear</v>
      </c>
      <c r="D57" t="str">
        <f t="shared" si="10"/>
        <v>nuclear</v>
      </c>
      <c r="E57" t="str">
        <f t="shared" si="10"/>
        <v>nuclear</v>
      </c>
      <c r="F57" t="str">
        <f t="shared" si="10"/>
        <v>nuclear</v>
      </c>
      <c r="G57" t="str">
        <f t="shared" si="10"/>
        <v>nuclear</v>
      </c>
      <c r="H57" t="str">
        <f t="shared" si="10"/>
        <v>nuclear</v>
      </c>
      <c r="I57" t="str">
        <f t="shared" si="10"/>
        <v>nuclear</v>
      </c>
      <c r="J57" t="str">
        <f t="shared" si="10"/>
        <v>nuclear</v>
      </c>
      <c r="K57" t="str">
        <f t="shared" si="10"/>
        <v>nuclear</v>
      </c>
      <c r="L57" t="str">
        <f t="shared" si="10"/>
        <v>nuclear</v>
      </c>
    </row>
    <row r="58" spans="1:12" x14ac:dyDescent="0.25">
      <c r="A58">
        <v>6</v>
      </c>
      <c r="B58" t="str">
        <f t="shared" si="10"/>
        <v>coal</v>
      </c>
      <c r="C58" t="str">
        <f t="shared" si="10"/>
        <v>coal</v>
      </c>
      <c r="D58" t="str">
        <f t="shared" si="10"/>
        <v>coal</v>
      </c>
      <c r="E58" t="str">
        <f t="shared" si="10"/>
        <v>coal</v>
      </c>
      <c r="F58" t="str">
        <f t="shared" si="10"/>
        <v>coal</v>
      </c>
      <c r="G58" t="str">
        <f t="shared" si="10"/>
        <v>coal</v>
      </c>
      <c r="H58" t="str">
        <f t="shared" si="10"/>
        <v>coal</v>
      </c>
      <c r="I58" t="str">
        <f t="shared" si="10"/>
        <v>coal</v>
      </c>
      <c r="J58" t="str">
        <f t="shared" si="10"/>
        <v>coal</v>
      </c>
      <c r="K58" t="str">
        <f t="shared" si="10"/>
        <v>coal</v>
      </c>
      <c r="L58" t="str">
        <f t="shared" si="10"/>
        <v>coal</v>
      </c>
    </row>
    <row r="59" spans="1:12" x14ac:dyDescent="0.25">
      <c r="A59">
        <v>7</v>
      </c>
      <c r="B59" t="str">
        <f t="shared" si="10"/>
        <v>natural gas</v>
      </c>
      <c r="C59" t="str">
        <f t="shared" si="10"/>
        <v>natural gas</v>
      </c>
      <c r="D59" t="str">
        <f t="shared" si="10"/>
        <v>natural gas</v>
      </c>
      <c r="E59" t="str">
        <f t="shared" si="10"/>
        <v>natural gas</v>
      </c>
      <c r="F59" t="str">
        <f t="shared" si="10"/>
        <v>natural gas</v>
      </c>
      <c r="G59" t="str">
        <f t="shared" si="10"/>
        <v>natural gas</v>
      </c>
      <c r="H59" t="str">
        <f t="shared" si="10"/>
        <v>natural gas</v>
      </c>
      <c r="I59" t="str">
        <f t="shared" si="10"/>
        <v>natural gas</v>
      </c>
      <c r="J59" t="str">
        <f t="shared" si="10"/>
        <v>natural gas</v>
      </c>
      <c r="K59" t="str">
        <f t="shared" si="10"/>
        <v>natural gas</v>
      </c>
      <c r="L59" t="str">
        <f t="shared" si="10"/>
        <v>natural gas</v>
      </c>
    </row>
    <row r="61" spans="1:12" x14ac:dyDescent="0.25">
      <c r="A61" s="9" t="s">
        <v>124</v>
      </c>
      <c r="B61" s="9">
        <v>0</v>
      </c>
      <c r="C61" s="9">
        <v>1</v>
      </c>
      <c r="D61" s="9">
        <v>2</v>
      </c>
      <c r="E61" s="9">
        <v>3</v>
      </c>
      <c r="F61" s="9">
        <v>4</v>
      </c>
      <c r="G61" s="9">
        <v>5</v>
      </c>
      <c r="H61" s="9">
        <v>6</v>
      </c>
      <c r="I61" s="9">
        <v>7</v>
      </c>
      <c r="J61" s="9">
        <v>8</v>
      </c>
      <c r="K61" s="9">
        <v>9</v>
      </c>
      <c r="L61" s="9">
        <v>10</v>
      </c>
    </row>
    <row r="62" spans="1:12" x14ac:dyDescent="0.25">
      <c r="A62">
        <v>1</v>
      </c>
      <c r="B62" s="33">
        <f>INDEX(B$2:B$8,MATCH(B53,$A$2:$A$8,0),1)</f>
        <v>87600</v>
      </c>
      <c r="C62" s="33">
        <f>INDEX(C$2:C$8,MATCH(C53,$A$2:$A$8,0),1)</f>
        <v>87600</v>
      </c>
      <c r="D62" s="33">
        <f t="shared" ref="D62:L62" si="11">INDEX(D$2:D$8,MATCH(D53,$A$2:$A$8,0),1)</f>
        <v>87600</v>
      </c>
      <c r="E62" s="33">
        <f t="shared" si="11"/>
        <v>87600</v>
      </c>
      <c r="F62" s="33">
        <f t="shared" si="11"/>
        <v>87600</v>
      </c>
      <c r="G62" s="33">
        <f t="shared" si="11"/>
        <v>87600</v>
      </c>
      <c r="H62" s="33">
        <f t="shared" si="11"/>
        <v>87600</v>
      </c>
      <c r="I62" s="33">
        <f t="shared" si="11"/>
        <v>87600</v>
      </c>
      <c r="J62" s="33">
        <f t="shared" si="11"/>
        <v>87600</v>
      </c>
      <c r="K62" s="33">
        <f t="shared" si="11"/>
        <v>87600</v>
      </c>
      <c r="L62" s="33">
        <f t="shared" si="11"/>
        <v>87600</v>
      </c>
    </row>
    <row r="63" spans="1:12" x14ac:dyDescent="0.25">
      <c r="A63">
        <v>2</v>
      </c>
      <c r="B63" s="33">
        <f>INDEX(B$2:B$8,MATCH(B54,$A$2:$A$8,0),1)+B62</f>
        <v>153300</v>
      </c>
      <c r="C63" s="33">
        <f t="shared" ref="C63:L68" si="12">INDEX(C$2:C$8,MATCH(C54,$A$2:$A$8,0),1)+C62</f>
        <v>153300</v>
      </c>
      <c r="D63" s="33">
        <f t="shared" si="12"/>
        <v>153300</v>
      </c>
      <c r="E63" s="33">
        <f t="shared" si="12"/>
        <v>153300</v>
      </c>
      <c r="F63" s="33">
        <f t="shared" si="12"/>
        <v>153300</v>
      </c>
      <c r="G63" s="33">
        <f t="shared" si="12"/>
        <v>153300</v>
      </c>
      <c r="H63" s="33">
        <f t="shared" si="12"/>
        <v>153300</v>
      </c>
      <c r="I63" s="33">
        <f t="shared" si="12"/>
        <v>153300</v>
      </c>
      <c r="J63" s="33">
        <f t="shared" si="12"/>
        <v>153300</v>
      </c>
      <c r="K63" s="33">
        <f t="shared" si="12"/>
        <v>153300</v>
      </c>
      <c r="L63" s="33">
        <f t="shared" si="12"/>
        <v>153300</v>
      </c>
    </row>
    <row r="64" spans="1:12" x14ac:dyDescent="0.25">
      <c r="A64">
        <v>3</v>
      </c>
      <c r="B64" s="33">
        <f t="shared" ref="B64:B68" si="13">INDEX(B$2:B$8,MATCH(B55,$A$2:$A$8,0),1)+B63</f>
        <v>232140</v>
      </c>
      <c r="C64" s="33">
        <f t="shared" si="12"/>
        <v>232140</v>
      </c>
      <c r="D64" s="33">
        <f t="shared" si="12"/>
        <v>232140</v>
      </c>
      <c r="E64" s="33">
        <f t="shared" si="12"/>
        <v>232140</v>
      </c>
      <c r="F64" s="33">
        <f t="shared" si="12"/>
        <v>232140</v>
      </c>
      <c r="G64" s="33">
        <f t="shared" si="12"/>
        <v>232140</v>
      </c>
      <c r="H64" s="33">
        <f t="shared" si="12"/>
        <v>232140</v>
      </c>
      <c r="I64" s="33">
        <f t="shared" si="12"/>
        <v>232140</v>
      </c>
      <c r="J64" s="33">
        <f t="shared" si="12"/>
        <v>232140</v>
      </c>
      <c r="K64" s="33">
        <f t="shared" si="12"/>
        <v>232140</v>
      </c>
      <c r="L64" s="33">
        <f t="shared" si="12"/>
        <v>232140</v>
      </c>
    </row>
    <row r="65" spans="1:12" x14ac:dyDescent="0.25">
      <c r="A65">
        <v>4</v>
      </c>
      <c r="B65" s="33">
        <f t="shared" si="13"/>
        <v>389820</v>
      </c>
      <c r="C65" s="33">
        <f t="shared" si="12"/>
        <v>389820</v>
      </c>
      <c r="D65" s="33">
        <f t="shared" si="12"/>
        <v>389820</v>
      </c>
      <c r="E65" s="33">
        <f t="shared" si="12"/>
        <v>389820</v>
      </c>
      <c r="F65" s="33">
        <f t="shared" si="12"/>
        <v>389820</v>
      </c>
      <c r="G65" s="33">
        <f t="shared" si="12"/>
        <v>389820</v>
      </c>
      <c r="H65" s="33">
        <f t="shared" si="12"/>
        <v>389820</v>
      </c>
      <c r="I65" s="33">
        <f t="shared" si="12"/>
        <v>389820</v>
      </c>
      <c r="J65" s="33">
        <f t="shared" si="12"/>
        <v>389820</v>
      </c>
      <c r="K65" s="33">
        <f t="shared" si="12"/>
        <v>389820</v>
      </c>
      <c r="L65" s="33">
        <f t="shared" si="12"/>
        <v>389820</v>
      </c>
    </row>
    <row r="66" spans="1:12" x14ac:dyDescent="0.25">
      <c r="A66">
        <v>5</v>
      </c>
      <c r="B66" s="33">
        <f t="shared" si="13"/>
        <v>4331820</v>
      </c>
      <c r="C66" s="33">
        <f t="shared" si="12"/>
        <v>4331820</v>
      </c>
      <c r="D66" s="33">
        <f t="shared" si="12"/>
        <v>4331820</v>
      </c>
      <c r="E66" s="33">
        <f t="shared" si="12"/>
        <v>389820</v>
      </c>
      <c r="F66" s="33">
        <f t="shared" si="12"/>
        <v>389820</v>
      </c>
      <c r="G66" s="33">
        <f t="shared" si="12"/>
        <v>389820</v>
      </c>
      <c r="H66" s="33">
        <f t="shared" si="12"/>
        <v>389820</v>
      </c>
      <c r="I66" s="33">
        <f t="shared" si="12"/>
        <v>389820</v>
      </c>
      <c r="J66" s="33">
        <f t="shared" si="12"/>
        <v>389820</v>
      </c>
      <c r="K66" s="33">
        <f t="shared" si="12"/>
        <v>389820</v>
      </c>
      <c r="L66" s="33">
        <f t="shared" si="12"/>
        <v>389820</v>
      </c>
    </row>
    <row r="67" spans="1:12" x14ac:dyDescent="0.25">
      <c r="A67">
        <v>6</v>
      </c>
      <c r="B67" s="33">
        <f t="shared" si="13"/>
        <v>6959820</v>
      </c>
      <c r="C67" s="33">
        <f t="shared" si="12"/>
        <v>5383020</v>
      </c>
      <c r="D67" s="33">
        <f t="shared" si="12"/>
        <v>5383020</v>
      </c>
      <c r="E67" s="33">
        <f t="shared" si="12"/>
        <v>1441020</v>
      </c>
      <c r="F67" s="33">
        <f t="shared" si="12"/>
        <v>1441020</v>
      </c>
      <c r="G67" s="33">
        <f t="shared" si="12"/>
        <v>915420</v>
      </c>
      <c r="H67" s="33">
        <f t="shared" si="12"/>
        <v>915420</v>
      </c>
      <c r="I67" s="33">
        <f t="shared" si="12"/>
        <v>915420</v>
      </c>
      <c r="J67" s="33">
        <f t="shared" si="12"/>
        <v>915420</v>
      </c>
      <c r="K67" s="33">
        <f t="shared" si="12"/>
        <v>915420</v>
      </c>
      <c r="L67" s="33">
        <f t="shared" si="12"/>
        <v>915420</v>
      </c>
    </row>
    <row r="68" spans="1:12" x14ac:dyDescent="0.25">
      <c r="A68">
        <v>7</v>
      </c>
      <c r="B68" s="33">
        <f t="shared" si="13"/>
        <v>11164620</v>
      </c>
      <c r="C68" s="33">
        <f t="shared" si="12"/>
        <v>9587820</v>
      </c>
      <c r="D68" s="33">
        <f t="shared" si="12"/>
        <v>9587820</v>
      </c>
      <c r="E68" s="33">
        <f t="shared" si="12"/>
        <v>5645820</v>
      </c>
      <c r="F68" s="33">
        <f t="shared" si="12"/>
        <v>5645820</v>
      </c>
      <c r="G68" s="33">
        <f t="shared" si="12"/>
        <v>5120220</v>
      </c>
      <c r="H68" s="33">
        <f t="shared" si="12"/>
        <v>5120220</v>
      </c>
      <c r="I68" s="33">
        <f t="shared" si="12"/>
        <v>5120220</v>
      </c>
      <c r="J68" s="33">
        <f t="shared" si="12"/>
        <v>5120220</v>
      </c>
      <c r="K68" s="33">
        <f t="shared" si="12"/>
        <v>5120220</v>
      </c>
      <c r="L68" s="33">
        <f t="shared" si="12"/>
        <v>5120220</v>
      </c>
    </row>
    <row r="71" spans="1:12" ht="18.75" x14ac:dyDescent="0.3">
      <c r="A71" s="20" t="s">
        <v>130</v>
      </c>
      <c r="B71" s="20"/>
      <c r="C71" s="20"/>
      <c r="D71" s="20"/>
      <c r="E71" s="20"/>
      <c r="F71" s="20"/>
      <c r="G71" s="20"/>
      <c r="H71" s="20"/>
      <c r="I71" s="20"/>
      <c r="J71" s="20"/>
      <c r="K71" s="20"/>
      <c r="L71" s="20"/>
    </row>
    <row r="72" spans="1:12" x14ac:dyDescent="0.25">
      <c r="A72" s="9" t="s">
        <v>267</v>
      </c>
      <c r="B72" s="9">
        <v>0</v>
      </c>
      <c r="C72" s="9">
        <v>1</v>
      </c>
      <c r="D72" s="9">
        <v>2</v>
      </c>
      <c r="E72" s="9">
        <v>3</v>
      </c>
      <c r="F72" s="9">
        <v>4</v>
      </c>
      <c r="G72" s="9">
        <v>5</v>
      </c>
      <c r="H72" s="9">
        <v>6</v>
      </c>
      <c r="I72" s="9">
        <v>7</v>
      </c>
      <c r="J72" s="9">
        <v>8</v>
      </c>
      <c r="K72" s="9">
        <v>9</v>
      </c>
      <c r="L72" s="9">
        <v>10</v>
      </c>
    </row>
    <row r="73" spans="1:12" x14ac:dyDescent="0.25">
      <c r="A73" t="s">
        <v>126</v>
      </c>
      <c r="B73" s="88">
        <f>'Resource Mix and Demand'!B58</f>
        <v>8890500</v>
      </c>
      <c r="C73" s="88">
        <f>'Resource Mix and Demand'!C58</f>
        <v>8675170</v>
      </c>
      <c r="D73" s="88">
        <f>'Resource Mix and Demand'!D58</f>
        <v>8553270</v>
      </c>
      <c r="E73" s="88">
        <f>'Resource Mix and Demand'!E58</f>
        <v>8324800</v>
      </c>
      <c r="F73" s="88">
        <f>'Resource Mix and Demand'!F58</f>
        <v>8089760</v>
      </c>
      <c r="G73" s="88">
        <f>'Resource Mix and Demand'!G58</f>
        <v>8148150</v>
      </c>
      <c r="H73" s="88">
        <f>'Resource Mix and Demand'!H58</f>
        <v>7899970</v>
      </c>
      <c r="I73" s="88">
        <f>'Resource Mix and Demand'!I58</f>
        <v>7645220</v>
      </c>
      <c r="J73" s="88">
        <f>'Resource Mix and Demand'!J58</f>
        <v>7783900</v>
      </c>
      <c r="K73" s="88">
        <f>'Resource Mix and Demand'!K58</f>
        <v>7616010</v>
      </c>
      <c r="L73" s="88">
        <f>'Resource Mix and Demand'!L58</f>
        <v>7441550</v>
      </c>
    </row>
    <row r="75" spans="1:12" x14ac:dyDescent="0.25">
      <c r="A75" s="9" t="s">
        <v>127</v>
      </c>
      <c r="B75" s="9">
        <v>0</v>
      </c>
      <c r="C75" s="9">
        <v>1</v>
      </c>
      <c r="D75" s="9">
        <v>2</v>
      </c>
      <c r="E75" s="9">
        <v>3</v>
      </c>
      <c r="F75" s="9">
        <v>4</v>
      </c>
      <c r="G75" s="9">
        <v>5</v>
      </c>
      <c r="H75" s="9">
        <v>6</v>
      </c>
      <c r="I75" s="9">
        <v>7</v>
      </c>
      <c r="J75" s="9">
        <v>8</v>
      </c>
      <c r="K75" s="9">
        <v>9</v>
      </c>
      <c r="L75" s="9">
        <v>10</v>
      </c>
    </row>
    <row r="76" spans="1:12" x14ac:dyDescent="0.25">
      <c r="A76">
        <v>1</v>
      </c>
      <c r="B76" s="16">
        <f>MAX(IF(B62&lt;B$73,B62-IF(B61&lt;10,0,B61),B$106-B61),0)</f>
        <v>87600</v>
      </c>
      <c r="C76" s="16">
        <f t="shared" ref="C76:L76" si="14">MAX(IF(C62&lt;C$73,C62-IF(C61&lt;10,0,C61),C$106-C61),0)</f>
        <v>87600</v>
      </c>
      <c r="D76" s="16">
        <f t="shared" si="14"/>
        <v>87600</v>
      </c>
      <c r="E76" s="16">
        <f t="shared" si="14"/>
        <v>87600</v>
      </c>
      <c r="F76" s="16">
        <f t="shared" si="14"/>
        <v>87600</v>
      </c>
      <c r="G76" s="16">
        <f t="shared" si="14"/>
        <v>87600</v>
      </c>
      <c r="H76" s="16">
        <f t="shared" si="14"/>
        <v>87600</v>
      </c>
      <c r="I76" s="16">
        <f t="shared" si="14"/>
        <v>87600</v>
      </c>
      <c r="J76" s="16">
        <f t="shared" si="14"/>
        <v>87600</v>
      </c>
      <c r="K76" s="16">
        <f t="shared" si="14"/>
        <v>87600</v>
      </c>
      <c r="L76" s="16">
        <f t="shared" si="14"/>
        <v>87590</v>
      </c>
    </row>
    <row r="77" spans="1:12" x14ac:dyDescent="0.25">
      <c r="A77">
        <v>2</v>
      </c>
      <c r="B77" s="16">
        <f t="shared" ref="B77:L82" si="15">MAX(IF(B63&lt;B$73,B63-IF(B62&lt;10,0,B62),B$106-B62),0)</f>
        <v>65700</v>
      </c>
      <c r="C77" s="16">
        <f t="shared" si="15"/>
        <v>65700</v>
      </c>
      <c r="D77" s="16">
        <f t="shared" si="15"/>
        <v>65700</v>
      </c>
      <c r="E77" s="16">
        <f t="shared" si="15"/>
        <v>65700</v>
      </c>
      <c r="F77" s="16">
        <f t="shared" si="15"/>
        <v>65700</v>
      </c>
      <c r="G77" s="16">
        <f t="shared" si="15"/>
        <v>65700</v>
      </c>
      <c r="H77" s="16">
        <f t="shared" si="15"/>
        <v>65700</v>
      </c>
      <c r="I77" s="16">
        <f t="shared" si="15"/>
        <v>65700</v>
      </c>
      <c r="J77" s="16">
        <f t="shared" si="15"/>
        <v>65700</v>
      </c>
      <c r="K77" s="16">
        <f t="shared" si="15"/>
        <v>65700</v>
      </c>
      <c r="L77" s="16">
        <f t="shared" si="15"/>
        <v>65700</v>
      </c>
    </row>
    <row r="78" spans="1:12" x14ac:dyDescent="0.25">
      <c r="A78">
        <v>3</v>
      </c>
      <c r="B78" s="16">
        <f t="shared" si="15"/>
        <v>78840</v>
      </c>
      <c r="C78" s="16">
        <f t="shared" si="15"/>
        <v>78840</v>
      </c>
      <c r="D78" s="16">
        <f t="shared" si="15"/>
        <v>78840</v>
      </c>
      <c r="E78" s="16">
        <f t="shared" si="15"/>
        <v>78840</v>
      </c>
      <c r="F78" s="16">
        <f t="shared" si="15"/>
        <v>78840</v>
      </c>
      <c r="G78" s="16">
        <f t="shared" si="15"/>
        <v>78840</v>
      </c>
      <c r="H78" s="16">
        <f t="shared" si="15"/>
        <v>78840</v>
      </c>
      <c r="I78" s="16">
        <f t="shared" si="15"/>
        <v>78840</v>
      </c>
      <c r="J78" s="16">
        <f t="shared" si="15"/>
        <v>78840</v>
      </c>
      <c r="K78" s="16">
        <f t="shared" si="15"/>
        <v>78840</v>
      </c>
      <c r="L78" s="16">
        <f t="shared" si="15"/>
        <v>78840</v>
      </c>
    </row>
    <row r="79" spans="1:12" x14ac:dyDescent="0.25">
      <c r="A79">
        <v>4</v>
      </c>
      <c r="B79" s="16">
        <f t="shared" si="15"/>
        <v>157680</v>
      </c>
      <c r="C79" s="16">
        <f t="shared" si="15"/>
        <v>157680</v>
      </c>
      <c r="D79" s="16">
        <f t="shared" si="15"/>
        <v>157680</v>
      </c>
      <c r="E79" s="16">
        <f t="shared" si="15"/>
        <v>157680</v>
      </c>
      <c r="F79" s="16">
        <f t="shared" si="15"/>
        <v>157680</v>
      </c>
      <c r="G79" s="16">
        <f t="shared" si="15"/>
        <v>157680</v>
      </c>
      <c r="H79" s="16">
        <f t="shared" si="15"/>
        <v>157680</v>
      </c>
      <c r="I79" s="16">
        <f t="shared" si="15"/>
        <v>157680</v>
      </c>
      <c r="J79" s="16">
        <f t="shared" si="15"/>
        <v>157680</v>
      </c>
      <c r="K79" s="16">
        <f t="shared" si="15"/>
        <v>157680</v>
      </c>
      <c r="L79" s="16">
        <f t="shared" si="15"/>
        <v>157680</v>
      </c>
    </row>
    <row r="80" spans="1:12" x14ac:dyDescent="0.25">
      <c r="A80">
        <v>5</v>
      </c>
      <c r="B80" s="16">
        <f t="shared" si="15"/>
        <v>3942000</v>
      </c>
      <c r="C80" s="16">
        <f t="shared" si="15"/>
        <v>3942000</v>
      </c>
      <c r="D80" s="16">
        <f t="shared" si="15"/>
        <v>3942000</v>
      </c>
      <c r="E80" s="16">
        <f t="shared" si="15"/>
        <v>0</v>
      </c>
      <c r="F80" s="16">
        <f t="shared" si="15"/>
        <v>0</v>
      </c>
      <c r="G80" s="16">
        <f t="shared" si="15"/>
        <v>0</v>
      </c>
      <c r="H80" s="16">
        <f t="shared" si="15"/>
        <v>0</v>
      </c>
      <c r="I80" s="16">
        <f t="shared" si="15"/>
        <v>0</v>
      </c>
      <c r="J80" s="16">
        <f t="shared" si="15"/>
        <v>0</v>
      </c>
      <c r="K80" s="16">
        <f t="shared" si="15"/>
        <v>0</v>
      </c>
      <c r="L80" s="16">
        <f t="shared" si="15"/>
        <v>0</v>
      </c>
    </row>
    <row r="81" spans="1:12" x14ac:dyDescent="0.25">
      <c r="A81">
        <v>6</v>
      </c>
      <c r="B81" s="16">
        <f t="shared" si="15"/>
        <v>2628000</v>
      </c>
      <c r="C81" s="16">
        <f t="shared" si="15"/>
        <v>1051200</v>
      </c>
      <c r="D81" s="16">
        <f t="shared" si="15"/>
        <v>1051200</v>
      </c>
      <c r="E81" s="16">
        <f t="shared" si="15"/>
        <v>1051200</v>
      </c>
      <c r="F81" s="16">
        <f t="shared" si="15"/>
        <v>1051200</v>
      </c>
      <c r="G81" s="16">
        <f t="shared" si="15"/>
        <v>525600</v>
      </c>
      <c r="H81" s="16">
        <f t="shared" si="15"/>
        <v>525600</v>
      </c>
      <c r="I81" s="16">
        <f t="shared" si="15"/>
        <v>525600</v>
      </c>
      <c r="J81" s="16">
        <f t="shared" si="15"/>
        <v>525600</v>
      </c>
      <c r="K81" s="16">
        <f t="shared" si="15"/>
        <v>525600</v>
      </c>
      <c r="L81" s="16">
        <f t="shared" si="15"/>
        <v>525600</v>
      </c>
    </row>
    <row r="82" spans="1:12" x14ac:dyDescent="0.25">
      <c r="A82">
        <v>7</v>
      </c>
      <c r="B82" s="16">
        <f t="shared" si="15"/>
        <v>1930680</v>
      </c>
      <c r="C82" s="16">
        <f t="shared" si="15"/>
        <v>2940150</v>
      </c>
      <c r="D82" s="16">
        <f t="shared" si="15"/>
        <v>3605250</v>
      </c>
      <c r="E82" s="16">
        <f t="shared" si="15"/>
        <v>4204800</v>
      </c>
      <c r="F82" s="16">
        <f t="shared" si="15"/>
        <v>4204800</v>
      </c>
      <c r="G82" s="16">
        <f t="shared" si="15"/>
        <v>4204800</v>
      </c>
      <c r="H82" s="16">
        <f t="shared" si="15"/>
        <v>4204800</v>
      </c>
      <c r="I82" s="16">
        <f t="shared" si="15"/>
        <v>4204800</v>
      </c>
      <c r="J82" s="16">
        <f t="shared" si="15"/>
        <v>4204800</v>
      </c>
      <c r="K82" s="16">
        <f t="shared" si="15"/>
        <v>4204800</v>
      </c>
      <c r="L82" s="16">
        <f t="shared" si="15"/>
        <v>4204800</v>
      </c>
    </row>
    <row r="84" spans="1:12" x14ac:dyDescent="0.25">
      <c r="A84" s="9" t="s">
        <v>128</v>
      </c>
      <c r="B84" s="9">
        <v>0</v>
      </c>
      <c r="C84" s="9">
        <v>1</v>
      </c>
      <c r="D84" s="9">
        <v>2</v>
      </c>
      <c r="E84" s="9">
        <v>3</v>
      </c>
      <c r="F84" s="9">
        <v>4</v>
      </c>
      <c r="G84" s="9">
        <v>5</v>
      </c>
      <c r="H84" s="9">
        <v>6</v>
      </c>
      <c r="I84" s="9">
        <v>7</v>
      </c>
      <c r="J84" s="9">
        <v>8</v>
      </c>
      <c r="K84" s="9">
        <v>9</v>
      </c>
      <c r="L84" s="9">
        <v>10</v>
      </c>
    </row>
    <row r="85" spans="1:12" x14ac:dyDescent="0.25">
      <c r="A85" t="s">
        <v>7</v>
      </c>
      <c r="B85">
        <f t="shared" ref="B85:B91" si="16">INDEX(B$76:B$82,MATCH($A85,B$53:B$59,0),1)</f>
        <v>2628000</v>
      </c>
      <c r="C85">
        <f t="shared" ref="C85:L85" si="17">INDEX(C$76:C$82,MATCH($A85,C$53:C$59,0),1)</f>
        <v>1051200</v>
      </c>
      <c r="D85">
        <f t="shared" si="17"/>
        <v>1051200</v>
      </c>
      <c r="E85">
        <f t="shared" si="17"/>
        <v>1051200</v>
      </c>
      <c r="F85">
        <f t="shared" si="17"/>
        <v>1051200</v>
      </c>
      <c r="G85">
        <f t="shared" si="17"/>
        <v>525600</v>
      </c>
      <c r="H85">
        <f t="shared" si="17"/>
        <v>525600</v>
      </c>
      <c r="I85">
        <f t="shared" si="17"/>
        <v>525600</v>
      </c>
      <c r="J85">
        <f t="shared" si="17"/>
        <v>525600</v>
      </c>
      <c r="K85">
        <f t="shared" si="17"/>
        <v>525600</v>
      </c>
      <c r="L85">
        <f t="shared" si="17"/>
        <v>525600</v>
      </c>
    </row>
    <row r="86" spans="1:12" x14ac:dyDescent="0.25">
      <c r="A86" t="s">
        <v>8</v>
      </c>
      <c r="B86">
        <f t="shared" si="16"/>
        <v>1930680</v>
      </c>
      <c r="C86">
        <f t="shared" ref="C86:L91" si="18">INDEX(C$76:C$82,MATCH($A86,C$53:C$59,0),1)</f>
        <v>2940150</v>
      </c>
      <c r="D86">
        <f t="shared" si="18"/>
        <v>3605250</v>
      </c>
      <c r="E86">
        <f t="shared" si="18"/>
        <v>4204800</v>
      </c>
      <c r="F86">
        <f t="shared" si="18"/>
        <v>4204800</v>
      </c>
      <c r="G86">
        <f t="shared" si="18"/>
        <v>4204800</v>
      </c>
      <c r="H86">
        <f t="shared" si="18"/>
        <v>4204800</v>
      </c>
      <c r="I86">
        <f t="shared" si="18"/>
        <v>4204800</v>
      </c>
      <c r="J86">
        <f t="shared" si="18"/>
        <v>4204800</v>
      </c>
      <c r="K86">
        <f t="shared" si="18"/>
        <v>4204800</v>
      </c>
      <c r="L86">
        <f t="shared" si="18"/>
        <v>4204800</v>
      </c>
    </row>
    <row r="87" spans="1:12" x14ac:dyDescent="0.25">
      <c r="A87" t="s">
        <v>13</v>
      </c>
      <c r="B87">
        <f t="shared" si="16"/>
        <v>3942000</v>
      </c>
      <c r="C87">
        <f t="shared" si="18"/>
        <v>3942000</v>
      </c>
      <c r="D87">
        <f t="shared" si="18"/>
        <v>3942000</v>
      </c>
      <c r="E87">
        <f t="shared" si="18"/>
        <v>0</v>
      </c>
      <c r="F87">
        <f t="shared" si="18"/>
        <v>0</v>
      </c>
      <c r="G87">
        <f t="shared" si="18"/>
        <v>0</v>
      </c>
      <c r="H87">
        <f t="shared" si="18"/>
        <v>0</v>
      </c>
      <c r="I87">
        <f t="shared" si="18"/>
        <v>0</v>
      </c>
      <c r="J87">
        <f t="shared" si="18"/>
        <v>0</v>
      </c>
      <c r="K87">
        <f t="shared" si="18"/>
        <v>0</v>
      </c>
      <c r="L87">
        <f t="shared" si="18"/>
        <v>0</v>
      </c>
    </row>
    <row r="88" spans="1:12" x14ac:dyDescent="0.25">
      <c r="A88" t="s">
        <v>9</v>
      </c>
      <c r="B88">
        <f t="shared" si="16"/>
        <v>65700</v>
      </c>
      <c r="C88">
        <f t="shared" si="18"/>
        <v>65700</v>
      </c>
      <c r="D88">
        <f t="shared" si="18"/>
        <v>65700</v>
      </c>
      <c r="E88">
        <f t="shared" si="18"/>
        <v>65700</v>
      </c>
      <c r="F88">
        <f t="shared" si="18"/>
        <v>65700</v>
      </c>
      <c r="G88">
        <f t="shared" si="18"/>
        <v>65700</v>
      </c>
      <c r="H88">
        <f t="shared" si="18"/>
        <v>65700</v>
      </c>
      <c r="I88">
        <f t="shared" si="18"/>
        <v>65700</v>
      </c>
      <c r="J88">
        <f t="shared" si="18"/>
        <v>65700</v>
      </c>
      <c r="K88">
        <f t="shared" si="18"/>
        <v>65700</v>
      </c>
      <c r="L88">
        <f t="shared" si="18"/>
        <v>65700</v>
      </c>
    </row>
    <row r="89" spans="1:12" x14ac:dyDescent="0.25">
      <c r="A89" t="s">
        <v>10</v>
      </c>
      <c r="B89">
        <f t="shared" si="16"/>
        <v>78840</v>
      </c>
      <c r="C89">
        <f t="shared" si="18"/>
        <v>78840</v>
      </c>
      <c r="D89">
        <f t="shared" si="18"/>
        <v>78840</v>
      </c>
      <c r="E89">
        <f t="shared" si="18"/>
        <v>78840</v>
      </c>
      <c r="F89">
        <f t="shared" si="18"/>
        <v>78840</v>
      </c>
      <c r="G89">
        <f t="shared" si="18"/>
        <v>78840</v>
      </c>
      <c r="H89">
        <f t="shared" si="18"/>
        <v>78840</v>
      </c>
      <c r="I89">
        <f t="shared" si="18"/>
        <v>78840</v>
      </c>
      <c r="J89">
        <f t="shared" si="18"/>
        <v>78840</v>
      </c>
      <c r="K89">
        <f t="shared" si="18"/>
        <v>78840</v>
      </c>
      <c r="L89">
        <f t="shared" si="18"/>
        <v>78840</v>
      </c>
    </row>
    <row r="90" spans="1:12" x14ac:dyDescent="0.25">
      <c r="A90" t="s">
        <v>11</v>
      </c>
      <c r="B90">
        <f t="shared" si="16"/>
        <v>157680</v>
      </c>
      <c r="C90">
        <f t="shared" si="18"/>
        <v>157680</v>
      </c>
      <c r="D90">
        <f t="shared" si="18"/>
        <v>157680</v>
      </c>
      <c r="E90">
        <f t="shared" si="18"/>
        <v>157680</v>
      </c>
      <c r="F90">
        <f t="shared" si="18"/>
        <v>157680</v>
      </c>
      <c r="G90">
        <f t="shared" si="18"/>
        <v>157680</v>
      </c>
      <c r="H90">
        <f t="shared" si="18"/>
        <v>157680</v>
      </c>
      <c r="I90">
        <f t="shared" si="18"/>
        <v>157680</v>
      </c>
      <c r="J90">
        <f t="shared" si="18"/>
        <v>157680</v>
      </c>
      <c r="K90">
        <f t="shared" si="18"/>
        <v>157680</v>
      </c>
      <c r="L90">
        <f t="shared" si="18"/>
        <v>157680</v>
      </c>
    </row>
    <row r="91" spans="1:12" x14ac:dyDescent="0.25">
      <c r="A91" t="s">
        <v>268</v>
      </c>
      <c r="B91">
        <f t="shared" si="16"/>
        <v>87600</v>
      </c>
      <c r="C91">
        <f t="shared" si="18"/>
        <v>87600</v>
      </c>
      <c r="D91">
        <f t="shared" si="18"/>
        <v>87600</v>
      </c>
      <c r="E91">
        <f t="shared" si="18"/>
        <v>87600</v>
      </c>
      <c r="F91">
        <f t="shared" si="18"/>
        <v>87600</v>
      </c>
      <c r="G91">
        <f t="shared" si="18"/>
        <v>87600</v>
      </c>
      <c r="H91">
        <f t="shared" si="18"/>
        <v>87600</v>
      </c>
      <c r="I91">
        <f t="shared" si="18"/>
        <v>87600</v>
      </c>
      <c r="J91">
        <f t="shared" si="18"/>
        <v>87600</v>
      </c>
      <c r="K91">
        <f t="shared" si="18"/>
        <v>87600</v>
      </c>
      <c r="L91">
        <f t="shared" si="18"/>
        <v>87590</v>
      </c>
    </row>
    <row r="95" spans="1:12" x14ac:dyDescent="0.25">
      <c r="A95" s="9" t="s">
        <v>129</v>
      </c>
      <c r="B95" s="9">
        <v>0</v>
      </c>
      <c r="C95" s="9">
        <v>1</v>
      </c>
      <c r="D95" s="9">
        <v>2</v>
      </c>
      <c r="E95" s="9">
        <v>3</v>
      </c>
      <c r="F95" s="9">
        <v>4</v>
      </c>
      <c r="G95" s="9">
        <v>5</v>
      </c>
      <c r="H95" s="9">
        <v>6</v>
      </c>
      <c r="I95" s="9">
        <v>7</v>
      </c>
      <c r="J95" s="9">
        <v>8</v>
      </c>
      <c r="K95" s="9">
        <v>9</v>
      </c>
      <c r="L95" s="9">
        <v>10</v>
      </c>
    </row>
    <row r="96" spans="1:12" x14ac:dyDescent="0.25">
      <c r="A96" t="s">
        <v>7</v>
      </c>
      <c r="B96" s="33">
        <f>B85*'Game Assumptions'!$B54</f>
        <v>27265500</v>
      </c>
      <c r="C96" s="33">
        <f>C85*'Game Assumptions'!$B54</f>
        <v>10906200</v>
      </c>
      <c r="D96" s="33">
        <f>D85*'Game Assumptions'!$B54</f>
        <v>10906200</v>
      </c>
      <c r="E96" s="33">
        <f>E85*'Game Assumptions'!$B54</f>
        <v>10906200</v>
      </c>
      <c r="F96" s="33">
        <f>F85*'Game Assumptions'!$B54</f>
        <v>10906200</v>
      </c>
      <c r="G96" s="33">
        <f>G85*'Game Assumptions'!$B54</f>
        <v>5453100</v>
      </c>
      <c r="H96" s="33">
        <f>H85*'Game Assumptions'!$B54</f>
        <v>5453100</v>
      </c>
      <c r="I96" s="33">
        <f>I85*'Game Assumptions'!$B54</f>
        <v>5453100</v>
      </c>
      <c r="J96" s="33">
        <f>J85*'Game Assumptions'!$B54</f>
        <v>5453100</v>
      </c>
      <c r="K96" s="33">
        <f>K85*'Game Assumptions'!$B54</f>
        <v>5453100</v>
      </c>
      <c r="L96" s="33">
        <f>L85*'Game Assumptions'!$B54</f>
        <v>5453100</v>
      </c>
    </row>
    <row r="97" spans="1:12" x14ac:dyDescent="0.25">
      <c r="A97" t="s">
        <v>8</v>
      </c>
      <c r="B97" s="33">
        <f>B86*'Game Assumptions'!$B55</f>
        <v>13128624</v>
      </c>
      <c r="C97" s="33">
        <f>C86*'Game Assumptions'!$B55</f>
        <v>19993020</v>
      </c>
      <c r="D97" s="33">
        <f>D86*'Game Assumptions'!$B55</f>
        <v>24515700</v>
      </c>
      <c r="E97" s="33">
        <f>E86*'Game Assumptions'!$B55</f>
        <v>28592640</v>
      </c>
      <c r="F97" s="33">
        <f>F86*'Game Assumptions'!$B55</f>
        <v>28592640</v>
      </c>
      <c r="G97" s="33">
        <f>G86*'Game Assumptions'!$B55</f>
        <v>28592640</v>
      </c>
      <c r="H97" s="33">
        <f>H86*'Game Assumptions'!$B55</f>
        <v>28592640</v>
      </c>
      <c r="I97" s="33">
        <f>I86*'Game Assumptions'!$B55</f>
        <v>28592640</v>
      </c>
      <c r="J97" s="33">
        <f>J86*'Game Assumptions'!$B55</f>
        <v>28592640</v>
      </c>
      <c r="K97" s="33">
        <f>K86*'Game Assumptions'!$B55</f>
        <v>28592640</v>
      </c>
      <c r="L97" s="33">
        <f>L86*'Game Assumptions'!$B55</f>
        <v>28592640</v>
      </c>
    </row>
    <row r="98" spans="1:12" x14ac:dyDescent="0.25">
      <c r="A98" t="s">
        <v>13</v>
      </c>
      <c r="B98" s="33">
        <f>B87*'Game Assumptions'!$B56</f>
        <v>41193900</v>
      </c>
      <c r="C98" s="33">
        <f>C87*'Game Assumptions'!$B56</f>
        <v>41193900</v>
      </c>
      <c r="D98" s="33">
        <f>D87*'Game Assumptions'!$B56</f>
        <v>41193900</v>
      </c>
      <c r="E98" s="33">
        <f>E87*'Game Assumptions'!$B56</f>
        <v>0</v>
      </c>
      <c r="F98" s="33">
        <f>F87*'Game Assumptions'!$B56</f>
        <v>0</v>
      </c>
      <c r="G98" s="33">
        <f>G87*'Game Assumptions'!$B56</f>
        <v>0</v>
      </c>
      <c r="H98" s="33">
        <f>H87*'Game Assumptions'!$B56</f>
        <v>0</v>
      </c>
      <c r="I98" s="33">
        <f>I87*'Game Assumptions'!$B56</f>
        <v>0</v>
      </c>
      <c r="J98" s="33">
        <f>J87*'Game Assumptions'!$B56</f>
        <v>0</v>
      </c>
      <c r="K98" s="33">
        <f>K87*'Game Assumptions'!$B56</f>
        <v>0</v>
      </c>
      <c r="L98" s="33">
        <f>L87*'Game Assumptions'!$B56</f>
        <v>0</v>
      </c>
    </row>
    <row r="99" spans="1:12" x14ac:dyDescent="0.25">
      <c r="A99" t="s">
        <v>9</v>
      </c>
      <c r="B99" s="33">
        <f>B88*'Game Assumptions'!$B57</f>
        <v>0</v>
      </c>
      <c r="C99" s="33">
        <f>C88*'Game Assumptions'!$B57</f>
        <v>0</v>
      </c>
      <c r="D99" s="33">
        <f>D88*'Game Assumptions'!$B57</f>
        <v>0</v>
      </c>
      <c r="E99" s="33">
        <f>E88*'Game Assumptions'!$B57</f>
        <v>0</v>
      </c>
      <c r="F99" s="33">
        <f>F88*'Game Assumptions'!$B57</f>
        <v>0</v>
      </c>
      <c r="G99" s="33">
        <f>G88*'Game Assumptions'!$B57</f>
        <v>0</v>
      </c>
      <c r="H99" s="33">
        <f>H88*'Game Assumptions'!$B57</f>
        <v>0</v>
      </c>
      <c r="I99" s="33">
        <f>I88*'Game Assumptions'!$B57</f>
        <v>0</v>
      </c>
      <c r="J99" s="33">
        <f>J88*'Game Assumptions'!$B57</f>
        <v>0</v>
      </c>
      <c r="K99" s="33">
        <f>K88*'Game Assumptions'!$B57</f>
        <v>0</v>
      </c>
      <c r="L99" s="33">
        <f>L88*'Game Assumptions'!$B57</f>
        <v>0</v>
      </c>
    </row>
    <row r="100" spans="1:12" x14ac:dyDescent="0.25">
      <c r="A100" t="s">
        <v>10</v>
      </c>
      <c r="B100" s="33">
        <f>B89*'Game Assumptions'!$B58</f>
        <v>0</v>
      </c>
      <c r="C100" s="33">
        <f>C89*'Game Assumptions'!$B58</f>
        <v>0</v>
      </c>
      <c r="D100" s="33">
        <f>D89*'Game Assumptions'!$B58</f>
        <v>0</v>
      </c>
      <c r="E100" s="33">
        <f>E89*'Game Assumptions'!$B58</f>
        <v>0</v>
      </c>
      <c r="F100" s="33">
        <f>F89*'Game Assumptions'!$B58</f>
        <v>0</v>
      </c>
      <c r="G100" s="33">
        <f>G89*'Game Assumptions'!$B58</f>
        <v>0</v>
      </c>
      <c r="H100" s="33">
        <f>H89*'Game Assumptions'!$B58</f>
        <v>0</v>
      </c>
      <c r="I100" s="33">
        <f>I89*'Game Assumptions'!$B58</f>
        <v>0</v>
      </c>
      <c r="J100" s="33">
        <f>J89*'Game Assumptions'!$B58</f>
        <v>0</v>
      </c>
      <c r="K100" s="33">
        <f>K89*'Game Assumptions'!$B58</f>
        <v>0</v>
      </c>
      <c r="L100" s="33">
        <f>L89*'Game Assumptions'!$B58</f>
        <v>0</v>
      </c>
    </row>
    <row r="101" spans="1:12" x14ac:dyDescent="0.25">
      <c r="A101" t="s">
        <v>11</v>
      </c>
      <c r="B101" s="33">
        <f>B90*'Game Assumptions'!$B59</f>
        <v>0</v>
      </c>
      <c r="C101" s="33">
        <f>C90*'Game Assumptions'!$B59</f>
        <v>0</v>
      </c>
      <c r="D101" s="33">
        <f>D90*'Game Assumptions'!$B59</f>
        <v>0</v>
      </c>
      <c r="E101" s="33">
        <f>E90*'Game Assumptions'!$B59</f>
        <v>0</v>
      </c>
      <c r="F101" s="33">
        <f>F90*'Game Assumptions'!$B59</f>
        <v>0</v>
      </c>
      <c r="G101" s="33">
        <f>G90*'Game Assumptions'!$B59</f>
        <v>0</v>
      </c>
      <c r="H101" s="33">
        <f>H90*'Game Assumptions'!$B59</f>
        <v>0</v>
      </c>
      <c r="I101" s="33">
        <f>I90*'Game Assumptions'!$B59</f>
        <v>0</v>
      </c>
      <c r="J101" s="33">
        <f>J90*'Game Assumptions'!$B59</f>
        <v>0</v>
      </c>
      <c r="K101" s="33">
        <f>K90*'Game Assumptions'!$B59</f>
        <v>0</v>
      </c>
      <c r="L101" s="33">
        <f>L90*'Game Assumptions'!$B59</f>
        <v>0</v>
      </c>
    </row>
    <row r="102" spans="1:12" x14ac:dyDescent="0.25">
      <c r="A102" t="s">
        <v>268</v>
      </c>
      <c r="B102" s="33">
        <f>B91*'Game Assumptions'!$B60</f>
        <v>0</v>
      </c>
      <c r="C102" s="33">
        <f>C91*'Game Assumptions'!$B60</f>
        <v>0</v>
      </c>
      <c r="D102" s="33">
        <f>D91*'Game Assumptions'!$B60</f>
        <v>0</v>
      </c>
      <c r="E102" s="33">
        <f>E91*'Game Assumptions'!$B60</f>
        <v>0</v>
      </c>
      <c r="F102" s="33">
        <f>F91*'Game Assumptions'!$B60</f>
        <v>0</v>
      </c>
      <c r="G102" s="33">
        <f>G91*'Game Assumptions'!$B60</f>
        <v>0</v>
      </c>
      <c r="H102" s="33">
        <f>H91*'Game Assumptions'!$B60</f>
        <v>0</v>
      </c>
      <c r="I102" s="33">
        <f>I91*'Game Assumptions'!$B60</f>
        <v>0</v>
      </c>
      <c r="J102" s="33">
        <f>J91*'Game Assumptions'!$B60</f>
        <v>0</v>
      </c>
      <c r="K102" s="33">
        <f>K91*'Game Assumptions'!$B60</f>
        <v>0</v>
      </c>
      <c r="L102" s="33">
        <f>L91*'Game Assumptions'!$B60</f>
        <v>0</v>
      </c>
    </row>
    <row r="104" spans="1:12" ht="18.75" x14ac:dyDescent="0.3">
      <c r="A104" s="20" t="s">
        <v>131</v>
      </c>
      <c r="B104" s="20"/>
      <c r="C104" s="20"/>
      <c r="D104" s="20"/>
      <c r="E104" s="20"/>
      <c r="F104" s="20"/>
      <c r="G104" s="20"/>
      <c r="H104" s="20"/>
      <c r="I104" s="20"/>
      <c r="J104" s="20"/>
      <c r="K104" s="20"/>
      <c r="L104" s="20"/>
    </row>
    <row r="105" spans="1:12" x14ac:dyDescent="0.25">
      <c r="A105" s="9" t="s">
        <v>89</v>
      </c>
      <c r="B105" s="9">
        <v>0</v>
      </c>
      <c r="C105" s="9">
        <v>1</v>
      </c>
      <c r="D105" s="9">
        <v>2</v>
      </c>
      <c r="E105" s="9">
        <v>3</v>
      </c>
      <c r="F105" s="9">
        <v>4</v>
      </c>
      <c r="G105" s="9">
        <v>5</v>
      </c>
      <c r="H105" s="9">
        <v>6</v>
      </c>
      <c r="I105" s="9">
        <v>7</v>
      </c>
      <c r="J105" s="9">
        <v>8</v>
      </c>
      <c r="K105" s="9">
        <v>9</v>
      </c>
      <c r="L105" s="9">
        <v>10</v>
      </c>
    </row>
    <row r="106" spans="1:12" x14ac:dyDescent="0.25">
      <c r="A106" t="s">
        <v>126</v>
      </c>
      <c r="B106" s="88">
        <f>'Resource Mix and Demand'!B61</f>
        <v>8890500</v>
      </c>
      <c r="C106" s="88">
        <f>'Resource Mix and Demand'!C61</f>
        <v>8323170</v>
      </c>
      <c r="D106" s="88">
        <f>'Resource Mix and Demand'!D61</f>
        <v>8988270</v>
      </c>
      <c r="E106" s="88">
        <f>'Resource Mix and Demand'!E61</f>
        <v>8664800</v>
      </c>
      <c r="F106" s="88">
        <f>'Resource Mix and Demand'!F61</f>
        <v>8504760</v>
      </c>
      <c r="G106" s="88">
        <f>'Resource Mix and Demand'!G61</f>
        <v>8316150</v>
      </c>
      <c r="H106" s="88">
        <f>'Resource Mix and Demand'!H61</f>
        <v>7653970</v>
      </c>
      <c r="I106" s="88">
        <f>'Resource Mix and Demand'!I61</f>
        <v>8045220</v>
      </c>
      <c r="J106" s="88">
        <f>'Resource Mix and Demand'!J61</f>
        <v>7701900</v>
      </c>
      <c r="K106" s="88">
        <f>'Resource Mix and Demand'!K61</f>
        <v>7292010</v>
      </c>
      <c r="L106" s="88">
        <f>'Resource Mix and Demand'!L61</f>
        <v>7441550</v>
      </c>
    </row>
    <row r="108" spans="1:12" x14ac:dyDescent="0.25">
      <c r="A108" s="9" t="s">
        <v>125</v>
      </c>
      <c r="B108" s="9">
        <v>0</v>
      </c>
      <c r="C108" s="9">
        <v>1</v>
      </c>
      <c r="D108" s="9">
        <v>2</v>
      </c>
      <c r="E108" s="9">
        <v>3</v>
      </c>
      <c r="F108" s="9">
        <v>4</v>
      </c>
      <c r="G108" s="9">
        <v>5</v>
      </c>
      <c r="H108" s="9">
        <v>6</v>
      </c>
      <c r="I108" s="9">
        <v>7</v>
      </c>
      <c r="J108" s="9">
        <v>8</v>
      </c>
      <c r="K108" s="9">
        <v>9</v>
      </c>
      <c r="L108" s="9">
        <v>10</v>
      </c>
    </row>
    <row r="109" spans="1:12" x14ac:dyDescent="0.25">
      <c r="A109">
        <v>1</v>
      </c>
      <c r="B109" s="16">
        <f>MAX(IF(B62&lt;B$106,B62-IF(B61&lt;=10,0,B61),B$106-B61),0)</f>
        <v>87600</v>
      </c>
      <c r="C109" s="16">
        <f t="shared" ref="C109:L109" si="19">MAX(IF(C62&lt;C$106,C62-IF(C61&lt;=10,0,C61),C$106-C61),0)</f>
        <v>87600</v>
      </c>
      <c r="D109" s="16">
        <f t="shared" si="19"/>
        <v>87600</v>
      </c>
      <c r="E109" s="16">
        <f t="shared" si="19"/>
        <v>87600</v>
      </c>
      <c r="F109" s="16">
        <f t="shared" si="19"/>
        <v>87600</v>
      </c>
      <c r="G109" s="16">
        <f t="shared" si="19"/>
        <v>87600</v>
      </c>
      <c r="H109" s="16">
        <f t="shared" si="19"/>
        <v>87600</v>
      </c>
      <c r="I109" s="16">
        <f t="shared" si="19"/>
        <v>87600</v>
      </c>
      <c r="J109" s="16">
        <f t="shared" si="19"/>
        <v>87600</v>
      </c>
      <c r="K109" s="16">
        <f t="shared" si="19"/>
        <v>87600</v>
      </c>
      <c r="L109" s="16">
        <f t="shared" si="19"/>
        <v>87600</v>
      </c>
    </row>
    <row r="110" spans="1:12" x14ac:dyDescent="0.25">
      <c r="A110">
        <v>2</v>
      </c>
      <c r="B110" s="16">
        <f t="shared" ref="B110:L115" si="20">MAX(IF(B63&lt;B$106,B63-IF(B62&lt;=10,0,B62),B$106-B62),0)</f>
        <v>65700</v>
      </c>
      <c r="C110" s="16">
        <f t="shared" si="20"/>
        <v>65700</v>
      </c>
      <c r="D110" s="16">
        <f t="shared" si="20"/>
        <v>65700</v>
      </c>
      <c r="E110" s="16">
        <f t="shared" si="20"/>
        <v>65700</v>
      </c>
      <c r="F110" s="16">
        <f t="shared" si="20"/>
        <v>65700</v>
      </c>
      <c r="G110" s="16">
        <f t="shared" si="20"/>
        <v>65700</v>
      </c>
      <c r="H110" s="16">
        <f t="shared" si="20"/>
        <v>65700</v>
      </c>
      <c r="I110" s="16">
        <f t="shared" si="20"/>
        <v>65700</v>
      </c>
      <c r="J110" s="16">
        <f t="shared" si="20"/>
        <v>65700</v>
      </c>
      <c r="K110" s="16">
        <f t="shared" si="20"/>
        <v>65700</v>
      </c>
      <c r="L110" s="16">
        <f t="shared" si="20"/>
        <v>65700</v>
      </c>
    </row>
    <row r="111" spans="1:12" x14ac:dyDescent="0.25">
      <c r="A111">
        <v>3</v>
      </c>
      <c r="B111" s="16">
        <f t="shared" si="20"/>
        <v>78840</v>
      </c>
      <c r="C111" s="16">
        <f t="shared" si="20"/>
        <v>78840</v>
      </c>
      <c r="D111" s="16">
        <f t="shared" si="20"/>
        <v>78840</v>
      </c>
      <c r="E111" s="16">
        <f t="shared" si="20"/>
        <v>78840</v>
      </c>
      <c r="F111" s="16">
        <f t="shared" si="20"/>
        <v>78840</v>
      </c>
      <c r="G111" s="16">
        <f t="shared" si="20"/>
        <v>78840</v>
      </c>
      <c r="H111" s="16">
        <f t="shared" si="20"/>
        <v>78840</v>
      </c>
      <c r="I111" s="16">
        <f t="shared" si="20"/>
        <v>78840</v>
      </c>
      <c r="J111" s="16">
        <f t="shared" si="20"/>
        <v>78840</v>
      </c>
      <c r="K111" s="16">
        <f t="shared" si="20"/>
        <v>78840</v>
      </c>
      <c r="L111" s="16">
        <f t="shared" si="20"/>
        <v>78840</v>
      </c>
    </row>
    <row r="112" spans="1:12" x14ac:dyDescent="0.25">
      <c r="A112">
        <v>4</v>
      </c>
      <c r="B112" s="16">
        <f t="shared" si="20"/>
        <v>157680</v>
      </c>
      <c r="C112" s="16">
        <f t="shared" si="20"/>
        <v>157680</v>
      </c>
      <c r="D112" s="16">
        <f t="shared" si="20"/>
        <v>157680</v>
      </c>
      <c r="E112" s="16">
        <f t="shared" si="20"/>
        <v>157680</v>
      </c>
      <c r="F112" s="16">
        <f t="shared" si="20"/>
        <v>157680</v>
      </c>
      <c r="G112" s="16">
        <f t="shared" si="20"/>
        <v>157680</v>
      </c>
      <c r="H112" s="16">
        <f t="shared" si="20"/>
        <v>157680</v>
      </c>
      <c r="I112" s="16">
        <f t="shared" si="20"/>
        <v>157680</v>
      </c>
      <c r="J112" s="16">
        <f t="shared" si="20"/>
        <v>157680</v>
      </c>
      <c r="K112" s="16">
        <f t="shared" si="20"/>
        <v>157680</v>
      </c>
      <c r="L112" s="16">
        <f t="shared" si="20"/>
        <v>157680</v>
      </c>
    </row>
    <row r="113" spans="1:12" x14ac:dyDescent="0.25">
      <c r="A113">
        <v>5</v>
      </c>
      <c r="B113" s="16">
        <f t="shared" si="20"/>
        <v>3942000</v>
      </c>
      <c r="C113" s="16">
        <f t="shared" si="20"/>
        <v>3942000</v>
      </c>
      <c r="D113" s="16">
        <f t="shared" si="20"/>
        <v>3942000</v>
      </c>
      <c r="E113" s="16">
        <f t="shared" si="20"/>
        <v>0</v>
      </c>
      <c r="F113" s="16">
        <f t="shared" si="20"/>
        <v>0</v>
      </c>
      <c r="G113" s="16">
        <f t="shared" si="20"/>
        <v>0</v>
      </c>
      <c r="H113" s="16">
        <f t="shared" si="20"/>
        <v>0</v>
      </c>
      <c r="I113" s="16">
        <f t="shared" si="20"/>
        <v>0</v>
      </c>
      <c r="J113" s="16">
        <f t="shared" si="20"/>
        <v>0</v>
      </c>
      <c r="K113" s="16">
        <f t="shared" si="20"/>
        <v>0</v>
      </c>
      <c r="L113" s="16">
        <f t="shared" si="20"/>
        <v>0</v>
      </c>
    </row>
    <row r="114" spans="1:12" x14ac:dyDescent="0.25">
      <c r="A114">
        <v>6</v>
      </c>
      <c r="B114" s="16">
        <f t="shared" si="20"/>
        <v>2628000</v>
      </c>
      <c r="C114" s="16">
        <f t="shared" si="20"/>
        <v>1051200</v>
      </c>
      <c r="D114" s="16">
        <f t="shared" si="20"/>
        <v>1051200</v>
      </c>
      <c r="E114" s="16">
        <f t="shared" si="20"/>
        <v>1051200</v>
      </c>
      <c r="F114" s="16">
        <f t="shared" si="20"/>
        <v>1051200</v>
      </c>
      <c r="G114" s="16">
        <f t="shared" si="20"/>
        <v>525600</v>
      </c>
      <c r="H114" s="16">
        <f t="shared" si="20"/>
        <v>525600</v>
      </c>
      <c r="I114" s="16">
        <f t="shared" si="20"/>
        <v>525600</v>
      </c>
      <c r="J114" s="16">
        <f t="shared" si="20"/>
        <v>525600</v>
      </c>
      <c r="K114" s="16">
        <f t="shared" si="20"/>
        <v>525600</v>
      </c>
      <c r="L114" s="16">
        <f t="shared" si="20"/>
        <v>525600</v>
      </c>
    </row>
    <row r="115" spans="1:12" x14ac:dyDescent="0.25">
      <c r="A115">
        <v>7</v>
      </c>
      <c r="B115" s="16">
        <f t="shared" si="20"/>
        <v>1930680</v>
      </c>
      <c r="C115" s="16">
        <f t="shared" si="20"/>
        <v>2940150</v>
      </c>
      <c r="D115" s="16">
        <f t="shared" si="20"/>
        <v>3605250</v>
      </c>
      <c r="E115" s="16">
        <f t="shared" si="20"/>
        <v>4204800</v>
      </c>
      <c r="F115" s="16">
        <f t="shared" si="20"/>
        <v>4204800</v>
      </c>
      <c r="G115" s="16">
        <f t="shared" si="20"/>
        <v>4204800</v>
      </c>
      <c r="H115" s="16">
        <f t="shared" si="20"/>
        <v>4204800</v>
      </c>
      <c r="I115" s="16">
        <f t="shared" si="20"/>
        <v>4204800</v>
      </c>
      <c r="J115" s="16">
        <f t="shared" si="20"/>
        <v>4204800</v>
      </c>
      <c r="K115" s="16">
        <f t="shared" si="20"/>
        <v>4204800</v>
      </c>
      <c r="L115" s="16">
        <f t="shared" si="20"/>
        <v>4204800</v>
      </c>
    </row>
    <row r="117" spans="1:12" x14ac:dyDescent="0.25">
      <c r="A117" s="9" t="s">
        <v>132</v>
      </c>
      <c r="B117" s="9">
        <v>0</v>
      </c>
      <c r="C117" s="9">
        <v>1</v>
      </c>
      <c r="D117" s="9">
        <v>2</v>
      </c>
      <c r="E117" s="9">
        <v>3</v>
      </c>
      <c r="F117" s="9">
        <v>4</v>
      </c>
      <c r="G117" s="9">
        <v>5</v>
      </c>
      <c r="H117" s="9">
        <v>6</v>
      </c>
      <c r="I117" s="9">
        <v>7</v>
      </c>
      <c r="J117" s="9">
        <v>8</v>
      </c>
      <c r="K117" s="9">
        <v>9</v>
      </c>
      <c r="L117" s="9">
        <v>10</v>
      </c>
    </row>
    <row r="118" spans="1:12" x14ac:dyDescent="0.25">
      <c r="A118" t="s">
        <v>7</v>
      </c>
      <c r="B118" s="33">
        <f>INDEX(B$109:B$115,MATCH($A118,B$53:B$59,0),1)</f>
        <v>2628000</v>
      </c>
      <c r="C118" s="33">
        <f t="shared" ref="C118:L118" si="21">INDEX(C$109:C$115,MATCH($A118,C$53:C$59,0),1)</f>
        <v>1051200</v>
      </c>
      <c r="D118" s="33">
        <f t="shared" si="21"/>
        <v>1051200</v>
      </c>
      <c r="E118" s="33">
        <f t="shared" si="21"/>
        <v>1051200</v>
      </c>
      <c r="F118" s="33">
        <f t="shared" si="21"/>
        <v>1051200</v>
      </c>
      <c r="G118" s="33">
        <f t="shared" si="21"/>
        <v>525600</v>
      </c>
      <c r="H118" s="33">
        <f t="shared" si="21"/>
        <v>525600</v>
      </c>
      <c r="I118" s="33">
        <f t="shared" si="21"/>
        <v>525600</v>
      </c>
      <c r="J118" s="33">
        <f t="shared" si="21"/>
        <v>525600</v>
      </c>
      <c r="K118" s="33">
        <f t="shared" si="21"/>
        <v>525600</v>
      </c>
      <c r="L118" s="33">
        <f t="shared" si="21"/>
        <v>525600</v>
      </c>
    </row>
    <row r="119" spans="1:12" x14ac:dyDescent="0.25">
      <c r="A119" t="s">
        <v>8</v>
      </c>
      <c r="B119" s="33">
        <f t="shared" ref="B119:L124" si="22">INDEX(B$109:B$115,MATCH($A119,B$53:B$59,0),1)</f>
        <v>1930680</v>
      </c>
      <c r="C119" s="33">
        <f t="shared" si="22"/>
        <v>2940150</v>
      </c>
      <c r="D119" s="33">
        <f t="shared" si="22"/>
        <v>3605250</v>
      </c>
      <c r="E119" s="33">
        <f t="shared" si="22"/>
        <v>4204800</v>
      </c>
      <c r="F119" s="33">
        <f t="shared" si="22"/>
        <v>4204800</v>
      </c>
      <c r="G119" s="33">
        <f t="shared" si="22"/>
        <v>4204800</v>
      </c>
      <c r="H119" s="33">
        <f t="shared" si="22"/>
        <v>4204800</v>
      </c>
      <c r="I119" s="33">
        <f t="shared" si="22"/>
        <v>4204800</v>
      </c>
      <c r="J119" s="33">
        <f t="shared" si="22"/>
        <v>4204800</v>
      </c>
      <c r="K119" s="33">
        <f t="shared" si="22"/>
        <v>4204800</v>
      </c>
      <c r="L119" s="33">
        <f t="shared" si="22"/>
        <v>4204800</v>
      </c>
    </row>
    <row r="120" spans="1:12" x14ac:dyDescent="0.25">
      <c r="A120" t="s">
        <v>13</v>
      </c>
      <c r="B120" s="33">
        <f t="shared" si="22"/>
        <v>3942000</v>
      </c>
      <c r="C120" s="33">
        <f t="shared" si="22"/>
        <v>3942000</v>
      </c>
      <c r="D120" s="33">
        <f t="shared" si="22"/>
        <v>3942000</v>
      </c>
      <c r="E120" s="33">
        <f t="shared" si="22"/>
        <v>0</v>
      </c>
      <c r="F120" s="33">
        <f t="shared" si="22"/>
        <v>0</v>
      </c>
      <c r="G120" s="33">
        <f t="shared" si="22"/>
        <v>0</v>
      </c>
      <c r="H120" s="33">
        <f t="shared" si="22"/>
        <v>0</v>
      </c>
      <c r="I120" s="33">
        <f t="shared" si="22"/>
        <v>0</v>
      </c>
      <c r="J120" s="33">
        <f t="shared" si="22"/>
        <v>0</v>
      </c>
      <c r="K120" s="33">
        <f t="shared" si="22"/>
        <v>0</v>
      </c>
      <c r="L120" s="33">
        <f t="shared" si="22"/>
        <v>0</v>
      </c>
    </row>
    <row r="121" spans="1:12" x14ac:dyDescent="0.25">
      <c r="A121" t="s">
        <v>9</v>
      </c>
      <c r="B121" s="33">
        <f t="shared" si="22"/>
        <v>65700</v>
      </c>
      <c r="C121" s="33">
        <f t="shared" si="22"/>
        <v>65700</v>
      </c>
      <c r="D121" s="33">
        <f t="shared" si="22"/>
        <v>65700</v>
      </c>
      <c r="E121" s="33">
        <f t="shared" si="22"/>
        <v>65700</v>
      </c>
      <c r="F121" s="33">
        <f t="shared" si="22"/>
        <v>65700</v>
      </c>
      <c r="G121" s="33">
        <f t="shared" si="22"/>
        <v>65700</v>
      </c>
      <c r="H121" s="33">
        <f t="shared" si="22"/>
        <v>65700</v>
      </c>
      <c r="I121" s="33">
        <f t="shared" si="22"/>
        <v>65700</v>
      </c>
      <c r="J121" s="33">
        <f t="shared" si="22"/>
        <v>65700</v>
      </c>
      <c r="K121" s="33">
        <f t="shared" si="22"/>
        <v>65700</v>
      </c>
      <c r="L121" s="33">
        <f t="shared" si="22"/>
        <v>65700</v>
      </c>
    </row>
    <row r="122" spans="1:12" x14ac:dyDescent="0.25">
      <c r="A122" t="s">
        <v>10</v>
      </c>
      <c r="B122" s="33">
        <f t="shared" si="22"/>
        <v>78840</v>
      </c>
      <c r="C122" s="33">
        <f t="shared" si="22"/>
        <v>78840</v>
      </c>
      <c r="D122" s="33">
        <f t="shared" si="22"/>
        <v>78840</v>
      </c>
      <c r="E122" s="33">
        <f t="shared" si="22"/>
        <v>78840</v>
      </c>
      <c r="F122" s="33">
        <f t="shared" si="22"/>
        <v>78840</v>
      </c>
      <c r="G122" s="33">
        <f t="shared" si="22"/>
        <v>78840</v>
      </c>
      <c r="H122" s="33">
        <f t="shared" si="22"/>
        <v>78840</v>
      </c>
      <c r="I122" s="33">
        <f t="shared" si="22"/>
        <v>78840</v>
      </c>
      <c r="J122" s="33">
        <f t="shared" si="22"/>
        <v>78840</v>
      </c>
      <c r="K122" s="33">
        <f t="shared" si="22"/>
        <v>78840</v>
      </c>
      <c r="L122" s="33">
        <f t="shared" si="22"/>
        <v>78840</v>
      </c>
    </row>
    <row r="123" spans="1:12" x14ac:dyDescent="0.25">
      <c r="A123" t="s">
        <v>11</v>
      </c>
      <c r="B123" s="33">
        <f t="shared" si="22"/>
        <v>157680</v>
      </c>
      <c r="C123" s="33">
        <f t="shared" si="22"/>
        <v>157680</v>
      </c>
      <c r="D123" s="33">
        <f t="shared" si="22"/>
        <v>157680</v>
      </c>
      <c r="E123" s="33">
        <f t="shared" si="22"/>
        <v>157680</v>
      </c>
      <c r="F123" s="33">
        <f t="shared" si="22"/>
        <v>157680</v>
      </c>
      <c r="G123" s="33">
        <f t="shared" si="22"/>
        <v>157680</v>
      </c>
      <c r="H123" s="33">
        <f t="shared" si="22"/>
        <v>157680</v>
      </c>
      <c r="I123" s="33">
        <f t="shared" si="22"/>
        <v>157680</v>
      </c>
      <c r="J123" s="33">
        <f t="shared" si="22"/>
        <v>157680</v>
      </c>
      <c r="K123" s="33">
        <f t="shared" si="22"/>
        <v>157680</v>
      </c>
      <c r="L123" s="33">
        <f t="shared" si="22"/>
        <v>157680</v>
      </c>
    </row>
    <row r="124" spans="1:12" x14ac:dyDescent="0.25">
      <c r="A124" t="s">
        <v>268</v>
      </c>
      <c r="B124" s="33">
        <f t="shared" si="22"/>
        <v>87600</v>
      </c>
      <c r="C124" s="33">
        <f t="shared" si="22"/>
        <v>87600</v>
      </c>
      <c r="D124" s="33">
        <f t="shared" si="22"/>
        <v>87600</v>
      </c>
      <c r="E124" s="33">
        <f t="shared" si="22"/>
        <v>87600</v>
      </c>
      <c r="F124" s="33">
        <f t="shared" si="22"/>
        <v>87600</v>
      </c>
      <c r="G124" s="33">
        <f t="shared" si="22"/>
        <v>87600</v>
      </c>
      <c r="H124" s="33">
        <f t="shared" si="22"/>
        <v>87600</v>
      </c>
      <c r="I124" s="33">
        <f t="shared" si="22"/>
        <v>87600</v>
      </c>
      <c r="J124" s="33">
        <f t="shared" si="22"/>
        <v>87600</v>
      </c>
      <c r="K124" s="33">
        <f t="shared" si="22"/>
        <v>87600</v>
      </c>
      <c r="L124" s="33">
        <f t="shared" si="22"/>
        <v>87600</v>
      </c>
    </row>
    <row r="125" spans="1:12" x14ac:dyDescent="0.25">
      <c r="A125" s="62"/>
      <c r="B125" s="7"/>
      <c r="C125" s="7"/>
      <c r="D125" s="7"/>
      <c r="E125" s="7"/>
      <c r="F125" s="7"/>
      <c r="G125" s="7"/>
      <c r="H125" s="7"/>
      <c r="I125" s="7"/>
      <c r="J125" s="7"/>
      <c r="K125" s="7"/>
      <c r="L125" s="7"/>
    </row>
    <row r="126" spans="1:12" x14ac:dyDescent="0.25">
      <c r="A126" s="9" t="s">
        <v>129</v>
      </c>
      <c r="B126" s="9">
        <v>0</v>
      </c>
      <c r="C126" s="9">
        <v>1</v>
      </c>
      <c r="D126" s="9">
        <v>2</v>
      </c>
      <c r="E126" s="9">
        <v>3</v>
      </c>
      <c r="F126" s="9">
        <v>4</v>
      </c>
      <c r="G126" s="9">
        <v>5</v>
      </c>
      <c r="H126" s="9">
        <v>6</v>
      </c>
      <c r="I126" s="9">
        <v>7</v>
      </c>
      <c r="J126" s="9">
        <v>8</v>
      </c>
      <c r="K126" s="9">
        <v>9</v>
      </c>
      <c r="L126" s="9">
        <v>10</v>
      </c>
    </row>
    <row r="127" spans="1:12" x14ac:dyDescent="0.25">
      <c r="A127" t="s">
        <v>7</v>
      </c>
      <c r="B127" s="33">
        <f>B118*'Game Assumptions'!$B54</f>
        <v>27265500</v>
      </c>
      <c r="C127" s="33">
        <f>C118*'Game Assumptions'!$B54</f>
        <v>10906200</v>
      </c>
      <c r="D127" s="33">
        <f>D118*'Game Assumptions'!$B54</f>
        <v>10906200</v>
      </c>
      <c r="E127" s="33">
        <f>E118*'Game Assumptions'!$B54</f>
        <v>10906200</v>
      </c>
      <c r="F127" s="33">
        <f>F118*'Game Assumptions'!$B54</f>
        <v>10906200</v>
      </c>
      <c r="G127" s="33">
        <f>G118*'Game Assumptions'!$B54</f>
        <v>5453100</v>
      </c>
      <c r="H127" s="33">
        <f>H118*'Game Assumptions'!$B54</f>
        <v>5453100</v>
      </c>
      <c r="I127" s="33">
        <f>I118*'Game Assumptions'!$B54</f>
        <v>5453100</v>
      </c>
      <c r="J127" s="33">
        <f>J118*'Game Assumptions'!$B54</f>
        <v>5453100</v>
      </c>
      <c r="K127" s="33">
        <f>K118*'Game Assumptions'!$B54</f>
        <v>5453100</v>
      </c>
      <c r="L127" s="33">
        <f>L118*'Game Assumptions'!$B54</f>
        <v>5453100</v>
      </c>
    </row>
    <row r="128" spans="1:12" x14ac:dyDescent="0.25">
      <c r="A128" t="s">
        <v>8</v>
      </c>
      <c r="B128" s="33">
        <f>B119*'Game Assumptions'!$B55</f>
        <v>13128624</v>
      </c>
      <c r="C128" s="33">
        <f>C119*'Game Assumptions'!$B55</f>
        <v>19993020</v>
      </c>
      <c r="D128" s="33">
        <f>D119*'Game Assumptions'!$B55</f>
        <v>24515700</v>
      </c>
      <c r="E128" s="33">
        <f>E119*'Game Assumptions'!$B55</f>
        <v>28592640</v>
      </c>
      <c r="F128" s="33">
        <f>F119*'Game Assumptions'!$B55</f>
        <v>28592640</v>
      </c>
      <c r="G128" s="33">
        <f>G119*'Game Assumptions'!$B55</f>
        <v>28592640</v>
      </c>
      <c r="H128" s="33">
        <f>H119*'Game Assumptions'!$B55</f>
        <v>28592640</v>
      </c>
      <c r="I128" s="33">
        <f>I119*'Game Assumptions'!$B55</f>
        <v>28592640</v>
      </c>
      <c r="J128" s="33">
        <f>J119*'Game Assumptions'!$B55</f>
        <v>28592640</v>
      </c>
      <c r="K128" s="33">
        <f>K119*'Game Assumptions'!$B55</f>
        <v>28592640</v>
      </c>
      <c r="L128" s="33">
        <f>L119*'Game Assumptions'!$B55</f>
        <v>28592640</v>
      </c>
    </row>
    <row r="129" spans="1:12" x14ac:dyDescent="0.25">
      <c r="A129" t="s">
        <v>13</v>
      </c>
      <c r="B129" s="33">
        <f>B120*'Game Assumptions'!$B56</f>
        <v>41193900</v>
      </c>
      <c r="C129" s="33">
        <f>C120*'Game Assumptions'!$B56</f>
        <v>41193900</v>
      </c>
      <c r="D129" s="33">
        <f>D120*'Game Assumptions'!$B56</f>
        <v>41193900</v>
      </c>
      <c r="E129" s="33">
        <f>E120*'Game Assumptions'!$B56</f>
        <v>0</v>
      </c>
      <c r="F129" s="33">
        <f>F120*'Game Assumptions'!$B56</f>
        <v>0</v>
      </c>
      <c r="G129" s="33">
        <f>G120*'Game Assumptions'!$B56</f>
        <v>0</v>
      </c>
      <c r="H129" s="33">
        <f>H120*'Game Assumptions'!$B56</f>
        <v>0</v>
      </c>
      <c r="I129" s="33">
        <f>I120*'Game Assumptions'!$B56</f>
        <v>0</v>
      </c>
      <c r="J129" s="33">
        <f>J120*'Game Assumptions'!$B56</f>
        <v>0</v>
      </c>
      <c r="K129" s="33">
        <f>K120*'Game Assumptions'!$B56</f>
        <v>0</v>
      </c>
      <c r="L129" s="33">
        <f>L120*'Game Assumptions'!$B56</f>
        <v>0</v>
      </c>
    </row>
    <row r="130" spans="1:12" x14ac:dyDescent="0.25">
      <c r="A130" t="s">
        <v>9</v>
      </c>
      <c r="B130" s="33">
        <f>B121*'Game Assumptions'!$B57</f>
        <v>0</v>
      </c>
      <c r="C130" s="33">
        <f>C121*'Game Assumptions'!$B57</f>
        <v>0</v>
      </c>
      <c r="D130" s="33">
        <f>D121*'Game Assumptions'!$B57</f>
        <v>0</v>
      </c>
      <c r="E130" s="33">
        <f>E121*'Game Assumptions'!$B57</f>
        <v>0</v>
      </c>
      <c r="F130" s="33">
        <f>F121*'Game Assumptions'!$B57</f>
        <v>0</v>
      </c>
      <c r="G130" s="33">
        <f>G121*'Game Assumptions'!$B57</f>
        <v>0</v>
      </c>
      <c r="H130" s="33">
        <f>H121*'Game Assumptions'!$B57</f>
        <v>0</v>
      </c>
      <c r="I130" s="33">
        <f>I121*'Game Assumptions'!$B57</f>
        <v>0</v>
      </c>
      <c r="J130" s="33">
        <f>J121*'Game Assumptions'!$B57</f>
        <v>0</v>
      </c>
      <c r="K130" s="33">
        <f>K121*'Game Assumptions'!$B57</f>
        <v>0</v>
      </c>
      <c r="L130" s="33">
        <f>L121*'Game Assumptions'!$B57</f>
        <v>0</v>
      </c>
    </row>
    <row r="131" spans="1:12" x14ac:dyDescent="0.25">
      <c r="A131" t="s">
        <v>10</v>
      </c>
      <c r="B131" s="33">
        <f>B122*'Game Assumptions'!$B58</f>
        <v>0</v>
      </c>
      <c r="C131" s="33">
        <f>C122*'Game Assumptions'!$B58</f>
        <v>0</v>
      </c>
      <c r="D131" s="33">
        <f>D122*'Game Assumptions'!$B58</f>
        <v>0</v>
      </c>
      <c r="E131" s="33">
        <f>E122*'Game Assumptions'!$B58</f>
        <v>0</v>
      </c>
      <c r="F131" s="33">
        <f>F122*'Game Assumptions'!$B58</f>
        <v>0</v>
      </c>
      <c r="G131" s="33">
        <f>G122*'Game Assumptions'!$B58</f>
        <v>0</v>
      </c>
      <c r="H131" s="33">
        <f>H122*'Game Assumptions'!$B58</f>
        <v>0</v>
      </c>
      <c r="I131" s="33">
        <f>I122*'Game Assumptions'!$B58</f>
        <v>0</v>
      </c>
      <c r="J131" s="33">
        <f>J122*'Game Assumptions'!$B58</f>
        <v>0</v>
      </c>
      <c r="K131" s="33">
        <f>K122*'Game Assumptions'!$B58</f>
        <v>0</v>
      </c>
      <c r="L131" s="33">
        <f>L122*'Game Assumptions'!$B58</f>
        <v>0</v>
      </c>
    </row>
    <row r="132" spans="1:12" x14ac:dyDescent="0.25">
      <c r="A132" t="s">
        <v>11</v>
      </c>
      <c r="B132" s="33">
        <f>B123*'Game Assumptions'!$B59</f>
        <v>0</v>
      </c>
      <c r="C132" s="33">
        <f>C123*'Game Assumptions'!$B59</f>
        <v>0</v>
      </c>
      <c r="D132" s="33">
        <f>D123*'Game Assumptions'!$B59</f>
        <v>0</v>
      </c>
      <c r="E132" s="33">
        <f>E123*'Game Assumptions'!$B59</f>
        <v>0</v>
      </c>
      <c r="F132" s="33">
        <f>F123*'Game Assumptions'!$B59</f>
        <v>0</v>
      </c>
      <c r="G132" s="33">
        <f>G123*'Game Assumptions'!$B59</f>
        <v>0</v>
      </c>
      <c r="H132" s="33">
        <f>H123*'Game Assumptions'!$B59</f>
        <v>0</v>
      </c>
      <c r="I132" s="33">
        <f>I123*'Game Assumptions'!$B59</f>
        <v>0</v>
      </c>
      <c r="J132" s="33">
        <f>J123*'Game Assumptions'!$B59</f>
        <v>0</v>
      </c>
      <c r="K132" s="33">
        <f>K123*'Game Assumptions'!$B59</f>
        <v>0</v>
      </c>
      <c r="L132" s="33">
        <f>L123*'Game Assumptions'!$B59</f>
        <v>0</v>
      </c>
    </row>
    <row r="133" spans="1:12" x14ac:dyDescent="0.25">
      <c r="A133" t="s">
        <v>268</v>
      </c>
      <c r="B133" s="33">
        <f>B124*'Game Assumptions'!$B60</f>
        <v>0</v>
      </c>
      <c r="C133" s="33">
        <f>C124*'Game Assumptions'!$B60</f>
        <v>0</v>
      </c>
      <c r="D133" s="33">
        <f>D124*'Game Assumptions'!$B60</f>
        <v>0</v>
      </c>
      <c r="E133" s="33">
        <f>E124*'Game Assumptions'!$B60</f>
        <v>0</v>
      </c>
      <c r="F133" s="33">
        <f>F124*'Game Assumptions'!$B60</f>
        <v>0</v>
      </c>
      <c r="G133" s="33">
        <f>G124*'Game Assumptions'!$B60</f>
        <v>0</v>
      </c>
      <c r="H133" s="33">
        <f>H124*'Game Assumptions'!$B60</f>
        <v>0</v>
      </c>
      <c r="I133" s="33">
        <f>I124*'Game Assumptions'!$B60</f>
        <v>0</v>
      </c>
      <c r="J133" s="33">
        <f>J124*'Game Assumptions'!$B60</f>
        <v>0</v>
      </c>
      <c r="K133" s="33">
        <f>K124*'Game Assumptions'!$B60</f>
        <v>0</v>
      </c>
      <c r="L133" s="33">
        <f>L124*'Game Assumptions'!$B60</f>
        <v>0</v>
      </c>
    </row>
    <row r="135" spans="1:12" x14ac:dyDescent="0.25">
      <c r="A135" s="13" t="s">
        <v>137</v>
      </c>
      <c r="B135" s="14"/>
      <c r="C135" s="14"/>
      <c r="D135" s="14"/>
      <c r="E135" s="14"/>
    </row>
    <row r="136" spans="1:12" x14ac:dyDescent="0.25">
      <c r="A136" t="s">
        <v>60</v>
      </c>
      <c r="B136" t="s">
        <v>31</v>
      </c>
      <c r="C136" t="s">
        <v>29</v>
      </c>
      <c r="D136" t="s">
        <v>28</v>
      </c>
      <c r="E136" t="s">
        <v>30</v>
      </c>
    </row>
    <row r="137" spans="1:12" x14ac:dyDescent="0.25">
      <c r="A137" t="str">
        <f>INDEX($B$53:$L$59,1,MATCH($N$1,$B$52:$L$52,0))</f>
        <v>utility EE</v>
      </c>
      <c r="B137">
        <v>0</v>
      </c>
      <c r="C137" s="15">
        <f t="shared" ref="C137:C150" si="23">INDEX($B$35:$L$41,MATCH($A137,$A$35:$A$41,0),MATCH($N$1,$B$34:$L$34,0))</f>
        <v>0</v>
      </c>
      <c r="D137">
        <f t="shared" ref="D137:D150" si="24">INDEX($B$106:$L$106,1,MATCH($N$1,$B$105:$L$105,0))</f>
        <v>8890500</v>
      </c>
      <c r="E137">
        <f>C137</f>
        <v>0</v>
      </c>
    </row>
    <row r="138" spans="1:12" x14ac:dyDescent="0.25">
      <c r="A138" t="str">
        <f>INDEX($B$53:$L$59,1,MATCH($N$1,$B$52:$L$52,0))</f>
        <v>utility EE</v>
      </c>
      <c r="B138" s="64">
        <f>INDEX($B$2:$L$8,MATCH($A138,$A$2:$A$8,0),MATCH($N$1,$B$1:$L$1,0))</f>
        <v>87600</v>
      </c>
      <c r="C138" s="15">
        <f t="shared" si="23"/>
        <v>0</v>
      </c>
      <c r="D138">
        <f t="shared" si="24"/>
        <v>8890500</v>
      </c>
      <c r="E138">
        <f t="shared" ref="E138:E150" si="25">C138</f>
        <v>0</v>
      </c>
    </row>
    <row r="139" spans="1:12" x14ac:dyDescent="0.25">
      <c r="A139" t="str">
        <f>INDEX($B$53:$L$59,2,MATCH($N$1,$B$52:$L$52,0))</f>
        <v>solar</v>
      </c>
      <c r="B139" s="64">
        <f>B138</f>
        <v>87600</v>
      </c>
      <c r="C139" s="15">
        <f t="shared" si="23"/>
        <v>0.01</v>
      </c>
      <c r="D139">
        <f t="shared" si="24"/>
        <v>8890500</v>
      </c>
      <c r="E139">
        <f t="shared" si="25"/>
        <v>0.01</v>
      </c>
    </row>
    <row r="140" spans="1:12" x14ac:dyDescent="0.25">
      <c r="A140" t="str">
        <f>INDEX($B$53:$L$59,2,MATCH($N$1,$B$52:$L$52,0))</f>
        <v>solar</v>
      </c>
      <c r="B140" s="64">
        <f>INDEX($B$2:$L$8,MATCH($A140,$A$2:$A$8,0),MATCH($N$1,$B$1:$L$1,0))+B139</f>
        <v>153300</v>
      </c>
      <c r="C140" s="15">
        <f t="shared" si="23"/>
        <v>0.01</v>
      </c>
      <c r="D140">
        <f t="shared" si="24"/>
        <v>8890500</v>
      </c>
      <c r="E140">
        <f t="shared" si="25"/>
        <v>0.01</v>
      </c>
    </row>
    <row r="141" spans="1:12" x14ac:dyDescent="0.25">
      <c r="A141" t="str">
        <f>INDEX($B$53:$L$59,3,MATCH($N$1,$B$52:$L$52,0))</f>
        <v>wind</v>
      </c>
      <c r="B141" s="64">
        <f>B140</f>
        <v>153300</v>
      </c>
      <c r="C141" s="15">
        <f t="shared" si="23"/>
        <v>0.02</v>
      </c>
      <c r="D141">
        <f t="shared" si="24"/>
        <v>8890500</v>
      </c>
      <c r="E141">
        <f t="shared" si="25"/>
        <v>0.02</v>
      </c>
    </row>
    <row r="142" spans="1:12" x14ac:dyDescent="0.25">
      <c r="A142" t="str">
        <f>INDEX($B$53:$L$59,3,MATCH($N$1,$B$52:$L$52,0))</f>
        <v>wind</v>
      </c>
      <c r="B142" s="64">
        <f>INDEX($B$2:$L$8,MATCH($A142,$A$2:$A$8,0),MATCH($N$1,$B$1:$L$1,0))+B141</f>
        <v>232140</v>
      </c>
      <c r="C142" s="15">
        <f t="shared" si="23"/>
        <v>0.02</v>
      </c>
      <c r="D142">
        <f t="shared" si="24"/>
        <v>8890500</v>
      </c>
      <c r="E142">
        <f t="shared" si="25"/>
        <v>0.02</v>
      </c>
    </row>
    <row r="143" spans="1:12" x14ac:dyDescent="0.25">
      <c r="A143" t="str">
        <f>INDEX($B$53:$L$59,4,MATCH($N$1,$B$52:$L$52,0))</f>
        <v>hydro</v>
      </c>
      <c r="B143" s="64">
        <f>B142</f>
        <v>232140</v>
      </c>
      <c r="C143" s="15">
        <f t="shared" si="23"/>
        <v>7</v>
      </c>
      <c r="D143">
        <f t="shared" si="24"/>
        <v>8890500</v>
      </c>
      <c r="E143">
        <f t="shared" si="25"/>
        <v>7</v>
      </c>
    </row>
    <row r="144" spans="1:12" x14ac:dyDescent="0.25">
      <c r="A144" t="str">
        <f>INDEX($B$53:$L$59,4,MATCH($N$1,$B$52:$L$52,0))</f>
        <v>hydro</v>
      </c>
      <c r="B144" s="64">
        <f>INDEX($B$2:$L$8,MATCH($A144,$A$2:$A$8,0),MATCH($N$1,$B$1:$L$1,0))+B143</f>
        <v>389820</v>
      </c>
      <c r="C144" s="15">
        <f t="shared" si="23"/>
        <v>7</v>
      </c>
      <c r="D144">
        <f t="shared" si="24"/>
        <v>8890500</v>
      </c>
      <c r="E144">
        <f t="shared" si="25"/>
        <v>7</v>
      </c>
    </row>
    <row r="145" spans="1:5" x14ac:dyDescent="0.25">
      <c r="A145" t="str">
        <f>INDEX($B$53:$L$59,5,MATCH($N$1,$B$52:$L$52,0))</f>
        <v>nuclear</v>
      </c>
      <c r="B145" s="64">
        <f>B144</f>
        <v>389820</v>
      </c>
      <c r="C145" s="15">
        <f t="shared" si="23"/>
        <v>11.022499999999999</v>
      </c>
      <c r="D145">
        <f t="shared" si="24"/>
        <v>8890500</v>
      </c>
      <c r="E145">
        <f t="shared" si="25"/>
        <v>11.022499999999999</v>
      </c>
    </row>
    <row r="146" spans="1:5" x14ac:dyDescent="0.25">
      <c r="A146" t="str">
        <f>INDEX($B$53:$L$59,5,MATCH($N$1,$B$52:$L$52,0))</f>
        <v>nuclear</v>
      </c>
      <c r="B146" s="64">
        <f>INDEX($B$2:$L$8,MATCH($A146,$A$2:$A$8,0),MATCH($N$1,$B$1:$L$1,0))+B145</f>
        <v>4331820</v>
      </c>
      <c r="C146" s="15">
        <f t="shared" si="23"/>
        <v>11.022499999999999</v>
      </c>
      <c r="D146">
        <f t="shared" si="24"/>
        <v>8890500</v>
      </c>
      <c r="E146">
        <f t="shared" si="25"/>
        <v>11.022499999999999</v>
      </c>
    </row>
    <row r="147" spans="1:5" x14ac:dyDescent="0.25">
      <c r="A147" t="str">
        <f>INDEX($B$53:$L$59,6,MATCH($N$1,$B$52:$L$52,0))</f>
        <v>coal</v>
      </c>
      <c r="B147" s="64">
        <f>B146</f>
        <v>4331820</v>
      </c>
      <c r="C147" s="15">
        <f t="shared" si="23"/>
        <v>28.747499999999999</v>
      </c>
      <c r="D147">
        <f t="shared" si="24"/>
        <v>8890500</v>
      </c>
      <c r="E147">
        <f t="shared" si="25"/>
        <v>28.747499999999999</v>
      </c>
    </row>
    <row r="148" spans="1:5" x14ac:dyDescent="0.25">
      <c r="A148" t="str">
        <f>INDEX($B$53:$L$59,6,MATCH($N$1,$B$52:$L$52,0))</f>
        <v>coal</v>
      </c>
      <c r="B148" s="64">
        <f>INDEX($B$2:$L$8,MATCH($A148,$A$2:$A$8,0),MATCH($N$1,$B$1:$L$1,0))+B147</f>
        <v>6959820</v>
      </c>
      <c r="C148" s="15">
        <f t="shared" si="23"/>
        <v>28.747499999999999</v>
      </c>
      <c r="D148">
        <f t="shared" si="24"/>
        <v>8890500</v>
      </c>
      <c r="E148">
        <f t="shared" si="25"/>
        <v>28.747499999999999</v>
      </c>
    </row>
    <row r="149" spans="1:5" x14ac:dyDescent="0.25">
      <c r="A149" t="str">
        <f>INDEX($B$53:$L$59,7,MATCH($N$1,$B$52:$L$52,0))</f>
        <v>natural gas</v>
      </c>
      <c r="B149" s="64">
        <f>B148</f>
        <v>6959820</v>
      </c>
      <c r="C149" s="15">
        <f t="shared" si="23"/>
        <v>36.550000000000004</v>
      </c>
      <c r="D149">
        <f t="shared" si="24"/>
        <v>8890500</v>
      </c>
      <c r="E149">
        <f t="shared" si="25"/>
        <v>36.550000000000004</v>
      </c>
    </row>
    <row r="150" spans="1:5" x14ac:dyDescent="0.25">
      <c r="A150" t="str">
        <f>INDEX($B$53:$L$59,7,MATCH($N$1,$B$52:$L$52,0))</f>
        <v>natural gas</v>
      </c>
      <c r="B150" s="64">
        <f>INDEX($B$2:$L$8,MATCH($A150,$A$2:$A$8,0),MATCH($N$1,$B$1:$L$1,0))+B149</f>
        <v>11164620</v>
      </c>
      <c r="C150" s="15">
        <f t="shared" si="23"/>
        <v>36.550000000000004</v>
      </c>
      <c r="D150">
        <f t="shared" si="24"/>
        <v>8890500</v>
      </c>
      <c r="E150">
        <f t="shared" si="25"/>
        <v>36.550000000000004</v>
      </c>
    </row>
    <row r="152" spans="1:5" x14ac:dyDescent="0.25">
      <c r="A152" s="13" t="s">
        <v>138</v>
      </c>
      <c r="B152" s="14"/>
      <c r="C152" s="14"/>
      <c r="D152" s="14"/>
      <c r="E152" s="14"/>
    </row>
    <row r="153" spans="1:5" x14ac:dyDescent="0.25">
      <c r="A153" t="s">
        <v>7</v>
      </c>
      <c r="B153" s="64">
        <f t="shared" ref="B153:B159" si="26">INDEX($B$118:$L$124,MATCH($A153,$A$118:$A$124,0),MATCH($N$1,$B$117:$L$117))</f>
        <v>2628000</v>
      </c>
    </row>
    <row r="154" spans="1:5" x14ac:dyDescent="0.25">
      <c r="A154" t="s">
        <v>8</v>
      </c>
      <c r="B154" s="64">
        <f t="shared" si="26"/>
        <v>1930680</v>
      </c>
    </row>
    <row r="155" spans="1:5" x14ac:dyDescent="0.25">
      <c r="A155" t="s">
        <v>13</v>
      </c>
      <c r="B155" s="64">
        <f t="shared" si="26"/>
        <v>3942000</v>
      </c>
    </row>
    <row r="156" spans="1:5" x14ac:dyDescent="0.25">
      <c r="A156" t="s">
        <v>9</v>
      </c>
      <c r="B156" s="64">
        <f t="shared" si="26"/>
        <v>65700</v>
      </c>
    </row>
    <row r="157" spans="1:5" x14ac:dyDescent="0.25">
      <c r="A157" t="s">
        <v>10</v>
      </c>
      <c r="B157" s="64">
        <f t="shared" si="26"/>
        <v>78840</v>
      </c>
    </row>
    <row r="158" spans="1:5" x14ac:dyDescent="0.25">
      <c r="A158" t="s">
        <v>11</v>
      </c>
      <c r="B158" s="64">
        <f t="shared" si="26"/>
        <v>157680</v>
      </c>
    </row>
    <row r="159" spans="1:5" x14ac:dyDescent="0.25">
      <c r="A159" t="s">
        <v>268</v>
      </c>
      <c r="B159" s="64">
        <f t="shared" si="26"/>
        <v>87600</v>
      </c>
    </row>
    <row r="162" spans="1:12" x14ac:dyDescent="0.25">
      <c r="A162" s="9" t="s">
        <v>205</v>
      </c>
      <c r="B162" s="9">
        <v>0</v>
      </c>
      <c r="C162" s="9">
        <v>1</v>
      </c>
      <c r="D162" s="9">
        <v>2</v>
      </c>
      <c r="E162" s="9">
        <v>3</v>
      </c>
      <c r="F162" s="9">
        <v>4</v>
      </c>
      <c r="G162" s="9">
        <v>5</v>
      </c>
      <c r="H162" s="9">
        <v>6</v>
      </c>
      <c r="I162" s="9">
        <v>7</v>
      </c>
      <c r="J162" s="9">
        <v>8</v>
      </c>
      <c r="K162" s="9">
        <v>9</v>
      </c>
      <c r="L162" s="9">
        <v>10</v>
      </c>
    </row>
    <row r="163" spans="1:12" x14ac:dyDescent="0.25">
      <c r="A163" t="s">
        <v>206</v>
      </c>
      <c r="B163">
        <f>'Event Tracker'!B2</f>
        <v>0</v>
      </c>
      <c r="C163">
        <f>'Event Tracker'!C2</f>
        <v>0</v>
      </c>
      <c r="D163">
        <f>'Event Tracker'!D2</f>
        <v>0</v>
      </c>
      <c r="E163">
        <f>'Event Tracker'!E2</f>
        <v>0</v>
      </c>
      <c r="F163">
        <f>'Event Tracker'!F2</f>
        <v>0</v>
      </c>
      <c r="G163">
        <f>'Event Tracker'!G2</f>
        <v>0</v>
      </c>
      <c r="H163">
        <f>'Event Tracker'!H2</f>
        <v>0</v>
      </c>
      <c r="I163">
        <f>'Event Tracker'!I2</f>
        <v>0</v>
      </c>
      <c r="J163">
        <f>'Event Tracker'!J2</f>
        <v>0</v>
      </c>
      <c r="K163">
        <f>'Event Tracker'!K2</f>
        <v>0</v>
      </c>
      <c r="L163">
        <f>'Event Tracker'!L2</f>
        <v>0</v>
      </c>
    </row>
    <row r="164" spans="1:12" x14ac:dyDescent="0.25">
      <c r="A164" t="s">
        <v>207</v>
      </c>
      <c r="B164" s="5">
        <f>SUM(B121:B122)/SUM(B118:B123)</f>
        <v>1.6419588999079849E-2</v>
      </c>
      <c r="C164" s="102">
        <f t="shared" ref="C164:L164" si="27">SUM(C121:C122)/SUM(C118:C123)</f>
        <v>1.7550697765910558E-2</v>
      </c>
      <c r="D164" s="5">
        <f t="shared" si="27"/>
        <v>1.6239226934601551E-2</v>
      </c>
      <c r="E164" s="5">
        <f t="shared" si="27"/>
        <v>2.6004728132387706E-2</v>
      </c>
      <c r="F164" s="5">
        <f t="shared" si="27"/>
        <v>2.6004728132387706E-2</v>
      </c>
      <c r="G164" s="5">
        <f t="shared" si="27"/>
        <v>2.8720626631853787E-2</v>
      </c>
      <c r="H164" s="5">
        <f t="shared" si="27"/>
        <v>2.8720626631853787E-2</v>
      </c>
      <c r="I164" s="5">
        <f t="shared" si="27"/>
        <v>2.8720626631853787E-2</v>
      </c>
      <c r="J164" s="5">
        <f t="shared" si="27"/>
        <v>2.8720626631853787E-2</v>
      </c>
      <c r="K164" s="5">
        <f t="shared" si="27"/>
        <v>2.8720626631853787E-2</v>
      </c>
      <c r="L164" s="5">
        <f t="shared" si="27"/>
        <v>2.8720626631853787E-2</v>
      </c>
    </row>
    <row r="165" spans="1:12" x14ac:dyDescent="0.25">
      <c r="A165" t="s">
        <v>208</v>
      </c>
      <c r="B165" s="5">
        <f>IF(B163=1,(0.2-B164)/COUNT(B162:$L$162)+IF(A163=1,A165,B164),0)</f>
        <v>0</v>
      </c>
      <c r="C165" s="102">
        <f>IF(C163=1,IF(B163=0,0,IF(A163=0,('Game Assumptions'!$B$22-Dispatch!C164)/COUNTIF(Dispatch!C163:$L$163,1)+Dispatch!C164,IF(A165=0,Dispatch!B165-Dispatch!B164+Dispatch!B165,B165-A165+B165))),0)</f>
        <v>0</v>
      </c>
      <c r="D165" s="102">
        <f>IF(D163=1,IF(C163=0,0,IF(B163=0,('Game Assumptions'!$B$22-Dispatch!D164)/COUNTIF(Dispatch!D163:$L$163,1)+Dispatch!D164,IF(B165=0,Dispatch!C165-Dispatch!C164+Dispatch!C165,C165-B165+C165))),0)</f>
        <v>0</v>
      </c>
      <c r="E165" s="102">
        <f>IF(E163=1,IF(D163=0,0,IF(C163=0,('Game Assumptions'!$B$22-Dispatch!E164)/COUNTIF(Dispatch!E163:$L$163,1)+Dispatch!E164,IF(C165=0,Dispatch!D165-Dispatch!D164+Dispatch!D165,D165-C165+D165))),0)</f>
        <v>0</v>
      </c>
      <c r="F165" s="102">
        <f>IF(F163=1,IF(E163=0,0,IF(D163=0,('Game Assumptions'!$B$22-Dispatch!F164)/COUNTIF(Dispatch!F163:$L$163,1)+Dispatch!F164,IF(D165=0,Dispatch!E165-Dispatch!E164+Dispatch!E165,E165-D165+E165))),0)</f>
        <v>0</v>
      </c>
      <c r="G165" s="102">
        <f>IF(G163=1,IF(F163=0,0,IF(E163=0,('Game Assumptions'!$B$22-Dispatch!G164)/COUNTIF(Dispatch!G163:$L$163,1)+Dispatch!G164,IF(E165=0,Dispatch!F165-Dispatch!F164+Dispatch!F165,F165-E165+F165))),0)</f>
        <v>0</v>
      </c>
      <c r="H165" s="102">
        <f>IF(H163=1,IF(G163=0,0,IF(F163=0,('Game Assumptions'!$B$22-Dispatch!H164)/COUNTIF(Dispatch!H163:$L$163,1)+Dispatch!H164,IF(F165=0,Dispatch!G165-Dispatch!G164+Dispatch!G165,G165-F165+G165))),0)</f>
        <v>0</v>
      </c>
      <c r="I165" s="102">
        <f>IF(I163=1,IF(H163=0,0,IF(G163=0,('Game Assumptions'!$B$22-Dispatch!I164)/COUNTIF(Dispatch!I163:$L$163,1)+Dispatch!I164,IF(G165=0,Dispatch!H165-Dispatch!H164+Dispatch!H165,H165-G165+H165))),0)</f>
        <v>0</v>
      </c>
      <c r="J165" s="102">
        <f>IF(J163=1,IF(I163=0,0,IF(H163=0,('Game Assumptions'!$B$22-Dispatch!J164)/COUNTIF(Dispatch!J163:$L$163,1)+Dispatch!J164,IF(H165=0,Dispatch!I165-Dispatch!I164+Dispatch!I165,I165-H165+I165))),0)</f>
        <v>0</v>
      </c>
      <c r="K165" s="102">
        <f>IF(K163=1,IF(J163=0,0,IF(I163=0,('Game Assumptions'!$B$22-Dispatch!K164)/COUNTIF(Dispatch!K163:$L$163,1)+Dispatch!K164,IF(I165=0,Dispatch!J165-Dispatch!J164+Dispatch!J165,J165-I165+J165))),0)</f>
        <v>0</v>
      </c>
      <c r="L165" s="102">
        <f>IF(L163=1,IF(K163=0,0,IF(J163=0,('Game Assumptions'!$B$22-Dispatch!L164)/COUNTIF(Dispatch!L163:$L$163,1)+Dispatch!L164,IF(J165=0,Dispatch!K165-Dispatch!K164+Dispatch!K165,K165-J165+K165))),0)</f>
        <v>0</v>
      </c>
    </row>
    <row r="166" spans="1:12" x14ac:dyDescent="0.25">
      <c r="A166" t="s">
        <v>209</v>
      </c>
      <c r="B166" s="16">
        <f>IF(B165&gt;B164,(B165-B164)*SUM(B118:B123),0)</f>
        <v>0</v>
      </c>
      <c r="C166" s="16">
        <f t="shared" ref="C166:L166" si="28">IF(C165&gt;C164,(C165-C164)*SUM(C118:C123),0)</f>
        <v>0</v>
      </c>
      <c r="D166" s="16">
        <f t="shared" si="28"/>
        <v>0</v>
      </c>
      <c r="E166" s="16">
        <f t="shared" si="28"/>
        <v>0</v>
      </c>
      <c r="F166" s="16">
        <f t="shared" si="28"/>
        <v>0</v>
      </c>
      <c r="G166" s="16">
        <f t="shared" si="28"/>
        <v>0</v>
      </c>
      <c r="H166" s="16">
        <f t="shared" si="28"/>
        <v>0</v>
      </c>
      <c r="I166" s="16">
        <f t="shared" si="28"/>
        <v>0</v>
      </c>
      <c r="J166" s="16">
        <f t="shared" si="28"/>
        <v>0</v>
      </c>
      <c r="K166" s="16">
        <f t="shared" si="28"/>
        <v>0</v>
      </c>
      <c r="L166" s="16">
        <f t="shared" si="28"/>
        <v>0</v>
      </c>
    </row>
    <row r="167" spans="1:12" x14ac:dyDescent="0.25">
      <c r="A167" t="s">
        <v>210</v>
      </c>
      <c r="B167" s="7">
        <f>B166*'Game Assumptions'!$B$9</f>
        <v>0</v>
      </c>
      <c r="C167" s="7">
        <f>C166*'Game Assumptions'!$B$9</f>
        <v>0</v>
      </c>
      <c r="D167" s="7">
        <f>D166*'Game Assumptions'!$B$9</f>
        <v>0</v>
      </c>
      <c r="E167" s="7">
        <f>E166*'Game Assumptions'!$B$9</f>
        <v>0</v>
      </c>
      <c r="F167" s="7">
        <f>F166*'Game Assumptions'!$B$9</f>
        <v>0</v>
      </c>
      <c r="G167" s="7">
        <f>G166*'Game Assumptions'!$B$9</f>
        <v>0</v>
      </c>
      <c r="H167" s="7">
        <f>H166*'Game Assumptions'!$B$9</f>
        <v>0</v>
      </c>
      <c r="I167" s="7">
        <f>I166*'Game Assumptions'!$B$9</f>
        <v>0</v>
      </c>
      <c r="J167" s="7">
        <f>J166*'Game Assumptions'!$B$9</f>
        <v>0</v>
      </c>
      <c r="K167" s="7">
        <f>K166*'Game Assumptions'!$B$9</f>
        <v>0</v>
      </c>
      <c r="L167" s="7">
        <f>L166*'Game Assumptions'!$B$9</f>
        <v>0</v>
      </c>
    </row>
    <row r="169" spans="1:12" x14ac:dyDescent="0.25">
      <c r="A169" s="9" t="s">
        <v>269</v>
      </c>
      <c r="B169" s="9">
        <v>0</v>
      </c>
      <c r="C169" s="9">
        <v>1</v>
      </c>
      <c r="D169" s="9">
        <v>2</v>
      </c>
      <c r="E169" s="9">
        <v>3</v>
      </c>
      <c r="F169" s="9">
        <v>4</v>
      </c>
      <c r="G169" s="9">
        <v>5</v>
      </c>
      <c r="H169" s="9">
        <v>6</v>
      </c>
      <c r="I169" s="9">
        <v>7</v>
      </c>
      <c r="J169" s="9">
        <v>8</v>
      </c>
      <c r="K169" s="9">
        <v>9</v>
      </c>
      <c r="L169" s="9">
        <v>10</v>
      </c>
    </row>
    <row r="170" spans="1:12" x14ac:dyDescent="0.25">
      <c r="A170" t="s">
        <v>35</v>
      </c>
      <c r="B170" s="7">
        <f>SUMPRODUCT(B118:B124,B35:B41)</f>
        <v>190671472.80000001</v>
      </c>
      <c r="C170" s="7">
        <f t="shared" ref="C170:L170" si="29">SUMPRODUCT(C118:C124,C35:C41)</f>
        <v>194270642.10000002</v>
      </c>
      <c r="D170" s="7">
        <f t="shared" si="29"/>
        <v>205185138.30000001</v>
      </c>
      <c r="E170" s="7">
        <f t="shared" si="29"/>
        <v>184601100.60000002</v>
      </c>
      <c r="F170" s="7">
        <f t="shared" si="29"/>
        <v>184247371.80000004</v>
      </c>
      <c r="G170" s="7">
        <f t="shared" si="29"/>
        <v>173400039.00000003</v>
      </c>
      <c r="H170" s="7">
        <f t="shared" si="29"/>
        <v>185912998.20000002</v>
      </c>
      <c r="I170" s="7">
        <f t="shared" si="29"/>
        <v>198425957.40000001</v>
      </c>
      <c r="J170" s="7">
        <f t="shared" si="29"/>
        <v>206078167.80000004</v>
      </c>
      <c r="K170" s="7">
        <f t="shared" si="29"/>
        <v>210530656.80000001</v>
      </c>
      <c r="L170" s="7">
        <f t="shared" si="29"/>
        <v>215554998.59999999</v>
      </c>
    </row>
    <row r="171" spans="1:12" x14ac:dyDescent="0.25">
      <c r="A171" t="s">
        <v>36</v>
      </c>
      <c r="B171" s="7">
        <f>IF(B82&gt;0,INDEX($B$35:$L$41,MATCH(B59,$A$35:$A$41,0),MATCH(B169,$B$34:$L$34)),INDEX($B$35:$L$41,MATCH(B58,$A$35:$A$41,0),MATCH(B169,$B$34:$L$34)))*SUM(B109:B115)</f>
        <v>324947775.00000006</v>
      </c>
      <c r="C171" s="7">
        <f t="shared" ref="C171:L171" si="30">IF(C82&gt;0,INDEX($B$35:$L$41,MATCH(C59,$A$35:$A$41,0),MATCH(C169,$B$34:$L$34)),INDEX($B$35:$L$41,MATCH(C58,$A$35:$A$41,0),MATCH(C169,$B$34:$L$34)))*SUM(C109:C115)</f>
        <v>340434299.34000003</v>
      </c>
      <c r="D171" s="7">
        <f t="shared" si="30"/>
        <v>327298863.78000003</v>
      </c>
      <c r="E171" s="7">
        <f t="shared" si="30"/>
        <v>207122552.52000001</v>
      </c>
      <c r="F171" s="7">
        <f t="shared" si="30"/>
        <v>206354721.00000003</v>
      </c>
      <c r="G171" s="7">
        <f t="shared" si="30"/>
        <v>191670315.48000002</v>
      </c>
      <c r="H171" s="7">
        <f t="shared" si="30"/>
        <v>206641838.76000002</v>
      </c>
      <c r="I171" s="7">
        <f t="shared" si="30"/>
        <v>221613362.03999999</v>
      </c>
      <c r="J171" s="7">
        <f t="shared" si="30"/>
        <v>230665911.00000003</v>
      </c>
      <c r="K171" s="7">
        <f t="shared" si="30"/>
        <v>235888535.40000001</v>
      </c>
      <c r="L171" s="7">
        <f t="shared" si="30"/>
        <v>241807509.72</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S29"/>
  <sheetViews>
    <sheetView zoomScale="85" zoomScaleNormal="85" workbookViewId="0">
      <selection activeCell="B36" sqref="B36"/>
    </sheetView>
  </sheetViews>
  <sheetFormatPr defaultRowHeight="15" x14ac:dyDescent="0.25"/>
  <cols>
    <col min="1" max="1" width="12.85546875" customWidth="1"/>
    <col min="2" max="2" width="165.85546875" customWidth="1"/>
  </cols>
  <sheetData>
    <row r="1" spans="1:19" s="69" customFormat="1" x14ac:dyDescent="0.25">
      <c r="A1" s="9" t="s">
        <v>3</v>
      </c>
      <c r="B1" s="3"/>
    </row>
    <row r="2" spans="1:19" ht="30" x14ac:dyDescent="0.25">
      <c r="A2" t="s">
        <v>183</v>
      </c>
      <c r="B2" s="66" t="s">
        <v>184</v>
      </c>
    </row>
    <row r="3" spans="1:19" x14ac:dyDescent="0.25">
      <c r="A3" t="s">
        <v>185</v>
      </c>
      <c r="B3" t="s">
        <v>188</v>
      </c>
    </row>
    <row r="4" spans="1:19" ht="30" x14ac:dyDescent="0.25">
      <c r="A4" s="70" t="s">
        <v>187</v>
      </c>
      <c r="B4" s="66" t="s">
        <v>189</v>
      </c>
    </row>
    <row r="6" spans="1:19" s="69" customFormat="1" x14ac:dyDescent="0.25">
      <c r="A6" s="9" t="s">
        <v>2</v>
      </c>
      <c r="B6" s="9"/>
      <c r="C6" s="68"/>
      <c r="D6" s="68"/>
      <c r="E6" s="68"/>
      <c r="F6" s="68"/>
      <c r="G6" s="68"/>
      <c r="H6" s="68"/>
      <c r="I6" s="68"/>
      <c r="J6" s="68"/>
      <c r="K6" s="68"/>
      <c r="L6" s="68"/>
      <c r="M6" s="68"/>
      <c r="N6" s="68"/>
      <c r="O6" s="68"/>
      <c r="P6" s="68"/>
      <c r="Q6" s="68"/>
      <c r="R6" s="68"/>
      <c r="S6" s="68"/>
    </row>
    <row r="7" spans="1:19" ht="30" x14ac:dyDescent="0.25">
      <c r="A7" s="67" t="s">
        <v>183</v>
      </c>
      <c r="B7" s="66" t="s">
        <v>186</v>
      </c>
    </row>
    <row r="8" spans="1:19" x14ac:dyDescent="0.25">
      <c r="A8" t="s">
        <v>185</v>
      </c>
      <c r="B8" t="s">
        <v>190</v>
      </c>
    </row>
    <row r="9" spans="1:19" x14ac:dyDescent="0.25">
      <c r="A9" t="s">
        <v>191</v>
      </c>
      <c r="B9" t="s">
        <v>192</v>
      </c>
    </row>
    <row r="11" spans="1:19" x14ac:dyDescent="0.25">
      <c r="A11" s="77" t="s">
        <v>193</v>
      </c>
      <c r="B11" s="77"/>
    </row>
    <row r="12" spans="1:19" ht="30" x14ac:dyDescent="0.25">
      <c r="A12" s="78" t="s">
        <v>183</v>
      </c>
      <c r="B12" s="79" t="s">
        <v>194</v>
      </c>
    </row>
    <row r="13" spans="1:19" x14ac:dyDescent="0.25">
      <c r="A13" s="12" t="s">
        <v>185</v>
      </c>
      <c r="B13" s="12" t="s">
        <v>195</v>
      </c>
    </row>
    <row r="14" spans="1:19" ht="30" x14ac:dyDescent="0.25">
      <c r="A14" s="78" t="s">
        <v>191</v>
      </c>
      <c r="B14" s="79" t="s">
        <v>196</v>
      </c>
    </row>
    <row r="16" spans="1:19" x14ac:dyDescent="0.25">
      <c r="A16" s="9" t="s">
        <v>1</v>
      </c>
      <c r="B16" s="9"/>
    </row>
    <row r="17" spans="1:2" ht="30" x14ac:dyDescent="0.25">
      <c r="A17" s="67" t="s">
        <v>183</v>
      </c>
      <c r="B17" s="66" t="s">
        <v>197</v>
      </c>
    </row>
    <row r="18" spans="1:2" x14ac:dyDescent="0.25">
      <c r="A18" t="s">
        <v>185</v>
      </c>
      <c r="B18" t="s">
        <v>252</v>
      </c>
    </row>
    <row r="19" spans="1:2" x14ac:dyDescent="0.25">
      <c r="A19" t="s">
        <v>187</v>
      </c>
      <c r="B19" t="s">
        <v>198</v>
      </c>
    </row>
    <row r="21" spans="1:2" x14ac:dyDescent="0.25">
      <c r="A21" s="9" t="s">
        <v>199</v>
      </c>
      <c r="B21" s="9"/>
    </row>
    <row r="22" spans="1:2" ht="30" x14ac:dyDescent="0.25">
      <c r="A22" s="67" t="s">
        <v>183</v>
      </c>
      <c r="B22" s="66" t="s">
        <v>200</v>
      </c>
    </row>
    <row r="23" spans="1:2" x14ac:dyDescent="0.25">
      <c r="A23" t="s">
        <v>185</v>
      </c>
      <c r="B23" t="s">
        <v>201</v>
      </c>
    </row>
    <row r="24" spans="1:2" x14ac:dyDescent="0.25">
      <c r="A24" t="s">
        <v>187</v>
      </c>
      <c r="B24" t="s">
        <v>202</v>
      </c>
    </row>
    <row r="26" spans="1:2" x14ac:dyDescent="0.25">
      <c r="A26" s="9" t="s">
        <v>301</v>
      </c>
      <c r="B26" s="9"/>
    </row>
    <row r="27" spans="1:2" x14ac:dyDescent="0.25">
      <c r="A27" s="67" t="s">
        <v>183</v>
      </c>
      <c r="B27" t="s">
        <v>306</v>
      </c>
    </row>
    <row r="28" spans="1:2" x14ac:dyDescent="0.25">
      <c r="A28" t="s">
        <v>185</v>
      </c>
      <c r="B28" t="s">
        <v>307</v>
      </c>
    </row>
    <row r="29" spans="1:2" x14ac:dyDescent="0.25">
      <c r="A29" t="s">
        <v>187</v>
      </c>
      <c r="B29" t="s">
        <v>308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O119"/>
  <sheetViews>
    <sheetView topLeftCell="A12" workbookViewId="0">
      <selection activeCell="M30" sqref="M30"/>
    </sheetView>
  </sheetViews>
  <sheetFormatPr defaultRowHeight="15" x14ac:dyDescent="0.25"/>
  <cols>
    <col min="1" max="1" width="65.5703125" customWidth="1"/>
    <col min="2" max="2" width="13.140625" bestFit="1" customWidth="1"/>
    <col min="3" max="3" width="13.42578125" bestFit="1" customWidth="1"/>
    <col min="4" max="4" width="24.5703125" bestFit="1" customWidth="1"/>
    <col min="14" max="14" width="13.7109375" bestFit="1" customWidth="1"/>
  </cols>
  <sheetData>
    <row r="1" spans="1:15" ht="15.75" thickBot="1" x14ac:dyDescent="0.3">
      <c r="A1" s="9" t="s">
        <v>357</v>
      </c>
      <c r="B1" s="3"/>
      <c r="C1" s="3"/>
      <c r="D1" s="3"/>
      <c r="E1" s="3"/>
      <c r="F1" s="3"/>
      <c r="G1" s="3"/>
      <c r="H1" s="3"/>
      <c r="I1" s="3"/>
      <c r="J1" s="3"/>
      <c r="K1" s="3"/>
      <c r="N1" s="115" t="s">
        <v>277</v>
      </c>
      <c r="O1" s="104">
        <f>Current_Round</f>
        <v>0</v>
      </c>
    </row>
    <row r="2" spans="1:15" x14ac:dyDescent="0.25">
      <c r="A2" t="s">
        <v>360</v>
      </c>
      <c r="B2" t="s">
        <v>362</v>
      </c>
      <c r="C2" t="s">
        <v>359</v>
      </c>
      <c r="D2" t="s">
        <v>361</v>
      </c>
    </row>
    <row r="3" spans="1:15" x14ac:dyDescent="0.25">
      <c r="A3" t="s">
        <v>358</v>
      </c>
      <c r="B3">
        <v>0</v>
      </c>
      <c r="C3" s="49">
        <f>IF(COUNT($B$3:$B3)&lt;=$O$1+1,INDEX('Customer Bills'!$B$12:$L$12,1,MATCH(Graphs!B3,'Customer Bills'!$B$2:$L$2,0)),NA())</f>
        <v>81.049479225863763</v>
      </c>
      <c r="D3" s="15">
        <f>IF(C3="","",IF(OR(COUNT($C$3:$C3)-1=$O$1,COUNT($C$3:$C4)-1=$O$1),C3,NA()))</f>
        <v>81.049479225863763</v>
      </c>
    </row>
    <row r="4" spans="1:15" x14ac:dyDescent="0.25">
      <c r="A4" t="s">
        <v>37</v>
      </c>
      <c r="B4">
        <v>1</v>
      </c>
      <c r="C4" s="49" t="e">
        <f>IF(COUNT($B$3:$B4)&lt;=$O$1+1,INDEX('Customer Bills'!$B$12:$L$12,1,MATCH(Graphs!B4,'Customer Bills'!$B$2:$L$2,0)),NA())</f>
        <v>#N/A</v>
      </c>
      <c r="D4" s="15" t="e">
        <f>IF(C4="","",IF(OR(COUNT($C$3:$C4)-1=$O$1,COUNT($C$3:$C5)-1=$O$1),C4,NA()))</f>
        <v>#N/A</v>
      </c>
    </row>
    <row r="5" spans="1:15" x14ac:dyDescent="0.25">
      <c r="A5" t="s">
        <v>72</v>
      </c>
      <c r="B5">
        <v>2</v>
      </c>
      <c r="C5" s="49" t="e">
        <f>IF(COUNT($B$3:$B5)&lt;=$O$1+1,INDEX('Customer Bills'!$B$12:$L$12,1,MATCH(Graphs!B5,'Customer Bills'!$B$2:$L$2,0)),NA())</f>
        <v>#N/A</v>
      </c>
      <c r="D5" s="15" t="e">
        <f>IF(C5="","",IF(OR(COUNT($C$3:$C5)-1=$O$1,COUNT($C$3:$C6)-1=$O$1),C5,NA()))</f>
        <v>#N/A</v>
      </c>
    </row>
    <row r="6" spans="1:15" x14ac:dyDescent="0.25">
      <c r="A6" t="s">
        <v>73</v>
      </c>
      <c r="B6">
        <v>3</v>
      </c>
      <c r="C6" s="49" t="e">
        <f>IF(COUNT($B$3:$B6)&lt;=$O$1+1,INDEX('Customer Bills'!$B$12:$L$12,1,MATCH(Graphs!B6,'Customer Bills'!$B$2:$L$2,0)),NA())</f>
        <v>#N/A</v>
      </c>
      <c r="D6" s="15" t="e">
        <f>IF(C6="","",IF(OR(COUNT($C$3:$C6)-1=$O$1,COUNT($C$3:$C7)-1=$O$1),C6,NA()))</f>
        <v>#N/A</v>
      </c>
    </row>
    <row r="7" spans="1:15" x14ac:dyDescent="0.25">
      <c r="A7" t="s">
        <v>74</v>
      </c>
      <c r="B7">
        <v>4</v>
      </c>
      <c r="C7" s="49" t="e">
        <f>IF(COUNT($B$3:$B7)&lt;=$O$1+1,INDEX('Customer Bills'!$B$12:$L$12,1,MATCH(Graphs!B7,'Customer Bills'!$B$2:$L$2,0)),NA())</f>
        <v>#N/A</v>
      </c>
      <c r="D7" s="15" t="e">
        <f>IF(C7="","",IF(OR(COUNT($C$3:$C7)-1=$O$1,COUNT($C$3:$C8)-1=$O$1),C7,NA()))</f>
        <v>#N/A</v>
      </c>
    </row>
    <row r="8" spans="1:15" x14ac:dyDescent="0.25">
      <c r="A8" t="s">
        <v>75</v>
      </c>
      <c r="B8">
        <v>5</v>
      </c>
      <c r="C8" s="49" t="e">
        <f>IF(COUNT($B$3:$B8)&lt;=$O$1+1,INDEX('Customer Bills'!$B$12:$L$12,1,MATCH(Graphs!B8,'Customer Bills'!$B$2:$L$2,0)),NA())</f>
        <v>#N/A</v>
      </c>
      <c r="D8" s="15" t="e">
        <f>IF(C8="","",IF(OR(COUNT($C$3:$C8)-1=$O$1,COUNT($C$3:$C9)-1=$O$1),C8,NA()))</f>
        <v>#N/A</v>
      </c>
    </row>
    <row r="9" spans="1:15" x14ac:dyDescent="0.25">
      <c r="A9" t="s">
        <v>272</v>
      </c>
      <c r="B9">
        <v>6</v>
      </c>
      <c r="C9" s="49" t="e">
        <f>IF(COUNT($B$3:$B9)&lt;=$O$1+1,INDEX('Customer Bills'!$B$12:$L$12,1,MATCH(Graphs!B9,'Customer Bills'!$B$2:$L$2,0)),NA())</f>
        <v>#N/A</v>
      </c>
      <c r="D9" s="15" t="e">
        <f>IF(C9="","",IF(OR(COUNT($C$3:$C9)-1=$O$1,COUNT($C$3:$C10)-1=$O$1),C9,NA()))</f>
        <v>#N/A</v>
      </c>
    </row>
    <row r="10" spans="1:15" x14ac:dyDescent="0.25">
      <c r="A10" t="s">
        <v>273</v>
      </c>
      <c r="B10">
        <v>7</v>
      </c>
      <c r="C10" s="49" t="e">
        <f>IF(COUNT($B$3:$B10)&lt;=$O$1+1,INDEX('Customer Bills'!$B$12:$L$12,1,MATCH(Graphs!B10,'Customer Bills'!$B$2:$L$2,0)),NA())</f>
        <v>#N/A</v>
      </c>
      <c r="D10" s="15" t="e">
        <f>IF(C10="","",IF(OR(COUNT($C$3:$C10)-1=$O$1,COUNT($C$3:$C11)-1=$O$1),C10,NA()))</f>
        <v>#N/A</v>
      </c>
    </row>
    <row r="11" spans="1:15" x14ac:dyDescent="0.25">
      <c r="A11" t="s">
        <v>274</v>
      </c>
      <c r="B11">
        <v>8</v>
      </c>
      <c r="C11" s="49" t="e">
        <f>IF(COUNT($B$3:$B11)&lt;=$O$1+1,INDEX('Customer Bills'!$B$12:$L$12,1,MATCH(Graphs!B11,'Customer Bills'!$B$2:$L$2,0)),NA())</f>
        <v>#N/A</v>
      </c>
      <c r="D11" s="15" t="e">
        <f>IF(C11="","",IF(OR(COUNT($C$3:$C11)-1=$O$1,COUNT($C$3:$C12)-1=$O$1),C11,NA()))</f>
        <v>#N/A</v>
      </c>
    </row>
    <row r="12" spans="1:15" x14ac:dyDescent="0.25">
      <c r="A12" t="s">
        <v>275</v>
      </c>
      <c r="B12">
        <v>9</v>
      </c>
      <c r="C12" s="49" t="e">
        <f>IF(COUNT($B$3:$B12)&lt;=$O$1+1,INDEX('Customer Bills'!$B$12:$L$12,1,MATCH(Graphs!B12,'Customer Bills'!$B$2:$L$2,0)),NA())</f>
        <v>#N/A</v>
      </c>
      <c r="D12" s="15" t="e">
        <f>IF(C12="","",IF(OR(COUNT($C$3:$C12)-1=$O$1,COUNT($C$3:$C13)-1=$O$1),C12,NA()))</f>
        <v>#N/A</v>
      </c>
    </row>
    <row r="13" spans="1:15" x14ac:dyDescent="0.25">
      <c r="A13" t="s">
        <v>276</v>
      </c>
      <c r="B13">
        <v>10</v>
      </c>
      <c r="C13" s="49" t="e">
        <f>IF(COUNT($B$3:$B13)&lt;=$O$1+1,INDEX('Customer Bills'!$B$12:$L$12,1,MATCH(Graphs!B13,'Customer Bills'!$B$2:$L$2,0)),NA())</f>
        <v>#N/A</v>
      </c>
      <c r="D13" s="15" t="e">
        <f>IF(C13="","",IF(OR(COUNT($C$3:$C13)-1=$O$1,COUNT($C$3:$C14)-1=$O$1),C13,NA()))</f>
        <v>#N/A</v>
      </c>
    </row>
    <row r="16" spans="1:15" x14ac:dyDescent="0.25">
      <c r="A16" s="9" t="s">
        <v>364</v>
      </c>
      <c r="B16" s="3"/>
      <c r="C16" s="3"/>
      <c r="D16" s="3"/>
      <c r="E16" s="3"/>
      <c r="F16" s="3"/>
      <c r="G16" s="3"/>
      <c r="H16" s="3"/>
      <c r="I16" s="3"/>
      <c r="J16" s="3"/>
      <c r="K16" s="3"/>
    </row>
    <row r="17" spans="1:11" x14ac:dyDescent="0.25">
      <c r="A17" t="s">
        <v>360</v>
      </c>
      <c r="B17" t="s">
        <v>362</v>
      </c>
      <c r="C17" t="s">
        <v>359</v>
      </c>
      <c r="D17" t="s">
        <v>361</v>
      </c>
    </row>
    <row r="18" spans="1:11" x14ac:dyDescent="0.25">
      <c r="A18" t="s">
        <v>358</v>
      </c>
      <c r="B18">
        <v>0</v>
      </c>
      <c r="C18" s="10">
        <f>IF(COUNT($B$18:$B18)&lt;=$O$1+1,INDEX('Environmental Performance'!$B$3:$L$3,1,MATCH(Graphs!B18,'Environmental Performance'!$B$1:$L$1,0)),NA())</f>
        <v>898.29849839716553</v>
      </c>
      <c r="D18" s="118">
        <f>IF(C18="","",IF(OR(COUNT($C$18:$C18)-1=$O$1,COUNT($C$18:$C19)-1=$O$1),C18,NA()))</f>
        <v>898.29849839716553</v>
      </c>
    </row>
    <row r="19" spans="1:11" x14ac:dyDescent="0.25">
      <c r="A19" t="s">
        <v>37</v>
      </c>
      <c r="B19">
        <v>1</v>
      </c>
      <c r="C19" s="10" t="e">
        <f>IF(COUNT($B$18:$B19)&lt;=$O$1+1,INDEX('Environmental Performance'!$B$3:$L$3,1,MATCH(Graphs!B19,'Environmental Performance'!$B$1:$L$1,0)),NA())</f>
        <v>#N/A</v>
      </c>
      <c r="D19" s="118" t="e">
        <f>IF(C19="","",IF(OR(COUNT($C$18:$C19)-1=$O$1,COUNT($C$18:$C20)-1=$O$1),C19,NA()))</f>
        <v>#N/A</v>
      </c>
    </row>
    <row r="20" spans="1:11" x14ac:dyDescent="0.25">
      <c r="A20" t="s">
        <v>72</v>
      </c>
      <c r="B20">
        <v>2</v>
      </c>
      <c r="C20" s="10" t="e">
        <f>IF(COUNT($B$18:$B20)&lt;=$O$1+1,INDEX('Environmental Performance'!$B$3:$L$3,1,MATCH(Graphs!B20,'Environmental Performance'!$B$1:$L$1,0)),NA())</f>
        <v>#N/A</v>
      </c>
      <c r="D20" s="118" t="e">
        <f>IF(C20="","",IF(OR(COUNT($C$18:$C20)-1=$O$1,COUNT($C$18:$C21)-1=$O$1),C20,NA()))</f>
        <v>#N/A</v>
      </c>
    </row>
    <row r="21" spans="1:11" x14ac:dyDescent="0.25">
      <c r="A21" t="s">
        <v>73</v>
      </c>
      <c r="B21">
        <v>3</v>
      </c>
      <c r="C21" s="10" t="e">
        <f>IF(COUNT($B$18:$B21)&lt;=$O$1+1,INDEX('Environmental Performance'!$B$3:$L$3,1,MATCH(Graphs!B21,'Environmental Performance'!$B$1:$L$1,0)),NA())</f>
        <v>#N/A</v>
      </c>
      <c r="D21" s="118" t="e">
        <f>IF(C21="","",IF(OR(COUNT($C$18:$C21)-1=$O$1,COUNT($C$18:$C22)-1=$O$1),C21,NA()))</f>
        <v>#N/A</v>
      </c>
    </row>
    <row r="22" spans="1:11" x14ac:dyDescent="0.25">
      <c r="A22" t="s">
        <v>74</v>
      </c>
      <c r="B22">
        <v>4</v>
      </c>
      <c r="C22" s="10" t="e">
        <f>IF(COUNT($B$18:$B22)&lt;=$O$1+1,INDEX('Environmental Performance'!$B$3:$L$3,1,MATCH(Graphs!B22,'Environmental Performance'!$B$1:$L$1,0)),NA())</f>
        <v>#N/A</v>
      </c>
      <c r="D22" s="118" t="e">
        <f>IF(C22="","",IF(OR(COUNT($C$18:$C22)-1=$O$1,COUNT($C$18:$C23)-1=$O$1),C22,NA()))</f>
        <v>#N/A</v>
      </c>
    </row>
    <row r="23" spans="1:11" x14ac:dyDescent="0.25">
      <c r="A23" t="s">
        <v>75</v>
      </c>
      <c r="B23">
        <v>5</v>
      </c>
      <c r="C23" s="10" t="e">
        <f>IF(COUNT($B$18:$B23)&lt;=$O$1+1,INDEX('Environmental Performance'!$B$3:$L$3,1,MATCH(Graphs!B23,'Environmental Performance'!$B$1:$L$1,0)),NA())</f>
        <v>#N/A</v>
      </c>
      <c r="D23" s="118" t="e">
        <f>IF(C23="","",IF(OR(COUNT($C$18:$C23)-1=$O$1,COUNT($C$18:$C24)-1=$O$1),C23,NA()))</f>
        <v>#N/A</v>
      </c>
    </row>
    <row r="24" spans="1:11" x14ac:dyDescent="0.25">
      <c r="A24" t="s">
        <v>272</v>
      </c>
      <c r="B24">
        <v>6</v>
      </c>
      <c r="C24" s="10" t="e">
        <f>IF(COUNT($B$18:$B24)&lt;=$O$1+1,INDEX('Environmental Performance'!$B$3:$L$3,1,MATCH(Graphs!B24,'Environmental Performance'!$B$1:$L$1,0)),NA())</f>
        <v>#N/A</v>
      </c>
      <c r="D24" s="118" t="e">
        <f>IF(C24="","",IF(OR(COUNT($C$18:$C24)-1=$O$1,COUNT($C$18:$C25)-1=$O$1),C24,NA()))</f>
        <v>#N/A</v>
      </c>
    </row>
    <row r="25" spans="1:11" x14ac:dyDescent="0.25">
      <c r="A25" t="s">
        <v>273</v>
      </c>
      <c r="B25">
        <v>7</v>
      </c>
      <c r="C25" s="10" t="e">
        <f>IF(COUNT($B$18:$B25)&lt;=$O$1+1,INDEX('Environmental Performance'!$B$3:$L$3,1,MATCH(Graphs!B25,'Environmental Performance'!$B$1:$L$1,0)),NA())</f>
        <v>#N/A</v>
      </c>
      <c r="D25" s="118" t="e">
        <f>IF(C25="","",IF(OR(COUNT($C$18:$C25)-1=$O$1,COUNT($C$18:$C26)-1=$O$1),C25,NA()))</f>
        <v>#N/A</v>
      </c>
    </row>
    <row r="26" spans="1:11" x14ac:dyDescent="0.25">
      <c r="A26" t="s">
        <v>274</v>
      </c>
      <c r="B26">
        <v>8</v>
      </c>
      <c r="C26" s="10" t="e">
        <f>IF(COUNT($B$18:$B26)&lt;=$O$1+1,INDEX('Environmental Performance'!$B$3:$L$3,1,MATCH(Graphs!B26,'Environmental Performance'!$B$1:$L$1,0)),NA())</f>
        <v>#N/A</v>
      </c>
      <c r="D26" s="118" t="e">
        <f>IF(C26="","",IF(OR(COUNT($C$18:$C26)-1=$O$1,COUNT($C$18:$C27)-1=$O$1),C26,NA()))</f>
        <v>#N/A</v>
      </c>
    </row>
    <row r="27" spans="1:11" x14ac:dyDescent="0.25">
      <c r="A27" t="s">
        <v>275</v>
      </c>
      <c r="B27">
        <v>9</v>
      </c>
      <c r="C27" s="10" t="e">
        <f>IF(COUNT($B$18:$B27)&lt;=$O$1+1,INDEX('Environmental Performance'!$B$3:$L$3,1,MATCH(Graphs!B27,'Environmental Performance'!$B$1:$L$1,0)),NA())</f>
        <v>#N/A</v>
      </c>
      <c r="D27" s="118" t="e">
        <f>IF(C27="","",IF(OR(COUNT($C$18:$C27)-1=$O$1,COUNT($C$18:$C28)-1=$O$1),C27,NA()))</f>
        <v>#N/A</v>
      </c>
    </row>
    <row r="28" spans="1:11" x14ac:dyDescent="0.25">
      <c r="A28" t="s">
        <v>276</v>
      </c>
      <c r="B28">
        <v>10</v>
      </c>
      <c r="C28" s="10" t="e">
        <f>IF(COUNT($B$18:$B28)&lt;=$O$1+1,INDEX('Environmental Performance'!$B$3:$L$3,1,MATCH(Graphs!B28,'Environmental Performance'!$B$1:$L$1,0)),NA())</f>
        <v>#N/A</v>
      </c>
      <c r="D28" s="118" t="e">
        <f>IF(C28="","",IF(OR(COUNT($C$18:$C28)-1=$O$1,COUNT($C$18:$C29)-1=$O$1),C28,NA()))</f>
        <v>#N/A</v>
      </c>
    </row>
    <row r="32" spans="1:11" x14ac:dyDescent="0.25">
      <c r="A32" s="9" t="s">
        <v>401</v>
      </c>
      <c r="B32" s="3"/>
      <c r="C32" s="3"/>
      <c r="D32" s="3"/>
      <c r="E32" s="3"/>
      <c r="F32" s="3"/>
      <c r="G32" s="3"/>
      <c r="H32" s="3"/>
      <c r="I32" s="3"/>
      <c r="J32" s="3"/>
      <c r="K32" s="3"/>
    </row>
    <row r="33" spans="1:4" x14ac:dyDescent="0.25">
      <c r="A33" t="s">
        <v>360</v>
      </c>
      <c r="B33" t="s">
        <v>362</v>
      </c>
      <c r="C33" t="s">
        <v>359</v>
      </c>
      <c r="D33" t="s">
        <v>361</v>
      </c>
    </row>
    <row r="34" spans="1:4" x14ac:dyDescent="0.25">
      <c r="A34" t="s">
        <v>358</v>
      </c>
      <c r="B34">
        <v>0</v>
      </c>
      <c r="C34" s="153">
        <f>IF(COUNT($B$34:$B34)&lt;=$O$1+1,INDEX('Utility Revenue'!$B$150:$L$150,1,MATCH(Graphs!B34,'Utility Revenue'!$B$6:$L$6,0)),NA())</f>
        <v>4.2433290121337892</v>
      </c>
      <c r="D34" s="154">
        <f>IF(C34="","",IF(OR(COUNT($C$34:$C34)-1=$O$1,COUNT($C$34:$C35)-1=$O$1),C34,NA()))</f>
        <v>4.2433290121337892</v>
      </c>
    </row>
    <row r="35" spans="1:4" x14ac:dyDescent="0.25">
      <c r="A35" t="s">
        <v>37</v>
      </c>
      <c r="B35">
        <v>1</v>
      </c>
      <c r="C35" s="153" t="e">
        <f>IF(COUNT($B$34:$B35)&lt;=$O$1+1,INDEX('Utility Revenue'!$B$150:$L$150,1,MATCH(Graphs!B35,'Utility Revenue'!$B$6:$L$6,0)),NA())</f>
        <v>#N/A</v>
      </c>
      <c r="D35" s="154" t="e">
        <f>IF(C35="","",IF(OR(COUNT($C$34:$C35)-1=$O$1,COUNT($C$34:$C36)-1=$O$1),C35,NA()))</f>
        <v>#N/A</v>
      </c>
    </row>
    <row r="36" spans="1:4" x14ac:dyDescent="0.25">
      <c r="A36" t="s">
        <v>72</v>
      </c>
      <c r="B36">
        <v>2</v>
      </c>
      <c r="C36" s="153" t="e">
        <f>IF(COUNT($B$34:$B36)&lt;=$O$1+1,INDEX('Utility Revenue'!$B$150:$L$150,1,MATCH(Graphs!B36,'Utility Revenue'!$B$6:$L$6,0)),NA())</f>
        <v>#N/A</v>
      </c>
      <c r="D36" s="154" t="e">
        <f>IF(C36="","",IF(OR(COUNT($C$34:$C36)-1=$O$1,COUNT($C$34:$C37)-1=$O$1),C36,NA()))</f>
        <v>#N/A</v>
      </c>
    </row>
    <row r="37" spans="1:4" x14ac:dyDescent="0.25">
      <c r="A37" t="s">
        <v>73</v>
      </c>
      <c r="B37">
        <v>3</v>
      </c>
      <c r="C37" s="153" t="e">
        <f>IF(COUNT($B$34:$B37)&lt;=$O$1+1,INDEX('Utility Revenue'!$B$150:$L$150,1,MATCH(Graphs!B37,'Utility Revenue'!$B$6:$L$6,0)),NA())</f>
        <v>#N/A</v>
      </c>
      <c r="D37" s="154" t="e">
        <f>IF(C37="","",IF(OR(COUNT($C$34:$C37)-1=$O$1,COUNT($C$34:$C38)-1=$O$1),C37,NA()))</f>
        <v>#N/A</v>
      </c>
    </row>
    <row r="38" spans="1:4" x14ac:dyDescent="0.25">
      <c r="A38" t="s">
        <v>74</v>
      </c>
      <c r="B38">
        <v>4</v>
      </c>
      <c r="C38" s="153" t="e">
        <f>IF(COUNT($B$34:$B38)&lt;=$O$1+1,INDEX('Utility Revenue'!$B$150:$L$150,1,MATCH(Graphs!B38,'Utility Revenue'!$B$6:$L$6,0)),NA())</f>
        <v>#N/A</v>
      </c>
      <c r="D38" s="154" t="e">
        <f>IF(C38="","",IF(OR(COUNT($C$34:$C38)-1=$O$1,COUNT($C$34:$C39)-1=$O$1),C38,NA()))</f>
        <v>#N/A</v>
      </c>
    </row>
    <row r="39" spans="1:4" x14ac:dyDescent="0.25">
      <c r="A39" t="s">
        <v>75</v>
      </c>
      <c r="B39">
        <v>5</v>
      </c>
      <c r="C39" s="153" t="e">
        <f>IF(COUNT($B$34:$B39)&lt;=$O$1+1,INDEX('Utility Revenue'!$B$150:$L$150,1,MATCH(Graphs!B39,'Utility Revenue'!$B$6:$L$6,0)),NA())</f>
        <v>#N/A</v>
      </c>
      <c r="D39" s="154" t="e">
        <f>IF(C39="","",IF(OR(COUNT($C$34:$C39)-1=$O$1,COUNT($C$34:$C40)-1=$O$1),C39,NA()))</f>
        <v>#N/A</v>
      </c>
    </row>
    <row r="40" spans="1:4" x14ac:dyDescent="0.25">
      <c r="A40" t="s">
        <v>272</v>
      </c>
      <c r="B40">
        <v>6</v>
      </c>
      <c r="C40" s="153" t="e">
        <f>IF(COUNT($B$34:$B40)&lt;=$O$1+1,INDEX('Utility Revenue'!$B$150:$L$150,1,MATCH(Graphs!B40,'Utility Revenue'!$B$6:$L$6,0)),NA())</f>
        <v>#N/A</v>
      </c>
      <c r="D40" s="154" t="e">
        <f>IF(C40="","",IF(OR(COUNT($C$34:$C40)-1=$O$1,COUNT($C$34:$C41)-1=$O$1),C40,NA()))</f>
        <v>#N/A</v>
      </c>
    </row>
    <row r="41" spans="1:4" x14ac:dyDescent="0.25">
      <c r="A41" t="s">
        <v>273</v>
      </c>
      <c r="B41">
        <v>7</v>
      </c>
      <c r="C41" s="153" t="e">
        <f>IF(COUNT($B$34:$B41)&lt;=$O$1+1,INDEX('Utility Revenue'!$B$150:$L$150,1,MATCH(Graphs!B41,'Utility Revenue'!$B$6:$L$6,0)),NA())</f>
        <v>#N/A</v>
      </c>
      <c r="D41" s="154" t="e">
        <f>IF(C41="","",IF(OR(COUNT($C$34:$C41)-1=$O$1,COUNT($C$34:$C42)-1=$O$1),C41,NA()))</f>
        <v>#N/A</v>
      </c>
    </row>
    <row r="42" spans="1:4" x14ac:dyDescent="0.25">
      <c r="A42" t="s">
        <v>274</v>
      </c>
      <c r="B42">
        <v>8</v>
      </c>
      <c r="C42" s="153" t="e">
        <f>IF(COUNT($B$34:$B42)&lt;=$O$1+1,INDEX('Utility Revenue'!$B$150:$L$150,1,MATCH(Graphs!B42,'Utility Revenue'!$B$6:$L$6,0)),NA())</f>
        <v>#N/A</v>
      </c>
      <c r="D42" s="154" t="e">
        <f>IF(C42="","",IF(OR(COUNT($C$34:$C42)-1=$O$1,COUNT($C$34:$C43)-1=$O$1),C42,NA()))</f>
        <v>#N/A</v>
      </c>
    </row>
    <row r="43" spans="1:4" x14ac:dyDescent="0.25">
      <c r="A43" t="s">
        <v>275</v>
      </c>
      <c r="B43">
        <v>9</v>
      </c>
      <c r="C43" s="153" t="e">
        <f>IF(COUNT($B$34:$B43)&lt;=$O$1+1,INDEX('Utility Revenue'!$B$150:$L$150,1,MATCH(Graphs!B43,'Utility Revenue'!$B$6:$L$6,0)),NA())</f>
        <v>#N/A</v>
      </c>
      <c r="D43" s="154" t="e">
        <f>IF(C43="","",IF(OR(COUNT($C$34:$C43)-1=$O$1,COUNT($C$34:$C44)-1=$O$1),C43,NA()))</f>
        <v>#N/A</v>
      </c>
    </row>
    <row r="44" spans="1:4" x14ac:dyDescent="0.25">
      <c r="A44" t="s">
        <v>276</v>
      </c>
      <c r="B44">
        <v>10</v>
      </c>
      <c r="C44" s="153" t="e">
        <f>IF(COUNT($B$34:$B44)&lt;=$O$1+1,INDEX('Utility Revenue'!$B$150:$L$150,1,MATCH(Graphs!B44,'Utility Revenue'!$B$6:$L$6,0)),NA())</f>
        <v>#N/A</v>
      </c>
      <c r="D44" s="154" t="e">
        <f>IF(C44="","",IF(OR(COUNT($C$34:$C44)-1=$O$1,COUNT($C$34:$C45)-1=$O$1),C44,NA()))</f>
        <v>#N/A</v>
      </c>
    </row>
    <row r="49" spans="1:11" x14ac:dyDescent="0.25">
      <c r="A49" s="9" t="s">
        <v>141</v>
      </c>
      <c r="B49" s="3"/>
      <c r="C49" s="3"/>
      <c r="D49" s="3"/>
      <c r="E49" s="3"/>
      <c r="F49" s="3"/>
      <c r="G49" s="3"/>
      <c r="H49" s="3"/>
      <c r="I49" s="3"/>
      <c r="J49" s="3"/>
      <c r="K49" s="3"/>
    </row>
    <row r="50" spans="1:11" x14ac:dyDescent="0.25">
      <c r="A50" t="s">
        <v>360</v>
      </c>
      <c r="B50" t="s">
        <v>362</v>
      </c>
      <c r="C50" t="s">
        <v>359</v>
      </c>
      <c r="D50" t="s">
        <v>361</v>
      </c>
    </row>
    <row r="51" spans="1:11" x14ac:dyDescent="0.25">
      <c r="A51" t="s">
        <v>358</v>
      </c>
      <c r="B51">
        <v>0</v>
      </c>
      <c r="C51" s="16">
        <f>IF(COUNT($B$34:$B34)&lt;=$O$1+1,INDEX(Reliability!$B$95:$L$95,1,MATCH(Graphs!B34,Reliability!$B$94:$L$94,0)),NA())</f>
        <v>287</v>
      </c>
      <c r="D51" s="147">
        <f>IF(C51="","",IF(OR(COUNT($C$51:$C51)-1=$O$1,COUNT($C$51:$C52)-1=$O$1),C51,NA()))</f>
        <v>287</v>
      </c>
    </row>
    <row r="52" spans="1:11" x14ac:dyDescent="0.25">
      <c r="A52" t="s">
        <v>37</v>
      </c>
      <c r="B52">
        <v>1</v>
      </c>
      <c r="C52" s="16" t="e">
        <f>IF(COUNT($B$34:$B35)&lt;=$O$1+1,INDEX(Reliability!$B$95:$L$95,1,MATCH(Graphs!B35,Reliability!$B$94:$L$94,0)),NA())</f>
        <v>#N/A</v>
      </c>
      <c r="D52" s="147" t="e">
        <f>IF(C52="","",IF(OR(COUNT($C$51:$C52)-1=$O$1,COUNT($C$51:$C53)-1=$O$1),C52,NA()))</f>
        <v>#N/A</v>
      </c>
    </row>
    <row r="53" spans="1:11" x14ac:dyDescent="0.25">
      <c r="A53" t="s">
        <v>72</v>
      </c>
      <c r="B53">
        <v>2</v>
      </c>
      <c r="C53" s="16" t="e">
        <f>IF(COUNT($B$34:$B36)&lt;=$O$1+1,INDEX(Reliability!$B$95:$L$95,1,MATCH(Graphs!B36,Reliability!$B$94:$L$94,0)),NA())</f>
        <v>#N/A</v>
      </c>
      <c r="D53" s="147" t="e">
        <f>IF(C53="","",IF(OR(COUNT($C$51:$C53)-1=$O$1,COUNT($C$51:$C54)-1=$O$1),C53,NA()))</f>
        <v>#N/A</v>
      </c>
    </row>
    <row r="54" spans="1:11" x14ac:dyDescent="0.25">
      <c r="A54" t="s">
        <v>73</v>
      </c>
      <c r="B54">
        <v>3</v>
      </c>
      <c r="C54" s="16" t="e">
        <f>IF(COUNT($B$34:$B37)&lt;=$O$1+1,INDEX(Reliability!$B$95:$L$95,1,MATCH(Graphs!B37,Reliability!$B$94:$L$94,0)),NA())</f>
        <v>#N/A</v>
      </c>
      <c r="D54" s="147" t="e">
        <f>IF(C54="","",IF(OR(COUNT($C$51:$C54)-1=$O$1,COUNT($C$51:$C55)-1=$O$1),C54,NA()))</f>
        <v>#N/A</v>
      </c>
    </row>
    <row r="55" spans="1:11" x14ac:dyDescent="0.25">
      <c r="A55" t="s">
        <v>74</v>
      </c>
      <c r="B55">
        <v>4</v>
      </c>
      <c r="C55" s="16" t="e">
        <f>IF(COUNT($B$34:$B38)&lt;=$O$1+1,INDEX(Reliability!$B$95:$L$95,1,MATCH(Graphs!B38,Reliability!$B$94:$L$94,0)),NA())</f>
        <v>#N/A</v>
      </c>
      <c r="D55" s="147" t="e">
        <f>IF(C55="","",IF(OR(COUNT($C$51:$C55)-1=$O$1,COUNT($C$51:$C56)-1=$O$1),C55,NA()))</f>
        <v>#N/A</v>
      </c>
    </row>
    <row r="56" spans="1:11" x14ac:dyDescent="0.25">
      <c r="A56" t="s">
        <v>75</v>
      </c>
      <c r="B56">
        <v>5</v>
      </c>
      <c r="C56" s="16" t="e">
        <f>IF(COUNT($B$34:$B39)&lt;=$O$1+1,INDEX(Reliability!$B$95:$L$95,1,MATCH(Graphs!B39,Reliability!$B$94:$L$94,0)),NA())</f>
        <v>#N/A</v>
      </c>
      <c r="D56" s="147" t="e">
        <f>IF(C56="","",IF(OR(COUNT($C$51:$C56)-1=$O$1,COUNT($C$51:$C57)-1=$O$1),C56,NA()))</f>
        <v>#N/A</v>
      </c>
    </row>
    <row r="57" spans="1:11" x14ac:dyDescent="0.25">
      <c r="A57" t="s">
        <v>272</v>
      </c>
      <c r="B57">
        <v>6</v>
      </c>
      <c r="C57" s="16" t="e">
        <f>IF(COUNT($B$34:$B40)&lt;=$O$1+1,INDEX(Reliability!$B$95:$L$95,1,MATCH(Graphs!B40,Reliability!$B$94:$L$94,0)),NA())</f>
        <v>#N/A</v>
      </c>
      <c r="D57" s="147" t="e">
        <f>IF(C57="","",IF(OR(COUNT($C$51:$C57)-1=$O$1,COUNT($C$51:$C58)-1=$O$1),C57,NA()))</f>
        <v>#N/A</v>
      </c>
    </row>
    <row r="58" spans="1:11" x14ac:dyDescent="0.25">
      <c r="A58" t="s">
        <v>273</v>
      </c>
      <c r="B58">
        <v>7</v>
      </c>
      <c r="C58" s="16" t="e">
        <f>IF(COUNT($B$34:$B41)&lt;=$O$1+1,INDEX(Reliability!$B$95:$L$95,1,MATCH(Graphs!B41,Reliability!$B$94:$L$94,0)),NA())</f>
        <v>#N/A</v>
      </c>
      <c r="D58" s="147" t="e">
        <f>IF(C58="","",IF(OR(COUNT($C$51:$C58)-1=$O$1,COUNT($C$51:$C59)-1=$O$1),C58,NA()))</f>
        <v>#N/A</v>
      </c>
    </row>
    <row r="59" spans="1:11" x14ac:dyDescent="0.25">
      <c r="A59" t="s">
        <v>274</v>
      </c>
      <c r="B59">
        <v>8</v>
      </c>
      <c r="C59" s="16" t="e">
        <f>IF(COUNT($B$34:$B42)&lt;=$O$1+1,INDEX(Reliability!$B$95:$L$95,1,MATCH(Graphs!B42,Reliability!$B$94:$L$94,0)),NA())</f>
        <v>#N/A</v>
      </c>
      <c r="D59" s="147" t="e">
        <f>IF(C59="","",IF(OR(COUNT($C$51:$C59)-1=$O$1,COUNT($C$51:$C60)-1=$O$1),C59,NA()))</f>
        <v>#N/A</v>
      </c>
    </row>
    <row r="60" spans="1:11" x14ac:dyDescent="0.25">
      <c r="A60" t="s">
        <v>275</v>
      </c>
      <c r="B60">
        <v>9</v>
      </c>
      <c r="C60" s="16" t="e">
        <f>IF(COUNT($B$34:$B43)&lt;=$O$1+1,INDEX(Reliability!$B$95:$L$95,1,MATCH(Graphs!B43,Reliability!$B$94:$L$94,0)),NA())</f>
        <v>#N/A</v>
      </c>
      <c r="D60" s="147" t="e">
        <f>IF(C60="","",IF(OR(COUNT($C$51:$C60)-1=$O$1,COUNT($C$51:$C61)-1=$O$1),C60,NA()))</f>
        <v>#N/A</v>
      </c>
    </row>
    <row r="61" spans="1:11" x14ac:dyDescent="0.25">
      <c r="A61" t="s">
        <v>276</v>
      </c>
      <c r="B61">
        <v>10</v>
      </c>
      <c r="C61" s="16" t="e">
        <f>IF(COUNT($B$34:$B44)&lt;=$O$1+1,INDEX(Reliability!$B$95:$L$95,1,MATCH(Graphs!B44,Reliability!$B$94:$L$94,0)),NA())</f>
        <v>#N/A</v>
      </c>
      <c r="D61" s="147" t="e">
        <f>IF(C61="","",IF(OR(COUNT($C$51:$C61)-1=$O$1,COUNT($C$51:$C62)-1=$O$1),C61,NA()))</f>
        <v>#N/A</v>
      </c>
    </row>
    <row r="65" spans="1:11" x14ac:dyDescent="0.25">
      <c r="A65" s="9" t="s">
        <v>389</v>
      </c>
      <c r="B65" s="3"/>
      <c r="C65" s="3"/>
      <c r="D65" s="3"/>
      <c r="E65" s="3"/>
      <c r="F65" s="3"/>
      <c r="G65" s="3"/>
      <c r="H65" s="3"/>
      <c r="I65" s="3"/>
      <c r="J65" s="3"/>
      <c r="K65" s="3"/>
    </row>
    <row r="66" spans="1:11" x14ac:dyDescent="0.25">
      <c r="A66" t="s">
        <v>7</v>
      </c>
      <c r="B66">
        <f>Dispatch!B153</f>
        <v>2628000</v>
      </c>
    </row>
    <row r="67" spans="1:11" x14ac:dyDescent="0.25">
      <c r="A67" t="s">
        <v>8</v>
      </c>
      <c r="B67">
        <f>Dispatch!B154</f>
        <v>1930680</v>
      </c>
      <c r="C67" s="16"/>
      <c r="D67" s="147"/>
    </row>
    <row r="68" spans="1:11" x14ac:dyDescent="0.25">
      <c r="A68" t="s">
        <v>13</v>
      </c>
      <c r="B68">
        <f>Dispatch!B155</f>
        <v>3942000</v>
      </c>
      <c r="C68" s="16"/>
      <c r="D68" s="147"/>
    </row>
    <row r="69" spans="1:11" x14ac:dyDescent="0.25">
      <c r="A69" t="s">
        <v>9</v>
      </c>
      <c r="B69">
        <f>Dispatch!B156</f>
        <v>65700</v>
      </c>
      <c r="C69" s="16"/>
      <c r="D69" s="147"/>
    </row>
    <row r="70" spans="1:11" x14ac:dyDescent="0.25">
      <c r="A70" t="s">
        <v>10</v>
      </c>
      <c r="B70">
        <f>Dispatch!B157</f>
        <v>78840</v>
      </c>
      <c r="C70" s="16"/>
      <c r="D70" s="147"/>
    </row>
    <row r="71" spans="1:11" x14ac:dyDescent="0.25">
      <c r="A71" t="s">
        <v>11</v>
      </c>
      <c r="B71">
        <f>Dispatch!B158</f>
        <v>157680</v>
      </c>
      <c r="C71" s="16"/>
      <c r="D71" s="147"/>
    </row>
    <row r="72" spans="1:11" x14ac:dyDescent="0.25">
      <c r="C72" s="16"/>
      <c r="D72" s="147"/>
    </row>
    <row r="73" spans="1:11" x14ac:dyDescent="0.25">
      <c r="C73" s="16"/>
      <c r="D73" s="147"/>
    </row>
    <row r="74" spans="1:11" x14ac:dyDescent="0.25">
      <c r="C74" s="16"/>
      <c r="D74" s="147"/>
    </row>
    <row r="75" spans="1:11" x14ac:dyDescent="0.25">
      <c r="C75" s="16"/>
      <c r="D75" s="147"/>
    </row>
    <row r="76" spans="1:11" x14ac:dyDescent="0.25">
      <c r="C76" s="16"/>
      <c r="D76" s="147"/>
    </row>
    <row r="77" spans="1:11" x14ac:dyDescent="0.25">
      <c r="C77" s="16"/>
      <c r="D77" s="147"/>
    </row>
    <row r="81" spans="1:11" x14ac:dyDescent="0.25">
      <c r="A81" s="9" t="s">
        <v>390</v>
      </c>
      <c r="B81" s="3"/>
      <c r="C81" s="3"/>
      <c r="D81" s="3"/>
      <c r="E81" s="3"/>
      <c r="F81" s="3"/>
      <c r="G81" s="3"/>
      <c r="H81" s="3"/>
      <c r="I81" s="3"/>
      <c r="J81" s="3"/>
      <c r="K81" s="3"/>
    </row>
    <row r="82" spans="1:11" x14ac:dyDescent="0.25">
      <c r="A82" t="s">
        <v>360</v>
      </c>
      <c r="B82" t="s">
        <v>362</v>
      </c>
      <c r="C82" t="s">
        <v>359</v>
      </c>
      <c r="D82" t="s">
        <v>361</v>
      </c>
      <c r="E82" t="s">
        <v>391</v>
      </c>
    </row>
    <row r="83" spans="1:11" x14ac:dyDescent="0.25">
      <c r="A83" t="s">
        <v>358</v>
      </c>
      <c r="B83">
        <v>0</v>
      </c>
      <c r="C83" s="5">
        <f>IF(COUNT($B$34:$B34)&lt;=$O$1+1,INDEX(Reliability!$B$89:$L$89,1,MATCH(Graphs!B34,Reliability!$B$88:$L$88,0)),NA())</f>
        <v>0.17384000000000022</v>
      </c>
      <c r="D83" s="5">
        <f>IF(C83="","",IF(OR(COUNT($C$83:$C83)-1=$O$1,COUNT($C$83:$C84)-1=$O$1),C83,NA()))</f>
        <v>0.17384000000000022</v>
      </c>
      <c r="E83" s="18">
        <v>0.15</v>
      </c>
    </row>
    <row r="84" spans="1:11" x14ac:dyDescent="0.25">
      <c r="A84" t="s">
        <v>37</v>
      </c>
      <c r="B84">
        <v>1</v>
      </c>
      <c r="C84" s="5" t="e">
        <f>IF(COUNT($B$34:$B35)&lt;=$O$1+1,INDEX(Reliability!$B$89:$L$89,1,MATCH(Graphs!B35,Reliability!$B$88:$L$88,0)),NA())</f>
        <v>#N/A</v>
      </c>
      <c r="D84" s="5" t="e">
        <f>IF(C84="","",IF(OR(COUNT($C$83:$C84)-1=$O$1,COUNT($C$83:$C85)-1=$O$1),C84,NA()))</f>
        <v>#N/A</v>
      </c>
      <c r="E84" s="18">
        <v>0.15</v>
      </c>
    </row>
    <row r="85" spans="1:11" x14ac:dyDescent="0.25">
      <c r="A85" t="s">
        <v>72</v>
      </c>
      <c r="B85">
        <v>2</v>
      </c>
      <c r="C85" s="5" t="e">
        <f>IF(COUNT($B$34:$B36)&lt;=$O$1+1,INDEX(Reliability!$B$89:$L$89,1,MATCH(Graphs!B36,Reliability!$B$88:$L$88,0)),NA())</f>
        <v>#N/A</v>
      </c>
      <c r="D85" s="5" t="e">
        <f>IF(C85="","",IF(OR(COUNT($C$83:$C85)-1=$O$1,COUNT($C$83:$C86)-1=$O$1),C85,NA()))</f>
        <v>#N/A</v>
      </c>
      <c r="E85" s="18">
        <v>0.15</v>
      </c>
    </row>
    <row r="86" spans="1:11" x14ac:dyDescent="0.25">
      <c r="A86" t="s">
        <v>73</v>
      </c>
      <c r="B86">
        <v>3</v>
      </c>
      <c r="C86" s="5" t="e">
        <f>IF(COUNT($B$34:$B37)&lt;=$O$1+1,INDEX(Reliability!$B$89:$L$89,1,MATCH(Graphs!B37,Reliability!$B$88:$L$88,0)),NA())</f>
        <v>#N/A</v>
      </c>
      <c r="D86" s="5" t="e">
        <f>IF(C86="","",IF(OR(COUNT($C$83:$C86)-1=$O$1,COUNT($C$83:$C87)-1=$O$1),C86,NA()))</f>
        <v>#N/A</v>
      </c>
      <c r="E86" s="18">
        <v>0.15</v>
      </c>
    </row>
    <row r="87" spans="1:11" x14ac:dyDescent="0.25">
      <c r="A87" t="s">
        <v>74</v>
      </c>
      <c r="B87">
        <v>4</v>
      </c>
      <c r="C87" s="5" t="e">
        <f>IF(COUNT($B$34:$B38)&lt;=$O$1+1,INDEX(Reliability!$B$89:$L$89,1,MATCH(Graphs!B38,Reliability!$B$88:$L$88,0)),NA())</f>
        <v>#N/A</v>
      </c>
      <c r="D87" s="5" t="e">
        <f>IF(C87="","",IF(OR(COUNT($C$83:$C87)-1=$O$1,COUNT($C$83:$C88)-1=$O$1),C87,NA()))</f>
        <v>#N/A</v>
      </c>
      <c r="E87" s="18">
        <v>0.15</v>
      </c>
    </row>
    <row r="88" spans="1:11" x14ac:dyDescent="0.25">
      <c r="A88" t="s">
        <v>75</v>
      </c>
      <c r="B88">
        <v>5</v>
      </c>
      <c r="C88" s="5" t="e">
        <f>IF(COUNT($B$34:$B39)&lt;=$O$1+1,INDEX(Reliability!$B$89:$L$89,1,MATCH(Graphs!B39,Reliability!$B$88:$L$88,0)),NA())</f>
        <v>#N/A</v>
      </c>
      <c r="D88" s="5" t="e">
        <f>IF(C88="","",IF(OR(COUNT($C$83:$C88)-1=$O$1,COUNT($C$83:$C89)-1=$O$1),C88,NA()))</f>
        <v>#N/A</v>
      </c>
      <c r="E88" s="18">
        <v>0.15</v>
      </c>
    </row>
    <row r="89" spans="1:11" x14ac:dyDescent="0.25">
      <c r="A89" t="s">
        <v>272</v>
      </c>
      <c r="B89">
        <v>6</v>
      </c>
      <c r="C89" s="5" t="e">
        <f>IF(COUNT($B$34:$B40)&lt;=$O$1+1,INDEX(Reliability!$B$89:$L$89,1,MATCH(Graphs!B40,Reliability!$B$88:$L$88,0)),NA())</f>
        <v>#N/A</v>
      </c>
      <c r="D89" s="5" t="e">
        <f>IF(C89="","",IF(OR(COUNT($C$83:$C89)-1=$O$1,COUNT($C$83:$C90)-1=$O$1),C89,NA()))</f>
        <v>#N/A</v>
      </c>
      <c r="E89" s="18">
        <v>0.15</v>
      </c>
    </row>
    <row r="90" spans="1:11" x14ac:dyDescent="0.25">
      <c r="A90" t="s">
        <v>273</v>
      </c>
      <c r="B90">
        <v>7</v>
      </c>
      <c r="C90" s="5" t="e">
        <f>IF(COUNT($B$34:$B41)&lt;=$O$1+1,INDEX(Reliability!$B$89:$L$89,1,MATCH(Graphs!B41,Reliability!$B$88:$L$88,0)),NA())</f>
        <v>#N/A</v>
      </c>
      <c r="D90" s="5" t="e">
        <f>IF(C90="","",IF(OR(COUNT($C$83:$C90)-1=$O$1,COUNT($C$83:$C91)-1=$O$1),C90,NA()))</f>
        <v>#N/A</v>
      </c>
      <c r="E90" s="18">
        <v>0.15</v>
      </c>
    </row>
    <row r="91" spans="1:11" x14ac:dyDescent="0.25">
      <c r="A91" t="s">
        <v>274</v>
      </c>
      <c r="B91">
        <v>8</v>
      </c>
      <c r="C91" s="5" t="e">
        <f>IF(COUNT($B$34:$B42)&lt;=$O$1+1,INDEX(Reliability!$B$89:$L$89,1,MATCH(Graphs!B42,Reliability!$B$88:$L$88,0)),NA())</f>
        <v>#N/A</v>
      </c>
      <c r="D91" s="5" t="e">
        <f>IF(C91="","",IF(OR(COUNT($C$83:$C91)-1=$O$1,COUNT($C$83:$C92)-1=$O$1),C91,NA()))</f>
        <v>#N/A</v>
      </c>
      <c r="E91" s="18">
        <v>0.15</v>
      </c>
    </row>
    <row r="92" spans="1:11" x14ac:dyDescent="0.25">
      <c r="A92" t="s">
        <v>275</v>
      </c>
      <c r="B92">
        <v>9</v>
      </c>
      <c r="C92" s="5" t="e">
        <f>IF(COUNT($B$34:$B43)&lt;=$O$1+1,INDEX(Reliability!$B$89:$L$89,1,MATCH(Graphs!B43,Reliability!$B$88:$L$88,0)),NA())</f>
        <v>#N/A</v>
      </c>
      <c r="D92" s="5" t="e">
        <f>IF(C92="","",IF(OR(COUNT($C$83:$C92)-1=$O$1,COUNT($C$83:$C93)-1=$O$1),C92,NA()))</f>
        <v>#N/A</v>
      </c>
      <c r="E92" s="18">
        <v>0.15</v>
      </c>
    </row>
    <row r="93" spans="1:11" x14ac:dyDescent="0.25">
      <c r="A93" t="s">
        <v>276</v>
      </c>
      <c r="B93">
        <v>10</v>
      </c>
      <c r="C93" s="5" t="e">
        <f>IF(COUNT($B$34:$B44)&lt;=$O$1+1,INDEX(Reliability!$B$89:$L$89,1,MATCH(Graphs!B44,Reliability!$B$88:$L$88,0)),NA())</f>
        <v>#N/A</v>
      </c>
      <c r="D93" s="5" t="e">
        <f>IF(C93="","",IF(OR(COUNT($C$83:$C93)-1=$O$1,COUNT($C$83:$C94)-1=$O$1),C93,NA()))</f>
        <v>#N/A</v>
      </c>
      <c r="E93" s="18">
        <v>0.15</v>
      </c>
    </row>
    <row r="96" spans="1:11" x14ac:dyDescent="0.25">
      <c r="A96" s="9" t="s">
        <v>402</v>
      </c>
      <c r="B96" s="3"/>
      <c r="C96" s="3"/>
      <c r="D96" s="3"/>
      <c r="E96" s="3"/>
      <c r="F96" s="3"/>
      <c r="G96" s="3"/>
      <c r="H96" s="3"/>
      <c r="I96" s="3"/>
      <c r="J96" s="3"/>
      <c r="K96" s="3"/>
    </row>
    <row r="97" spans="1:2" x14ac:dyDescent="0.25">
      <c r="A97" t="str">
        <f>CONCATENATE("Welcome to Round ", O1)</f>
        <v>Welcome to Round 0</v>
      </c>
    </row>
    <row r="99" spans="1:2" x14ac:dyDescent="0.25">
      <c r="A99" t="s">
        <v>403</v>
      </c>
    </row>
    <row r="101" spans="1:2" x14ac:dyDescent="0.25">
      <c r="A101" t="e">
        <f>CONCATENATE("Your average customer bill ",IF(INDEX($C$3:$C$13,Current_Round+1,1)&lt;INDEX($C$3:$C$13,Current_Round,1),"decreased by $","increased by $"), ROUND(ABS(INDEX($C$3:$C$13,Current_Round+1,1)-INDEX($C$3:$C$13,Current_Round,1)),2))</f>
        <v>#VALUE!</v>
      </c>
      <c r="B101" s="155" t="e">
        <f>IF(INDEX($C$3:$C$13,Current_Round+1,1)-INDEX($C$3:$C$13,Current_Round,1)&gt;0,"+","-")</f>
        <v>#VALUE!</v>
      </c>
    </row>
    <row r="103" spans="1:2" x14ac:dyDescent="0.25">
      <c r="A103" t="e">
        <f>CONCATENATE("Your average CO2 emissions rate ",IF(INDEX($C$18:$C$28,Current_Round+1,1)&lt;INDEX($C$18:$C$28,Current_Round,1),"decreased by ","increased by "), ROUND(ABS(INDEX($C$18:$C$28,Current_Round+1,1)-INDEX($C$18:$C$28,Current_Round,1)),0)," lbs/MWh")</f>
        <v>#VALUE!</v>
      </c>
      <c r="B103" s="155" t="e">
        <f>IF(INDEX($C$18:$C$28,Current_Round+1,1)-INDEX($C$18:$C$28,Current_Round,1)&gt;0,"+","-")</f>
        <v>#VALUE!</v>
      </c>
    </row>
    <row r="105" spans="1:2" x14ac:dyDescent="0.25">
      <c r="A105" t="e">
        <f>CONCATENATE("Your earnings per share ",IF(INDEX($C$34:$C$44,Current_Round+1,1)&lt;INDEX($C$34:$C$44,Current_Round,1),"decreased by $","increased by $"), ROUND(ABS(INDEX($C$34:$C$44,Current_Round+1,1)-INDEX($C$34:$C$44,Current_Round,1)),2))</f>
        <v>#VALUE!</v>
      </c>
      <c r="B105" s="155" t="e">
        <f>IF(INDEX($C$34:$C$44,Current_Round+1,1)-INDEX($C$34:$C$44,Current_Round,1)&gt;0,"+","-")</f>
        <v>#VALUE!</v>
      </c>
    </row>
    <row r="107" spans="1:2" x14ac:dyDescent="0.25">
      <c r="A107" t="e">
        <f>CONCATENATE("Your minutes of outages ",IF(INDEX($C$51:$C$61,Current_Round+1,1)&lt;INDEX($C$51:$C$61,Current_Round,1),"decreased by ","increased by "), ROUND(ABS(INDEX($C$51:$C$61,Current_Round+1,1)-INDEX($C$51:$C$61,Current_Round,1)),0))</f>
        <v>#VALUE!</v>
      </c>
      <c r="B107" s="155" t="e">
        <f>IF(INDEX($C$51:$C$61,Current_Round+1,1)-INDEX($C$51:$C$61,Current_Round,1)&gt;0,"+","-")</f>
        <v>#VALUE!</v>
      </c>
    </row>
    <row r="109" spans="1:2" x14ac:dyDescent="0.25">
      <c r="A109" t="str">
        <f>CONCATENATE("These resources are retiring in Round ",Current_Round,":")</f>
        <v>These resources are retiring in Round 0:</v>
      </c>
    </row>
    <row r="111" spans="1:2" x14ac:dyDescent="0.25">
      <c r="A111" t="str">
        <f>CONCATENATE("Coal: ",INDEX('Resource Mix and Demand'!$B$13:$L$21,1,Current_Round+1)," MW")</f>
        <v>Coal: 0 MW</v>
      </c>
    </row>
    <row r="113" spans="1:1" x14ac:dyDescent="0.25">
      <c r="A113" t="str">
        <f>CONCATENATE("Nuclear: ",INDEX('Resource Mix and Demand'!$B$13:$L$21,3,Current_Round+1)," MW")</f>
        <v>Nuclear: 0 MW</v>
      </c>
    </row>
    <row r="115" spans="1:1" x14ac:dyDescent="0.25">
      <c r="A115" t="s">
        <v>406</v>
      </c>
    </row>
    <row r="117" spans="1:1" x14ac:dyDescent="0.25">
      <c r="A117" t="str">
        <f>CONCATENATE("Solar PV: ",MAX(0,ROUND(INDEX(Reliability!$B$55:$L$55,1,MATCH(Current_Round,Reliability!$B$54:$L$54,0))-INDEX(Reliability!$B$59:$L$59,1,MATCH(Current_Round,Reliability!$B$58:$L$58,0)),0))," MW")</f>
        <v>Solar PV: 582 MW</v>
      </c>
    </row>
    <row r="119" spans="1:1" x14ac:dyDescent="0.25">
      <c r="A119" t="str">
        <f>CONCATENATE("Wind: ",MAX(0,ROUND(INDEX(Reliability!$B$55:$L$55,1,MATCH(Current_Round,Reliability!$B$54:$L$54,0))-INDEX(Reliability!$B$60:$L$60,1,MATCH(Current_Round,Reliability!$B$58:$L$58,0)),0))," MW")</f>
        <v>Wind: 602 MW</v>
      </c>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tabColor theme="5" tint="0.39997558519241921"/>
  </sheetPr>
  <dimension ref="A1:F53"/>
  <sheetViews>
    <sheetView workbookViewId="0">
      <selection activeCell="F2" sqref="F2"/>
    </sheetView>
  </sheetViews>
  <sheetFormatPr defaultRowHeight="15" x14ac:dyDescent="0.25"/>
  <cols>
    <col min="1" max="1" width="50.7109375" bestFit="1" customWidth="1"/>
    <col min="2" max="2" width="10.28515625" customWidth="1"/>
    <col min="3" max="3" width="15.140625" bestFit="1" customWidth="1"/>
    <col min="5" max="5" width="25.5703125" bestFit="1" customWidth="1"/>
  </cols>
  <sheetData>
    <row r="1" spans="1:6" ht="15.75" thickBot="1" x14ac:dyDescent="0.3">
      <c r="A1" s="9" t="s">
        <v>77</v>
      </c>
      <c r="B1" s="9"/>
      <c r="C1" s="160" t="s">
        <v>423</v>
      </c>
      <c r="E1" s="104" t="s">
        <v>76</v>
      </c>
      <c r="F1" s="104">
        <f>Current_Round</f>
        <v>0</v>
      </c>
    </row>
    <row r="2" spans="1:6" ht="15.75" thickBot="1" x14ac:dyDescent="0.3">
      <c r="A2" t="s">
        <v>421</v>
      </c>
      <c r="B2" s="69">
        <v>0</v>
      </c>
      <c r="C2" s="69" t="s">
        <v>426</v>
      </c>
      <c r="E2" s="162" t="s">
        <v>427</v>
      </c>
      <c r="F2" s="161">
        <f>$F$1</f>
        <v>0</v>
      </c>
    </row>
    <row r="3" spans="1:6" x14ac:dyDescent="0.25">
      <c r="A3" t="s">
        <v>422</v>
      </c>
      <c r="B3" s="69">
        <v>0</v>
      </c>
      <c r="C3" s="69" t="s">
        <v>426</v>
      </c>
    </row>
    <row r="5" spans="1:6" x14ac:dyDescent="0.25">
      <c r="A5" s="9" t="s">
        <v>415</v>
      </c>
      <c r="B5" s="9"/>
      <c r="C5" s="160" t="s">
        <v>423</v>
      </c>
    </row>
    <row r="6" spans="1:6" x14ac:dyDescent="0.25">
      <c r="A6" s="159" t="s">
        <v>417</v>
      </c>
      <c r="B6" s="21"/>
      <c r="C6" s="21"/>
    </row>
    <row r="7" spans="1:6" x14ac:dyDescent="0.25">
      <c r="A7" t="s">
        <v>7</v>
      </c>
      <c r="B7">
        <v>0</v>
      </c>
      <c r="C7" t="s">
        <v>426</v>
      </c>
    </row>
    <row r="8" spans="1:6" x14ac:dyDescent="0.25">
      <c r="A8" t="s">
        <v>8</v>
      </c>
      <c r="B8">
        <v>0</v>
      </c>
      <c r="C8" t="s">
        <v>426</v>
      </c>
    </row>
    <row r="9" spans="1:6" x14ac:dyDescent="0.25">
      <c r="A9" t="s">
        <v>13</v>
      </c>
      <c r="B9">
        <v>0</v>
      </c>
      <c r="C9" t="s">
        <v>426</v>
      </c>
    </row>
    <row r="10" spans="1:6" x14ac:dyDescent="0.25">
      <c r="A10" t="s">
        <v>9</v>
      </c>
      <c r="B10">
        <v>0</v>
      </c>
      <c r="C10" t="s">
        <v>426</v>
      </c>
    </row>
    <row r="11" spans="1:6" x14ac:dyDescent="0.25">
      <c r="A11" t="s">
        <v>10</v>
      </c>
      <c r="B11">
        <v>0</v>
      </c>
      <c r="C11" t="s">
        <v>426</v>
      </c>
    </row>
    <row r="12" spans="1:6" x14ac:dyDescent="0.25">
      <c r="A12" t="s">
        <v>11</v>
      </c>
      <c r="B12">
        <v>0</v>
      </c>
      <c r="C12" t="s">
        <v>426</v>
      </c>
    </row>
    <row r="13" spans="1:6" x14ac:dyDescent="0.25">
      <c r="A13" t="s">
        <v>261</v>
      </c>
      <c r="B13">
        <v>0</v>
      </c>
      <c r="C13" t="s">
        <v>426</v>
      </c>
    </row>
    <row r="14" spans="1:6" x14ac:dyDescent="0.25">
      <c r="A14" t="s">
        <v>262</v>
      </c>
      <c r="B14">
        <v>0</v>
      </c>
      <c r="C14" t="s">
        <v>426</v>
      </c>
    </row>
    <row r="15" spans="1:6" x14ac:dyDescent="0.25">
      <c r="A15" t="s">
        <v>399</v>
      </c>
      <c r="B15">
        <v>0</v>
      </c>
      <c r="C15" t="s">
        <v>426</v>
      </c>
    </row>
    <row r="16" spans="1:6" x14ac:dyDescent="0.25">
      <c r="A16" t="s">
        <v>176</v>
      </c>
      <c r="B16">
        <v>0</v>
      </c>
      <c r="C16" t="s">
        <v>426</v>
      </c>
    </row>
    <row r="17" spans="1:3" x14ac:dyDescent="0.25">
      <c r="A17" t="s">
        <v>155</v>
      </c>
      <c r="B17">
        <v>0</v>
      </c>
      <c r="C17" t="s">
        <v>426</v>
      </c>
    </row>
    <row r="18" spans="1:3" x14ac:dyDescent="0.25">
      <c r="A18" t="s">
        <v>154</v>
      </c>
      <c r="B18">
        <v>0</v>
      </c>
      <c r="C18" t="s">
        <v>426</v>
      </c>
    </row>
    <row r="19" spans="1:3" x14ac:dyDescent="0.25">
      <c r="A19" t="s">
        <v>36</v>
      </c>
      <c r="B19">
        <v>0</v>
      </c>
      <c r="C19" t="s">
        <v>426</v>
      </c>
    </row>
    <row r="20" spans="1:3" x14ac:dyDescent="0.25">
      <c r="A20" t="s">
        <v>394</v>
      </c>
      <c r="B20">
        <v>0</v>
      </c>
      <c r="C20" t="s">
        <v>426</v>
      </c>
    </row>
    <row r="21" spans="1:3" x14ac:dyDescent="0.25">
      <c r="A21" t="s">
        <v>419</v>
      </c>
      <c r="B21">
        <v>0</v>
      </c>
      <c r="C21" t="s">
        <v>426</v>
      </c>
    </row>
    <row r="23" spans="1:3" x14ac:dyDescent="0.25">
      <c r="A23" s="159" t="s">
        <v>416</v>
      </c>
      <c r="B23" s="21"/>
      <c r="C23" s="160" t="s">
        <v>423</v>
      </c>
    </row>
    <row r="24" spans="1:3" x14ac:dyDescent="0.25">
      <c r="A24" t="s">
        <v>7</v>
      </c>
      <c r="B24">
        <v>0</v>
      </c>
      <c r="C24" t="s">
        <v>426</v>
      </c>
    </row>
    <row r="25" spans="1:3" x14ac:dyDescent="0.25">
      <c r="A25" t="s">
        <v>8</v>
      </c>
      <c r="B25">
        <v>0</v>
      </c>
      <c r="C25" t="s">
        <v>426</v>
      </c>
    </row>
    <row r="26" spans="1:3" x14ac:dyDescent="0.25">
      <c r="A26" t="s">
        <v>13</v>
      </c>
      <c r="B26">
        <v>0</v>
      </c>
      <c r="C26" t="s">
        <v>426</v>
      </c>
    </row>
    <row r="27" spans="1:3" x14ac:dyDescent="0.25">
      <c r="A27" t="s">
        <v>9</v>
      </c>
      <c r="B27">
        <v>0</v>
      </c>
      <c r="C27" t="s">
        <v>426</v>
      </c>
    </row>
    <row r="28" spans="1:3" x14ac:dyDescent="0.25">
      <c r="A28" t="s">
        <v>10</v>
      </c>
      <c r="B28">
        <v>0</v>
      </c>
      <c r="C28" t="s">
        <v>426</v>
      </c>
    </row>
    <row r="29" spans="1:3" x14ac:dyDescent="0.25">
      <c r="A29" t="s">
        <v>11</v>
      </c>
      <c r="B29">
        <v>0</v>
      </c>
      <c r="C29" t="s">
        <v>426</v>
      </c>
    </row>
    <row r="30" spans="1:3" x14ac:dyDescent="0.25">
      <c r="A30" t="s">
        <v>261</v>
      </c>
      <c r="B30">
        <v>0</v>
      </c>
      <c r="C30" t="s">
        <v>426</v>
      </c>
    </row>
    <row r="31" spans="1:3" x14ac:dyDescent="0.25">
      <c r="A31" t="s">
        <v>262</v>
      </c>
      <c r="B31">
        <v>0</v>
      </c>
      <c r="C31" t="s">
        <v>426</v>
      </c>
    </row>
    <row r="32" spans="1:3" x14ac:dyDescent="0.25">
      <c r="A32" t="s">
        <v>399</v>
      </c>
      <c r="B32">
        <v>0</v>
      </c>
      <c r="C32" t="s">
        <v>426</v>
      </c>
    </row>
    <row r="33" spans="1:3" x14ac:dyDescent="0.25">
      <c r="A33" t="s">
        <v>176</v>
      </c>
      <c r="B33">
        <v>0</v>
      </c>
      <c r="C33" t="s">
        <v>426</v>
      </c>
    </row>
    <row r="34" spans="1:3" x14ac:dyDescent="0.25">
      <c r="A34" t="s">
        <v>155</v>
      </c>
      <c r="B34">
        <v>0</v>
      </c>
      <c r="C34" t="s">
        <v>426</v>
      </c>
    </row>
    <row r="35" spans="1:3" x14ac:dyDescent="0.25">
      <c r="A35" t="s">
        <v>154</v>
      </c>
      <c r="B35">
        <v>0</v>
      </c>
      <c r="C35" t="s">
        <v>426</v>
      </c>
    </row>
    <row r="36" spans="1:3" x14ac:dyDescent="0.25">
      <c r="A36" t="s">
        <v>36</v>
      </c>
      <c r="B36">
        <v>0</v>
      </c>
      <c r="C36" t="s">
        <v>426</v>
      </c>
    </row>
    <row r="37" spans="1:3" x14ac:dyDescent="0.25">
      <c r="A37" t="s">
        <v>394</v>
      </c>
      <c r="B37">
        <v>0</v>
      </c>
      <c r="C37" t="s">
        <v>426</v>
      </c>
    </row>
    <row r="38" spans="1:3" x14ac:dyDescent="0.25">
      <c r="A38" t="s">
        <v>419</v>
      </c>
      <c r="B38">
        <v>0</v>
      </c>
      <c r="C38" t="s">
        <v>426</v>
      </c>
    </row>
    <row r="40" spans="1:3" x14ac:dyDescent="0.25">
      <c r="A40" s="159" t="s">
        <v>420</v>
      </c>
      <c r="B40" s="159"/>
      <c r="C40" s="160" t="s">
        <v>423</v>
      </c>
    </row>
    <row r="41" spans="1:3" x14ac:dyDescent="0.25">
      <c r="A41" t="s">
        <v>7</v>
      </c>
      <c r="B41">
        <v>0</v>
      </c>
      <c r="C41" t="s">
        <v>426</v>
      </c>
    </row>
    <row r="42" spans="1:3" x14ac:dyDescent="0.25">
      <c r="A42" t="s">
        <v>8</v>
      </c>
      <c r="B42">
        <v>0</v>
      </c>
      <c r="C42" t="s">
        <v>426</v>
      </c>
    </row>
    <row r="43" spans="1:3" x14ac:dyDescent="0.25">
      <c r="A43" t="s">
        <v>13</v>
      </c>
      <c r="B43">
        <v>0</v>
      </c>
      <c r="C43" t="s">
        <v>426</v>
      </c>
    </row>
    <row r="44" spans="1:3" x14ac:dyDescent="0.25">
      <c r="A44" t="s">
        <v>9</v>
      </c>
      <c r="B44">
        <v>0</v>
      </c>
      <c r="C44" t="s">
        <v>426</v>
      </c>
    </row>
    <row r="45" spans="1:3" x14ac:dyDescent="0.25">
      <c r="A45" t="s">
        <v>10</v>
      </c>
      <c r="B45">
        <v>0</v>
      </c>
      <c r="C45" t="s">
        <v>426</v>
      </c>
    </row>
    <row r="46" spans="1:3" x14ac:dyDescent="0.25">
      <c r="A46" t="s">
        <v>11</v>
      </c>
      <c r="B46">
        <v>0</v>
      </c>
      <c r="C46" t="s">
        <v>426</v>
      </c>
    </row>
    <row r="47" spans="1:3" x14ac:dyDescent="0.25">
      <c r="A47" t="s">
        <v>261</v>
      </c>
      <c r="B47">
        <v>0</v>
      </c>
      <c r="C47" t="s">
        <v>426</v>
      </c>
    </row>
    <row r="48" spans="1:3" x14ac:dyDescent="0.25">
      <c r="A48" t="s">
        <v>262</v>
      </c>
      <c r="B48">
        <v>0</v>
      </c>
      <c r="C48" t="s">
        <v>426</v>
      </c>
    </row>
    <row r="49" spans="1:3" x14ac:dyDescent="0.25">
      <c r="A49" t="s">
        <v>399</v>
      </c>
      <c r="B49">
        <v>0</v>
      </c>
      <c r="C49" t="s">
        <v>426</v>
      </c>
    </row>
    <row r="51" spans="1:3" x14ac:dyDescent="0.25">
      <c r="A51" s="9" t="s">
        <v>418</v>
      </c>
      <c r="B51" s="9"/>
      <c r="C51" s="160" t="s">
        <v>423</v>
      </c>
    </row>
    <row r="52" spans="1:3" x14ac:dyDescent="0.25">
      <c r="A52" s="17" t="s">
        <v>292</v>
      </c>
      <c r="B52" s="89">
        <v>0</v>
      </c>
      <c r="C52" t="s">
        <v>426</v>
      </c>
    </row>
    <row r="53" spans="1:3" x14ac:dyDescent="0.25">
      <c r="A53" s="17" t="s">
        <v>293</v>
      </c>
      <c r="B53" s="89">
        <v>0</v>
      </c>
      <c r="C53" t="s">
        <v>426</v>
      </c>
    </row>
  </sheetData>
  <dataValidations count="1">
    <dataValidation type="list" allowBlank="1" showInputMessage="1" showErrorMessage="1" sqref="C24:C38 C7:C21 C52:C53 C41:C49" xr:uid="{00000000-0002-0000-0D00-000000000000}">
      <formula1>$G$2:$G$3</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4000000}">
          <x14:formula1>
            <xm:f>'Game Properties'!$G$2:$G$3</xm:f>
          </x14:formula1>
          <xm:sqref>C2:C3</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dimension ref="A1:B39"/>
  <sheetViews>
    <sheetView zoomScaleNormal="100" workbookViewId="0">
      <selection activeCell="B18" sqref="B18"/>
    </sheetView>
  </sheetViews>
  <sheetFormatPr defaultRowHeight="15" x14ac:dyDescent="0.25"/>
  <cols>
    <col min="1" max="1" width="60.140625" customWidth="1"/>
    <col min="2" max="2" width="119.7109375" customWidth="1"/>
  </cols>
  <sheetData>
    <row r="1" spans="1:2" x14ac:dyDescent="0.25">
      <c r="A1" s="1" t="s">
        <v>335</v>
      </c>
      <c r="B1" s="1" t="s">
        <v>336</v>
      </c>
    </row>
    <row r="2" spans="1:2" x14ac:dyDescent="0.25">
      <c r="A2" t="s">
        <v>116</v>
      </c>
      <c r="B2" t="s">
        <v>338</v>
      </c>
    </row>
    <row r="3" spans="1:2" x14ac:dyDescent="0.25">
      <c r="A3" t="s">
        <v>135</v>
      </c>
      <c r="B3" t="s">
        <v>339</v>
      </c>
    </row>
    <row r="5" spans="1:2" x14ac:dyDescent="0.25">
      <c r="A5" t="s">
        <v>212</v>
      </c>
      <c r="B5" t="s">
        <v>340</v>
      </c>
    </row>
    <row r="6" spans="1:2" x14ac:dyDescent="0.25">
      <c r="A6" t="s">
        <v>223</v>
      </c>
    </row>
    <row r="14" spans="1:2" x14ac:dyDescent="0.25">
      <c r="A14" t="s">
        <v>260</v>
      </c>
    </row>
    <row r="16" spans="1:2" x14ac:dyDescent="0.25">
      <c r="A16" t="s">
        <v>264</v>
      </c>
    </row>
    <row r="22" spans="1:2" x14ac:dyDescent="0.25">
      <c r="A22" t="s">
        <v>298</v>
      </c>
    </row>
    <row r="26" spans="1:2" x14ac:dyDescent="0.25">
      <c r="A26" t="s">
        <v>323</v>
      </c>
      <c r="B26" t="s">
        <v>345</v>
      </c>
    </row>
    <row r="27" spans="1:2" x14ac:dyDescent="0.25">
      <c r="A27" t="s">
        <v>332</v>
      </c>
    </row>
    <row r="28" spans="1:2" x14ac:dyDescent="0.25">
      <c r="A28" s="114" t="s">
        <v>333</v>
      </c>
      <c r="B28" s="114" t="s">
        <v>337</v>
      </c>
    </row>
    <row r="29" spans="1:2" x14ac:dyDescent="0.25">
      <c r="A29" t="s">
        <v>346</v>
      </c>
    </row>
    <row r="30" spans="1:2" x14ac:dyDescent="0.25">
      <c r="A30" t="s">
        <v>347</v>
      </c>
    </row>
    <row r="31" spans="1:2" x14ac:dyDescent="0.25">
      <c r="A31" t="s">
        <v>348</v>
      </c>
    </row>
    <row r="32" spans="1:2" x14ac:dyDescent="0.25">
      <c r="A32" t="s">
        <v>349</v>
      </c>
    </row>
    <row r="37" spans="1:2" x14ac:dyDescent="0.25">
      <c r="A37" t="s">
        <v>341</v>
      </c>
    </row>
    <row r="38" spans="1:2" x14ac:dyDescent="0.25">
      <c r="A38" t="s">
        <v>342</v>
      </c>
      <c r="B38" t="s">
        <v>343</v>
      </c>
    </row>
    <row r="39" spans="1:2" x14ac:dyDescent="0.25">
      <c r="A39" t="s">
        <v>344</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vt:i4>
      </vt:variant>
    </vt:vector>
  </HeadingPairs>
  <TitlesOfParts>
    <vt:vector size="16" baseType="lpstr">
      <vt:lpstr>Initial Setup</vt:lpstr>
      <vt:lpstr>Gameplay</vt:lpstr>
      <vt:lpstr>Event Tracker</vt:lpstr>
      <vt:lpstr>Game Properties</vt:lpstr>
      <vt:lpstr>Customer Bills</vt:lpstr>
      <vt:lpstr>Environmental Performance</vt:lpstr>
      <vt:lpstr>Reliability</vt:lpstr>
      <vt:lpstr>Utility Revenue</vt:lpstr>
      <vt:lpstr>Game Assumptions</vt:lpstr>
      <vt:lpstr>Resource Mix and Demand</vt:lpstr>
      <vt:lpstr>Dispatch</vt:lpstr>
      <vt:lpstr>Policy Page</vt:lpstr>
      <vt:lpstr>Graphs</vt:lpstr>
      <vt:lpstr>Override</vt:lpstr>
      <vt:lpstr>Questions</vt:lpstr>
      <vt:lpstr>Current_Round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Robbie</dc:creator>
  <cp:lastModifiedBy>Robbie Orvis</cp:lastModifiedBy>
  <cp:lastPrinted>2016-01-25T19:18:39Z</cp:lastPrinted>
  <dcterms:created xsi:type="dcterms:W3CDTF">2016-01-20T23:59:09Z</dcterms:created>
  <dcterms:modified xsi:type="dcterms:W3CDTF">2021-07-16T14:24:58Z</dcterms:modified>
</cp:coreProperties>
</file>