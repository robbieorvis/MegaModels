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codeName="ThisWorkbook"/>
  <mc:AlternateContent xmlns:mc="http://schemas.openxmlformats.org/markup-compatibility/2006">
    <mc:Choice Requires="x15">
      <x15ac:absPath xmlns:x15ac="http://schemas.microsoft.com/office/spreadsheetml/2010/11/ac" url="C:\Users\Rorvis\Dropbox (Energy InNovation)\My Documents\Power Sector Transformation\MegaModels Game\"/>
    </mc:Choice>
  </mc:AlternateContent>
  <xr:revisionPtr revIDLastSave="0" documentId="13_ncr:1_{14333233-75DF-4E49-8A0F-F40CB9468747}" xr6:coauthVersionLast="47" xr6:coauthVersionMax="47" xr10:uidLastSave="{00000000-0000-0000-0000-000000000000}"/>
  <bookViews>
    <workbookView xWindow="-120" yWindow="-120" windowWidth="29040" windowHeight="17640" xr2:uid="{00000000-000D-0000-FFFF-FFFF00000000}"/>
  </bookViews>
  <sheets>
    <sheet name="Initial Setup" sheetId="10" r:id="rId1"/>
    <sheet name="Gameplay" sheetId="15" r:id="rId2"/>
    <sheet name="Event Tracker" sheetId="14" r:id="rId3"/>
    <sheet name="Game Properties" sheetId="1" r:id="rId4"/>
    <sheet name="Customer Bills" sheetId="5" r:id="rId5"/>
    <sheet name="Utility Revenue" sheetId="8" r:id="rId6"/>
    <sheet name="Environmental Performance" sheetId="6" r:id="rId7"/>
    <sheet name="Reliability" sheetId="7" r:id="rId8"/>
    <sheet name="Game Assumptions" sheetId="11" r:id="rId9"/>
    <sheet name="Resource Mix and Demand" sheetId="2" r:id="rId10"/>
    <sheet name="Dispatch" sheetId="9" r:id="rId11"/>
    <sheet name="Policy Page" sheetId="13" r:id="rId12"/>
    <sheet name="Graphs" sheetId="26" r:id="rId13"/>
    <sheet name="Questions" sheetId="12" state="hidden" r:id="rId14"/>
  </sheets>
  <definedNames>
    <definedName name="Current_Round">'Event Tracker'!$P$1</definedName>
    <definedName name="solver_adj" localSheetId="5" hidden="1">'Game Assumptions'!$B$2</definedName>
    <definedName name="solver_cvg" localSheetId="5" hidden="1">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mip" localSheetId="5" hidden="1">2147483647</definedName>
    <definedName name="solver_mni" localSheetId="5" hidden="1">30</definedName>
    <definedName name="solver_mrt" localSheetId="5" hidden="1">0.075</definedName>
    <definedName name="solver_msl" localSheetId="5" hidden="1">2</definedName>
    <definedName name="solver_neg" localSheetId="5" hidden="1">1</definedName>
    <definedName name="solver_nod" localSheetId="5" hidden="1">2147483647</definedName>
    <definedName name="solver_num" localSheetId="5" hidden="1">0</definedName>
    <definedName name="solver_nwt" localSheetId="5" hidden="1">1</definedName>
    <definedName name="solver_opt" localSheetId="5" hidden="1">'Utility Revenue'!$B$148</definedName>
    <definedName name="solver_pre" localSheetId="5" hidden="1">0.000001</definedName>
    <definedName name="solver_rbv" localSheetId="5" hidden="1">1</definedName>
    <definedName name="solver_rlx" localSheetId="5" hidden="1">2</definedName>
    <definedName name="solver_rsd" localSheetId="5" hidden="1">0</definedName>
    <definedName name="solver_scl" localSheetId="5" hidden="1">1</definedName>
    <definedName name="solver_sho" localSheetId="5" hidden="1">2</definedName>
    <definedName name="solver_ssz" localSheetId="5" hidden="1">100</definedName>
    <definedName name="solver_tim" localSheetId="5" hidden="1">2147483647</definedName>
    <definedName name="solver_tol" localSheetId="5" hidden="1">0.01</definedName>
    <definedName name="solver_typ" localSheetId="5" hidden="1">3</definedName>
    <definedName name="solver_val" localSheetId="5" hidden="1">-100000000</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8" i="7" l="1"/>
  <c r="D38" i="7"/>
  <c r="E38" i="7"/>
  <c r="F38" i="7"/>
  <c r="G38" i="7"/>
  <c r="H38" i="7"/>
  <c r="I38" i="7"/>
  <c r="J38" i="7"/>
  <c r="K38" i="7"/>
  <c r="L38" i="7"/>
  <c r="C13" i="7"/>
  <c r="D13" i="7"/>
  <c r="E13" i="7"/>
  <c r="F13" i="7"/>
  <c r="G13" i="7"/>
  <c r="H13" i="7"/>
  <c r="I13" i="7"/>
  <c r="J13" i="7"/>
  <c r="K13" i="7"/>
  <c r="L13" i="7"/>
  <c r="C12" i="7"/>
  <c r="D12" i="7"/>
  <c r="E12" i="7"/>
  <c r="F12" i="7"/>
  <c r="G12" i="7"/>
  <c r="H12" i="7"/>
  <c r="I12" i="7"/>
  <c r="J12" i="7"/>
  <c r="K12" i="7"/>
  <c r="L12" i="7"/>
  <c r="C11" i="7"/>
  <c r="D11" i="7"/>
  <c r="E11" i="7"/>
  <c r="F11" i="7"/>
  <c r="G11" i="7"/>
  <c r="H11" i="7"/>
  <c r="I11" i="7"/>
  <c r="J11" i="7"/>
  <c r="K11" i="7"/>
  <c r="L11" i="7"/>
  <c r="C10" i="7"/>
  <c r="D10" i="7"/>
  <c r="E10" i="7"/>
  <c r="F10" i="7"/>
  <c r="G10" i="7"/>
  <c r="H10" i="7"/>
  <c r="I10" i="7"/>
  <c r="J10" i="7"/>
  <c r="K10" i="7"/>
  <c r="L10" i="7"/>
  <c r="C9" i="7"/>
  <c r="D9" i="7"/>
  <c r="E9" i="7"/>
  <c r="F9" i="7"/>
  <c r="G9" i="7"/>
  <c r="H9" i="7"/>
  <c r="I9" i="7"/>
  <c r="J9" i="7"/>
  <c r="K9" i="7"/>
  <c r="L9" i="7"/>
  <c r="C8" i="2"/>
  <c r="D8" i="2"/>
  <c r="E8" i="2"/>
  <c r="F8" i="2"/>
  <c r="G8" i="2"/>
  <c r="H8" i="2"/>
  <c r="I8" i="2"/>
  <c r="J8" i="2"/>
  <c r="K8" i="2"/>
  <c r="L8" i="2"/>
  <c r="C7" i="2"/>
  <c r="D7" i="2"/>
  <c r="E7" i="2"/>
  <c r="F7" i="2"/>
  <c r="G7" i="2"/>
  <c r="H7" i="2"/>
  <c r="I7" i="2"/>
  <c r="J7" i="2"/>
  <c r="K7" i="2"/>
  <c r="L7" i="2"/>
  <c r="C6" i="2"/>
  <c r="D6" i="2"/>
  <c r="E6" i="2"/>
  <c r="F6" i="2"/>
  <c r="G6" i="2"/>
  <c r="H6" i="2"/>
  <c r="I6" i="2"/>
  <c r="J6" i="2"/>
  <c r="K6" i="2"/>
  <c r="L6" i="2"/>
  <c r="C5" i="2"/>
  <c r="D5" i="2"/>
  <c r="E5" i="2"/>
  <c r="F5" i="2"/>
  <c r="G5" i="2"/>
  <c r="H5" i="2"/>
  <c r="I5" i="2"/>
  <c r="J5" i="2"/>
  <c r="K5" i="2"/>
  <c r="L5" i="2"/>
  <c r="C4" i="2"/>
  <c r="D4" i="2"/>
  <c r="E4" i="2"/>
  <c r="F4" i="2"/>
  <c r="G4" i="2"/>
  <c r="H4" i="2"/>
  <c r="I4" i="2"/>
  <c r="J4" i="2"/>
  <c r="K4" i="2"/>
  <c r="L4" i="2"/>
  <c r="C3" i="2"/>
  <c r="D3" i="2"/>
  <c r="E3" i="2"/>
  <c r="F3" i="2"/>
  <c r="G3" i="2"/>
  <c r="H3" i="2"/>
  <c r="I3" i="2"/>
  <c r="J3" i="2"/>
  <c r="K3" i="2"/>
  <c r="L3" i="2"/>
  <c r="C35" i="8" l="1"/>
  <c r="B130" i="8"/>
  <c r="B25" i="8"/>
  <c r="B11" i="9"/>
  <c r="E2" i="2"/>
  <c r="F2" i="2"/>
  <c r="G2" i="2"/>
  <c r="H2" i="2"/>
  <c r="I2" i="2"/>
  <c r="J2" i="2"/>
  <c r="K2" i="2"/>
  <c r="L2" i="2"/>
  <c r="C25" i="8" l="1"/>
  <c r="D25" i="8" s="1"/>
  <c r="E25" i="8" s="1"/>
  <c r="F25" i="8" s="1"/>
  <c r="G25" i="8" s="1"/>
  <c r="H25" i="8" s="1"/>
  <c r="I25" i="8" s="1"/>
  <c r="J25" i="8" s="1"/>
  <c r="K25" i="8" s="1"/>
  <c r="L25" i="8" s="1"/>
  <c r="C130" i="8"/>
  <c r="D130" i="8" s="1"/>
  <c r="E130" i="8" s="1"/>
  <c r="F130" i="8" s="1"/>
  <c r="G130" i="8" s="1"/>
  <c r="H130" i="8" s="1"/>
  <c r="I130" i="8" s="1"/>
  <c r="J130" i="8" s="1"/>
  <c r="K130" i="8" s="1"/>
  <c r="L130" i="8" s="1"/>
  <c r="B97" i="7" l="1"/>
  <c r="L80" i="11" l="1"/>
  <c r="C80" i="11"/>
  <c r="D80" i="11"/>
  <c r="E80" i="11"/>
  <c r="F80" i="11"/>
  <c r="G80" i="11"/>
  <c r="H80" i="11"/>
  <c r="I80" i="11"/>
  <c r="J80" i="11"/>
  <c r="K80" i="11"/>
  <c r="C10" i="8" l="1"/>
  <c r="D10" i="8"/>
  <c r="E10" i="8"/>
  <c r="F10" i="8"/>
  <c r="G10" i="8"/>
  <c r="H10" i="8"/>
  <c r="I10" i="8"/>
  <c r="J10" i="8"/>
  <c r="K10" i="8"/>
  <c r="L10" i="8"/>
  <c r="C11" i="8"/>
  <c r="D11" i="8"/>
  <c r="E11" i="8"/>
  <c r="F11" i="8"/>
  <c r="G11" i="8"/>
  <c r="H11" i="8"/>
  <c r="I11" i="8"/>
  <c r="J11" i="8"/>
  <c r="K11" i="8"/>
  <c r="L11" i="8"/>
  <c r="B11" i="8"/>
  <c r="B10" i="8"/>
  <c r="B80" i="8"/>
  <c r="B81" i="8"/>
  <c r="B56" i="8"/>
  <c r="B57" i="8"/>
  <c r="G32" i="11" l="1"/>
  <c r="B19" i="8" s="1"/>
  <c r="E19" i="8" l="1"/>
  <c r="D19" i="8"/>
  <c r="G19" i="8"/>
  <c r="H19" i="8"/>
  <c r="L19" i="8"/>
  <c r="F19" i="8"/>
  <c r="K19" i="8"/>
  <c r="J19" i="8"/>
  <c r="I19" i="8"/>
  <c r="C19" i="8"/>
  <c r="C9" i="2"/>
  <c r="C80" i="8"/>
  <c r="C81" i="8"/>
  <c r="C56" i="8"/>
  <c r="C57" i="8"/>
  <c r="C10" i="2"/>
  <c r="C60" i="2"/>
  <c r="D60" i="2"/>
  <c r="G36" i="11"/>
  <c r="B23" i="8" s="1"/>
  <c r="C23" i="8" s="1"/>
  <c r="D23" i="8" s="1"/>
  <c r="E23" i="8" s="1"/>
  <c r="F23" i="8" s="1"/>
  <c r="G23" i="8" s="1"/>
  <c r="H23" i="8" s="1"/>
  <c r="I23" i="8" s="1"/>
  <c r="J23" i="8" s="1"/>
  <c r="K23" i="8" s="1"/>
  <c r="L23" i="8" s="1"/>
  <c r="B49" i="11"/>
  <c r="D9" i="2" l="1"/>
  <c r="D81" i="8"/>
  <c r="D80" i="8"/>
  <c r="D56" i="8"/>
  <c r="D57" i="8"/>
  <c r="D10" i="2"/>
  <c r="F60" i="2"/>
  <c r="E60" i="2"/>
  <c r="G34" i="11"/>
  <c r="G30" i="11"/>
  <c r="C48" i="10" s="1"/>
  <c r="C49" i="10" s="1"/>
  <c r="C50" i="10" s="1"/>
  <c r="C51" i="10" s="1"/>
  <c r="C52" i="10" s="1"/>
  <c r="C53" i="10" s="1"/>
  <c r="C54" i="10" s="1"/>
  <c r="C55" i="10" s="1"/>
  <c r="C56" i="10" s="1"/>
  <c r="C57" i="10" s="1"/>
  <c r="C58" i="10" s="1"/>
  <c r="G29" i="11"/>
  <c r="B48" i="10" s="1"/>
  <c r="B49" i="10" s="1"/>
  <c r="B50" i="10" s="1"/>
  <c r="B51" i="10" s="1"/>
  <c r="B52" i="10" s="1"/>
  <c r="B53" i="10" s="1"/>
  <c r="B54" i="10" s="1"/>
  <c r="B55" i="10" s="1"/>
  <c r="B56" i="10" s="1"/>
  <c r="B57" i="10" s="1"/>
  <c r="B58" i="10" s="1"/>
  <c r="G28" i="11"/>
  <c r="G27" i="11"/>
  <c r="G26" i="11"/>
  <c r="G33" i="11"/>
  <c r="B46" i="11"/>
  <c r="B2" i="8"/>
  <c r="E9" i="2" l="1"/>
  <c r="B124" i="8"/>
  <c r="L124" i="8"/>
  <c r="K124" i="8"/>
  <c r="F124" i="8"/>
  <c r="H124" i="8"/>
  <c r="G124" i="8"/>
  <c r="D124" i="8"/>
  <c r="E124" i="8"/>
  <c r="C124" i="8"/>
  <c r="I124" i="8"/>
  <c r="J124" i="8"/>
  <c r="E81" i="8"/>
  <c r="E78" i="8"/>
  <c r="E80" i="8"/>
  <c r="E57" i="8"/>
  <c r="E56" i="8"/>
  <c r="E54" i="8"/>
  <c r="E50" i="8"/>
  <c r="E10" i="2"/>
  <c r="H60" i="2"/>
  <c r="G60" i="2"/>
  <c r="C114" i="8"/>
  <c r="G114" i="8"/>
  <c r="K114" i="8"/>
  <c r="E115" i="8"/>
  <c r="I115" i="8"/>
  <c r="C116" i="8"/>
  <c r="G116" i="8"/>
  <c r="K116" i="8"/>
  <c r="B114" i="8"/>
  <c r="D114" i="8"/>
  <c r="H114" i="8"/>
  <c r="L114" i="8"/>
  <c r="F115" i="8"/>
  <c r="J115" i="8"/>
  <c r="D116" i="8"/>
  <c r="H116" i="8"/>
  <c r="L116" i="8"/>
  <c r="E114" i="8"/>
  <c r="I114" i="8"/>
  <c r="C115" i="8"/>
  <c r="G115" i="8"/>
  <c r="K115" i="8"/>
  <c r="E116" i="8"/>
  <c r="I116" i="8"/>
  <c r="B115" i="8"/>
  <c r="F114" i="8"/>
  <c r="J114" i="8"/>
  <c r="D115" i="8"/>
  <c r="H115" i="8"/>
  <c r="L115" i="8"/>
  <c r="F116" i="8"/>
  <c r="J116" i="8"/>
  <c r="B116" i="8"/>
  <c r="C9" i="8"/>
  <c r="G9" i="8"/>
  <c r="K9" i="8"/>
  <c r="B9" i="8"/>
  <c r="J9" i="8"/>
  <c r="D9" i="8"/>
  <c r="H9" i="8"/>
  <c r="L9" i="8"/>
  <c r="B127" i="8"/>
  <c r="C127" i="8" s="1"/>
  <c r="D127" i="8" s="1"/>
  <c r="E127" i="8" s="1"/>
  <c r="F127" i="8" s="1"/>
  <c r="G127" i="8" s="1"/>
  <c r="H127" i="8" s="1"/>
  <c r="I127" i="8" s="1"/>
  <c r="J127" i="8" s="1"/>
  <c r="K127" i="8" s="1"/>
  <c r="L127" i="8" s="1"/>
  <c r="E9" i="8"/>
  <c r="I9" i="8"/>
  <c r="B22" i="8"/>
  <c r="F9" i="8"/>
  <c r="B128" i="8"/>
  <c r="C128" i="8" s="1"/>
  <c r="D128" i="8" s="1"/>
  <c r="E128" i="8" s="1"/>
  <c r="F128" i="8" s="1"/>
  <c r="G128" i="8" s="1"/>
  <c r="H128" i="8" s="1"/>
  <c r="I128" i="8" s="1"/>
  <c r="J128" i="8" s="1"/>
  <c r="K128" i="8" s="1"/>
  <c r="L128" i="8" s="1"/>
  <c r="B126" i="8"/>
  <c r="C126" i="8" s="1"/>
  <c r="D126" i="8" s="1"/>
  <c r="E126" i="8" s="1"/>
  <c r="F126" i="8" s="1"/>
  <c r="G126" i="8" s="1"/>
  <c r="H126" i="8" s="1"/>
  <c r="I126" i="8" s="1"/>
  <c r="J126" i="8" s="1"/>
  <c r="K126" i="8" s="1"/>
  <c r="L126" i="8" s="1"/>
  <c r="B21" i="8"/>
  <c r="B20" i="8"/>
  <c r="B125" i="8"/>
  <c r="C125" i="8" s="1"/>
  <c r="D125" i="8" s="1"/>
  <c r="E125" i="8" s="1"/>
  <c r="F125" i="8" s="1"/>
  <c r="G125" i="8" s="1"/>
  <c r="H125" i="8" s="1"/>
  <c r="I125" i="8" s="1"/>
  <c r="J125" i="8" s="1"/>
  <c r="K125" i="8" s="1"/>
  <c r="L125" i="8" s="1"/>
  <c r="B17" i="8"/>
  <c r="B14" i="8"/>
  <c r="B120" i="8"/>
  <c r="B18" i="8"/>
  <c r="B123" i="8"/>
  <c r="B119" i="8"/>
  <c r="B13" i="8"/>
  <c r="B16" i="8"/>
  <c r="B122" i="8"/>
  <c r="B15" i="8"/>
  <c r="B118" i="8"/>
  <c r="B121" i="8"/>
  <c r="B60" i="2"/>
  <c r="B68" i="7" s="1"/>
  <c r="D23" i="9"/>
  <c r="D27" i="9" s="1"/>
  <c r="E23" i="9"/>
  <c r="E27" i="9" s="1"/>
  <c r="B23" i="9"/>
  <c r="B27" i="9" s="1"/>
  <c r="C23" i="9"/>
  <c r="A1" i="15"/>
  <c r="F9" i="2" l="1"/>
  <c r="B47" i="8"/>
  <c r="B71" i="8"/>
  <c r="B73" i="8"/>
  <c r="B49" i="8"/>
  <c r="B77" i="8"/>
  <c r="B53" i="8"/>
  <c r="B75" i="8"/>
  <c r="B51" i="8"/>
  <c r="D78" i="8"/>
  <c r="D54" i="8"/>
  <c r="B54" i="8"/>
  <c r="B78" i="8"/>
  <c r="B48" i="8"/>
  <c r="B72" i="8"/>
  <c r="B68" i="8"/>
  <c r="B44" i="8"/>
  <c r="B46" i="8"/>
  <c r="B70" i="8"/>
  <c r="B69" i="8"/>
  <c r="B45" i="8"/>
  <c r="B52" i="8"/>
  <c r="B76" i="8"/>
  <c r="B50" i="8"/>
  <c r="B74" i="8"/>
  <c r="C54" i="8"/>
  <c r="C78" i="8"/>
  <c r="F78" i="8"/>
  <c r="F81" i="8"/>
  <c r="F74" i="8"/>
  <c r="F80" i="8"/>
  <c r="C50" i="8"/>
  <c r="C74" i="8"/>
  <c r="E74" i="8"/>
  <c r="D50" i="8"/>
  <c r="D74" i="8"/>
  <c r="F56" i="8"/>
  <c r="F57" i="8"/>
  <c r="F54" i="8"/>
  <c r="F50" i="8"/>
  <c r="F10" i="2"/>
  <c r="J60" i="2"/>
  <c r="I60" i="2"/>
  <c r="F23" i="9"/>
  <c r="F27" i="9" s="1"/>
  <c r="C15" i="8"/>
  <c r="C120" i="8"/>
  <c r="D120" i="8" s="1"/>
  <c r="E120" i="8" s="1"/>
  <c r="F120" i="8" s="1"/>
  <c r="G120" i="8" s="1"/>
  <c r="H120" i="8" s="1"/>
  <c r="I120" i="8" s="1"/>
  <c r="J120" i="8" s="1"/>
  <c r="K120" i="8" s="1"/>
  <c r="L120" i="8" s="1"/>
  <c r="C121" i="8"/>
  <c r="D121" i="8" s="1"/>
  <c r="E121" i="8" s="1"/>
  <c r="F121" i="8" s="1"/>
  <c r="G121" i="8" s="1"/>
  <c r="H121" i="8" s="1"/>
  <c r="I121" i="8" s="1"/>
  <c r="J121" i="8" s="1"/>
  <c r="K121" i="8" s="1"/>
  <c r="L121" i="8" s="1"/>
  <c r="C16" i="8"/>
  <c r="C118" i="8"/>
  <c r="C22" i="8"/>
  <c r="C21" i="8"/>
  <c r="C20" i="8"/>
  <c r="C14" i="8"/>
  <c r="C119" i="8"/>
  <c r="D119" i="8" s="1"/>
  <c r="E119" i="8" s="1"/>
  <c r="F119" i="8" s="1"/>
  <c r="G119" i="8" s="1"/>
  <c r="H119" i="8" s="1"/>
  <c r="I119" i="8" s="1"/>
  <c r="J119" i="8" s="1"/>
  <c r="K119" i="8" s="1"/>
  <c r="L119" i="8" s="1"/>
  <c r="C13" i="8"/>
  <c r="C11" i="9"/>
  <c r="D11" i="9" s="1"/>
  <c r="E11" i="9" s="1"/>
  <c r="F11" i="9" s="1"/>
  <c r="C27" i="9"/>
  <c r="P1" i="14" a="1"/>
  <c r="P1" i="14" s="1"/>
  <c r="B25" i="2"/>
  <c r="B26" i="2"/>
  <c r="B27" i="2"/>
  <c r="B28" i="2"/>
  <c r="B29" i="2"/>
  <c r="B30" i="2"/>
  <c r="B24" i="7" s="1"/>
  <c r="B31" i="2"/>
  <c r="B32" i="2"/>
  <c r="B24" i="2"/>
  <c r="D64" i="2"/>
  <c r="D68" i="7" s="1"/>
  <c r="E64" i="2"/>
  <c r="E68" i="7" s="1"/>
  <c r="F64" i="2"/>
  <c r="F68" i="7" s="1"/>
  <c r="C64" i="2"/>
  <c r="C68" i="7" s="1"/>
  <c r="C91" i="11"/>
  <c r="D91" i="11"/>
  <c r="E91" i="11"/>
  <c r="F91" i="11"/>
  <c r="B91" i="11"/>
  <c r="C50" i="7"/>
  <c r="D50" i="7"/>
  <c r="E50" i="7"/>
  <c r="F50" i="7"/>
  <c r="B50" i="7"/>
  <c r="B85" i="7" l="1"/>
  <c r="B80" i="7"/>
  <c r="C32" i="2"/>
  <c r="B26" i="7"/>
  <c r="B82" i="7" s="1"/>
  <c r="C31" i="2"/>
  <c r="D31" i="2" s="1"/>
  <c r="D42" i="2" s="1"/>
  <c r="B25" i="7"/>
  <c r="D32" i="2"/>
  <c r="D43" i="2" s="1"/>
  <c r="C26" i="7"/>
  <c r="C82" i="7" s="1"/>
  <c r="A2" i="15"/>
  <c r="O1" i="6"/>
  <c r="O1" i="26"/>
  <c r="O1" i="2"/>
  <c r="C5" i="15"/>
  <c r="C6" i="15"/>
  <c r="C10" i="15"/>
  <c r="C7" i="15"/>
  <c r="C11" i="15"/>
  <c r="C13" i="15"/>
  <c r="C8" i="15"/>
  <c r="C12" i="15"/>
  <c r="C9" i="15"/>
  <c r="F2" i="1"/>
  <c r="G9" i="2"/>
  <c r="G74" i="8"/>
  <c r="G78" i="8"/>
  <c r="G80" i="8"/>
  <c r="G81" i="8"/>
  <c r="C45" i="8"/>
  <c r="C69" i="8"/>
  <c r="C46" i="8"/>
  <c r="C70" i="8"/>
  <c r="C51" i="8"/>
  <c r="C75" i="8"/>
  <c r="C47" i="8"/>
  <c r="C71" i="8"/>
  <c r="C44" i="8"/>
  <c r="C68" i="8"/>
  <c r="C52" i="8"/>
  <c r="C76" i="8"/>
  <c r="C53" i="8"/>
  <c r="C77" i="8"/>
  <c r="G57" i="8"/>
  <c r="G56" i="8"/>
  <c r="G54" i="8"/>
  <c r="G50" i="8"/>
  <c r="D14" i="8"/>
  <c r="D13" i="8"/>
  <c r="D21" i="8"/>
  <c r="E21" i="8" s="1"/>
  <c r="D15" i="8"/>
  <c r="D16" i="8"/>
  <c r="G10" i="2"/>
  <c r="K60" i="2"/>
  <c r="L60" i="2"/>
  <c r="G23" i="9"/>
  <c r="G27" i="9" s="1"/>
  <c r="G11" i="9"/>
  <c r="G64" i="2"/>
  <c r="G68" i="7" s="1"/>
  <c r="G50" i="7"/>
  <c r="C17" i="8"/>
  <c r="C122" i="8"/>
  <c r="D122" i="8" s="1"/>
  <c r="E122" i="8" s="1"/>
  <c r="F122" i="8" s="1"/>
  <c r="G122" i="8" s="1"/>
  <c r="H122" i="8" s="1"/>
  <c r="I122" i="8" s="1"/>
  <c r="J122" i="8" s="1"/>
  <c r="K122" i="8" s="1"/>
  <c r="L122" i="8" s="1"/>
  <c r="D22" i="8"/>
  <c r="D118" i="8"/>
  <c r="D20" i="8"/>
  <c r="G91" i="11"/>
  <c r="B37" i="2"/>
  <c r="B73" i="7"/>
  <c r="B35" i="2"/>
  <c r="B71" i="7"/>
  <c r="B40" i="2"/>
  <c r="B76" i="7"/>
  <c r="B36" i="2"/>
  <c r="B72" i="7"/>
  <c r="B39" i="2"/>
  <c r="B75" i="7"/>
  <c r="N1" i="9"/>
  <c r="B42" i="2"/>
  <c r="C43" i="2"/>
  <c r="B56" i="7"/>
  <c r="B38" i="2"/>
  <c r="B43" i="2"/>
  <c r="B41" i="2"/>
  <c r="C42" i="2"/>
  <c r="C88" i="11"/>
  <c r="D88" i="11"/>
  <c r="E88" i="11"/>
  <c r="F88" i="11"/>
  <c r="C89" i="11"/>
  <c r="D89" i="11"/>
  <c r="E89" i="11"/>
  <c r="F89" i="11"/>
  <c r="C90" i="11"/>
  <c r="D90" i="11"/>
  <c r="E90" i="11"/>
  <c r="F90" i="11"/>
  <c r="B89" i="11"/>
  <c r="B90" i="11"/>
  <c r="B88" i="11"/>
  <c r="B86" i="7" l="1"/>
  <c r="B81" i="7"/>
  <c r="C25" i="7"/>
  <c r="C90" i="26"/>
  <c r="D90" i="26" s="1"/>
  <c r="C61" i="26"/>
  <c r="D61" i="26" s="1"/>
  <c r="C57" i="26"/>
  <c r="D57" i="26" s="1"/>
  <c r="C43" i="26"/>
  <c r="D43" i="26" s="1"/>
  <c r="C39" i="26"/>
  <c r="D39" i="26" s="1"/>
  <c r="C26" i="26"/>
  <c r="D26" i="26" s="1"/>
  <c r="C22" i="26"/>
  <c r="D22" i="26" s="1"/>
  <c r="C10" i="26"/>
  <c r="D10" i="26" s="1"/>
  <c r="C44" i="26"/>
  <c r="D44" i="26" s="1"/>
  <c r="C27" i="26"/>
  <c r="D27" i="26" s="1"/>
  <c r="C11" i="26"/>
  <c r="D11" i="26" s="1"/>
  <c r="C93" i="26"/>
  <c r="D93" i="26" s="1"/>
  <c r="C89" i="26"/>
  <c r="D89" i="26" s="1"/>
  <c r="C60" i="26"/>
  <c r="D60" i="26" s="1"/>
  <c r="C56" i="26"/>
  <c r="D56" i="26" s="1"/>
  <c r="C42" i="26"/>
  <c r="D42" i="26" s="1"/>
  <c r="C38" i="26"/>
  <c r="D38" i="26" s="1"/>
  <c r="C25" i="26"/>
  <c r="D25" i="26" s="1"/>
  <c r="C13" i="26"/>
  <c r="D13" i="26" s="1"/>
  <c r="C9" i="26"/>
  <c r="D9" i="26" s="1"/>
  <c r="C58" i="26"/>
  <c r="D58" i="26" s="1"/>
  <c r="C92" i="26"/>
  <c r="D92" i="26" s="1"/>
  <c r="C88" i="26"/>
  <c r="D88" i="26" s="1"/>
  <c r="C59" i="26"/>
  <c r="D59" i="26" s="1"/>
  <c r="C55" i="26"/>
  <c r="D55" i="26" s="1"/>
  <c r="C51" i="26"/>
  <c r="C41" i="26"/>
  <c r="D41" i="26" s="1"/>
  <c r="C28" i="26"/>
  <c r="D28" i="26" s="1"/>
  <c r="C24" i="26"/>
  <c r="D24" i="26" s="1"/>
  <c r="C12" i="26"/>
  <c r="D12" i="26" s="1"/>
  <c r="C8" i="26"/>
  <c r="D8" i="26" s="1"/>
  <c r="C91" i="26"/>
  <c r="D91" i="26" s="1"/>
  <c r="C87" i="26"/>
  <c r="D87" i="26" s="1"/>
  <c r="C40" i="26"/>
  <c r="D40" i="26" s="1"/>
  <c r="C23" i="26"/>
  <c r="D23" i="26" s="1"/>
  <c r="C7" i="26"/>
  <c r="D7" i="26" s="1"/>
  <c r="E31" i="2"/>
  <c r="D25" i="7"/>
  <c r="E32" i="2"/>
  <c r="D26" i="7"/>
  <c r="D82" i="7" s="1"/>
  <c r="C81" i="7"/>
  <c r="C86" i="7"/>
  <c r="H9" i="2"/>
  <c r="H74" i="8"/>
  <c r="H78" i="8"/>
  <c r="H80" i="8"/>
  <c r="H81" i="8"/>
  <c r="D46" i="8"/>
  <c r="D70" i="8"/>
  <c r="D51" i="8"/>
  <c r="D75" i="8"/>
  <c r="C48" i="8"/>
  <c r="C72" i="8"/>
  <c r="D52" i="8"/>
  <c r="D76" i="8"/>
  <c r="D44" i="8"/>
  <c r="D68" i="8"/>
  <c r="E52" i="8"/>
  <c r="E76" i="8"/>
  <c r="D53" i="8"/>
  <c r="D77" i="8"/>
  <c r="D47" i="8"/>
  <c r="D71" i="8"/>
  <c r="D45" i="8"/>
  <c r="D69" i="8"/>
  <c r="H56" i="8"/>
  <c r="H57" i="8"/>
  <c r="H54" i="8"/>
  <c r="H50" i="8"/>
  <c r="E13" i="8"/>
  <c r="D17" i="8"/>
  <c r="E16" i="8"/>
  <c r="E14" i="8"/>
  <c r="E15" i="8"/>
  <c r="E20" i="8"/>
  <c r="H10" i="2"/>
  <c r="E22" i="8"/>
  <c r="H23" i="9"/>
  <c r="H27" i="9" s="1"/>
  <c r="H11" i="9"/>
  <c r="H50" i="7"/>
  <c r="H64" i="2"/>
  <c r="H68" i="7" s="1"/>
  <c r="C123" i="8"/>
  <c r="D123" i="8" s="1"/>
  <c r="E123" i="8" s="1"/>
  <c r="F123" i="8" s="1"/>
  <c r="G123" i="8" s="1"/>
  <c r="H123" i="8" s="1"/>
  <c r="I123" i="8" s="1"/>
  <c r="J123" i="8" s="1"/>
  <c r="K123" i="8" s="1"/>
  <c r="L123" i="8" s="1"/>
  <c r="C18" i="8"/>
  <c r="O1" i="5"/>
  <c r="O1" i="7"/>
  <c r="B1" i="8"/>
  <c r="E118" i="8"/>
  <c r="G89" i="11"/>
  <c r="G88" i="11"/>
  <c r="G90" i="11"/>
  <c r="F21" i="8"/>
  <c r="D86" i="7" l="1"/>
  <c r="D81" i="7"/>
  <c r="E26" i="7"/>
  <c r="E82" i="7" s="1"/>
  <c r="E43" i="2"/>
  <c r="F32" i="2"/>
  <c r="E25" i="7"/>
  <c r="E42" i="2"/>
  <c r="F31" i="2"/>
  <c r="K16" i="7"/>
  <c r="E16" i="7"/>
  <c r="D16" i="7"/>
  <c r="I16" i="7"/>
  <c r="H16" i="7"/>
  <c r="B16" i="7"/>
  <c r="C16" i="7"/>
  <c r="G16" i="7"/>
  <c r="J16" i="7"/>
  <c r="L16" i="7"/>
  <c r="F16" i="7"/>
  <c r="I9" i="2"/>
  <c r="I81" i="8"/>
  <c r="I74" i="8"/>
  <c r="I78" i="8"/>
  <c r="I80" i="8"/>
  <c r="E51" i="8"/>
  <c r="E75" i="8"/>
  <c r="D48" i="8"/>
  <c r="D72" i="8"/>
  <c r="F52" i="8"/>
  <c r="F76" i="8"/>
  <c r="C49" i="8"/>
  <c r="C73" i="8"/>
  <c r="E45" i="8"/>
  <c r="E69" i="8"/>
  <c r="E47" i="8"/>
  <c r="E71" i="8"/>
  <c r="E53" i="8"/>
  <c r="E77" i="8"/>
  <c r="E46" i="8"/>
  <c r="E70" i="8"/>
  <c r="E44" i="8"/>
  <c r="E68" i="8"/>
  <c r="I56" i="8"/>
  <c r="I57" i="8"/>
  <c r="I54" i="8"/>
  <c r="I50" i="8"/>
  <c r="F14" i="8"/>
  <c r="F20" i="8"/>
  <c r="F15" i="8"/>
  <c r="F16" i="8"/>
  <c r="F13" i="8"/>
  <c r="E17" i="8"/>
  <c r="D18" i="8"/>
  <c r="I10" i="2"/>
  <c r="F22" i="8"/>
  <c r="I23" i="9"/>
  <c r="I27" i="9" s="1"/>
  <c r="I11" i="9"/>
  <c r="A28" i="15" s="1"/>
  <c r="I64" i="2"/>
  <c r="I68" i="7" s="1"/>
  <c r="I50" i="7"/>
  <c r="F118" i="8"/>
  <c r="G21" i="8"/>
  <c r="B20" i="7" l="1"/>
  <c r="F42" i="2"/>
  <c r="F25" i="7"/>
  <c r="G31" i="2"/>
  <c r="E86" i="7"/>
  <c r="E81" i="7"/>
  <c r="F43" i="2"/>
  <c r="F26" i="7"/>
  <c r="F82" i="7" s="1"/>
  <c r="G32" i="2"/>
  <c r="B22" i="7"/>
  <c r="C22" i="7" s="1"/>
  <c r="C87" i="7" s="1"/>
  <c r="B19" i="7"/>
  <c r="C19" i="7" s="1"/>
  <c r="C77" i="7" s="1"/>
  <c r="B21" i="7"/>
  <c r="C21" i="7" s="1"/>
  <c r="C79" i="7" s="1"/>
  <c r="J9" i="2"/>
  <c r="J74" i="8"/>
  <c r="J81" i="8"/>
  <c r="J78" i="8"/>
  <c r="J80" i="8"/>
  <c r="F47" i="8"/>
  <c r="F71" i="8"/>
  <c r="D49" i="8"/>
  <c r="D73" i="8"/>
  <c r="F46" i="8"/>
  <c r="F70" i="8"/>
  <c r="F51" i="8"/>
  <c r="F75" i="8"/>
  <c r="F53" i="8"/>
  <c r="F77" i="8"/>
  <c r="E48" i="8"/>
  <c r="E72" i="8"/>
  <c r="G52" i="8"/>
  <c r="G76" i="8"/>
  <c r="F44" i="8"/>
  <c r="F68" i="8"/>
  <c r="F45" i="8"/>
  <c r="F69" i="8"/>
  <c r="J57" i="8"/>
  <c r="J56" i="8"/>
  <c r="J54" i="8"/>
  <c r="J50" i="8"/>
  <c r="G20" i="8"/>
  <c r="H20" i="8" s="1"/>
  <c r="E18" i="8"/>
  <c r="G15" i="8"/>
  <c r="G13" i="8"/>
  <c r="G22" i="8"/>
  <c r="F17" i="8"/>
  <c r="G16" i="8"/>
  <c r="G14" i="8"/>
  <c r="J10" i="2"/>
  <c r="J23" i="9"/>
  <c r="J27" i="9" s="1"/>
  <c r="J11" i="9"/>
  <c r="A29" i="15" s="1"/>
  <c r="J64" i="2"/>
  <c r="J68" i="7" s="1"/>
  <c r="J50" i="7"/>
  <c r="G118" i="8"/>
  <c r="H21" i="8"/>
  <c r="C20" i="7"/>
  <c r="C78" i="7" s="1"/>
  <c r="F35" i="8"/>
  <c r="B115" i="11"/>
  <c r="B93" i="8"/>
  <c r="C163" i="9"/>
  <c r="C165" i="9" s="1"/>
  <c r="D163" i="9"/>
  <c r="E163" i="9"/>
  <c r="F163" i="9"/>
  <c r="G163" i="9"/>
  <c r="H163" i="9"/>
  <c r="I163" i="9"/>
  <c r="J163" i="9"/>
  <c r="B163" i="9"/>
  <c r="B165" i="9" s="1"/>
  <c r="B109" i="11"/>
  <c r="B24" i="8" s="1"/>
  <c r="G42" i="2" l="1"/>
  <c r="G25" i="7"/>
  <c r="H31" i="2"/>
  <c r="F81" i="7"/>
  <c r="F86" i="7"/>
  <c r="G43" i="2"/>
  <c r="G26" i="7"/>
  <c r="G82" i="7" s="1"/>
  <c r="H32" i="2"/>
  <c r="B13" i="15" s="1"/>
  <c r="C24" i="8"/>
  <c r="C79" i="8" s="1"/>
  <c r="B79" i="8"/>
  <c r="B55" i="8"/>
  <c r="B29" i="8"/>
  <c r="K9" i="2"/>
  <c r="K74" i="8"/>
  <c r="K78" i="8"/>
  <c r="K80" i="8"/>
  <c r="K81" i="8"/>
  <c r="G44" i="8"/>
  <c r="G68" i="8"/>
  <c r="H51" i="8"/>
  <c r="H75" i="8"/>
  <c r="G47" i="8"/>
  <c r="G71" i="8"/>
  <c r="G46" i="8"/>
  <c r="G70" i="8"/>
  <c r="G45" i="8"/>
  <c r="G69" i="8"/>
  <c r="F48" i="8"/>
  <c r="F72" i="8"/>
  <c r="E49" i="8"/>
  <c r="E73" i="8"/>
  <c r="H52" i="8"/>
  <c r="H76" i="8"/>
  <c r="G53" i="8"/>
  <c r="G77" i="8"/>
  <c r="G51" i="8"/>
  <c r="G75" i="8"/>
  <c r="K57" i="8"/>
  <c r="K56" i="8"/>
  <c r="K54" i="8"/>
  <c r="K50" i="8"/>
  <c r="H16" i="8"/>
  <c r="H15" i="8"/>
  <c r="H70" i="8" s="1"/>
  <c r="H14" i="8"/>
  <c r="H69" i="8" s="1"/>
  <c r="G17" i="8"/>
  <c r="H13" i="8"/>
  <c r="H68" i="8" s="1"/>
  <c r="F18" i="8"/>
  <c r="H22" i="8"/>
  <c r="K10" i="2"/>
  <c r="K23" i="9"/>
  <c r="K27" i="9" s="1"/>
  <c r="K11" i="9"/>
  <c r="K16" i="9" s="1"/>
  <c r="K64" i="2"/>
  <c r="K68" i="7" s="1"/>
  <c r="K50" i="7"/>
  <c r="K163" i="9"/>
  <c r="D19" i="7"/>
  <c r="D20" i="7"/>
  <c r="D21" i="7"/>
  <c r="D22" i="7"/>
  <c r="H118" i="8"/>
  <c r="I21" i="8"/>
  <c r="I20" i="8"/>
  <c r="B35" i="8"/>
  <c r="B140" i="8" s="1"/>
  <c r="I35" i="8"/>
  <c r="I90" i="8" s="1"/>
  <c r="E35" i="8"/>
  <c r="E90" i="8" s="1"/>
  <c r="L35" i="8"/>
  <c r="L140" i="8" s="1"/>
  <c r="H35" i="8"/>
  <c r="H90" i="8" s="1"/>
  <c r="D35" i="8"/>
  <c r="D140" i="8" s="1"/>
  <c r="K35" i="8"/>
  <c r="K90" i="8" s="1"/>
  <c r="G35" i="8"/>
  <c r="G140" i="8" s="1"/>
  <c r="C90" i="8"/>
  <c r="B129" i="8"/>
  <c r="J35" i="8"/>
  <c r="J90" i="8" s="1"/>
  <c r="F90" i="8"/>
  <c r="F140" i="8"/>
  <c r="C27" i="2"/>
  <c r="C28" i="2"/>
  <c r="C75" i="7" s="1"/>
  <c r="B47" i="7"/>
  <c r="B35" i="7"/>
  <c r="C35" i="7" s="1"/>
  <c r="B29" i="7"/>
  <c r="B30" i="7"/>
  <c r="C30" i="7" s="1"/>
  <c r="D30" i="7" s="1"/>
  <c r="E30" i="7" s="1"/>
  <c r="F30" i="7" s="1"/>
  <c r="G30" i="7" s="1"/>
  <c r="H30" i="7" s="1"/>
  <c r="I30" i="7" s="1"/>
  <c r="J30" i="7" s="1"/>
  <c r="K30" i="7" s="1"/>
  <c r="L30" i="7" s="1"/>
  <c r="B31" i="7"/>
  <c r="C31" i="7" s="1"/>
  <c r="D31" i="7" s="1"/>
  <c r="E31" i="7" s="1"/>
  <c r="F31" i="7" s="1"/>
  <c r="G31" i="7" s="1"/>
  <c r="H31" i="7" s="1"/>
  <c r="I31" i="7" s="1"/>
  <c r="J31" i="7" s="1"/>
  <c r="K31" i="7" s="1"/>
  <c r="L31" i="7" s="1"/>
  <c r="B32" i="7"/>
  <c r="C32" i="7" s="1"/>
  <c r="D32" i="7" s="1"/>
  <c r="E32" i="7" s="1"/>
  <c r="F32" i="7" s="1"/>
  <c r="G32" i="7" s="1"/>
  <c r="H32" i="7" s="1"/>
  <c r="I32" i="7" s="1"/>
  <c r="J32" i="7" s="1"/>
  <c r="K32" i="7" s="1"/>
  <c r="L32" i="7" s="1"/>
  <c r="B78" i="7"/>
  <c r="B79" i="7"/>
  <c r="B87" i="7"/>
  <c r="B77" i="7"/>
  <c r="B26" i="9"/>
  <c r="B14" i="9"/>
  <c r="B15" i="9"/>
  <c r="B28" i="9"/>
  <c r="B16" i="9"/>
  <c r="B29" i="9"/>
  <c r="B17" i="9"/>
  <c r="B30" i="9"/>
  <c r="B18" i="9"/>
  <c r="B31" i="9"/>
  <c r="B19" i="9"/>
  <c r="B32" i="9"/>
  <c r="B41" i="9" s="1"/>
  <c r="C14" i="9"/>
  <c r="D14" i="9"/>
  <c r="E14" i="9"/>
  <c r="F14" i="9"/>
  <c r="G14" i="9"/>
  <c r="H14" i="9"/>
  <c r="I14" i="9"/>
  <c r="J14" i="9"/>
  <c r="C15" i="9"/>
  <c r="C36" i="9" s="1"/>
  <c r="D15" i="9"/>
  <c r="D36" i="9" s="1"/>
  <c r="E15" i="9"/>
  <c r="E36" i="9" s="1"/>
  <c r="F15" i="9"/>
  <c r="F36" i="9" s="1"/>
  <c r="G15" i="9"/>
  <c r="G36" i="9" s="1"/>
  <c r="H15" i="9"/>
  <c r="H36" i="9" s="1"/>
  <c r="I15" i="9"/>
  <c r="I36" i="9" s="1"/>
  <c r="J15" i="9"/>
  <c r="J36" i="9" s="1"/>
  <c r="C16" i="9"/>
  <c r="D16" i="9"/>
  <c r="E16" i="9"/>
  <c r="F16" i="9"/>
  <c r="G16" i="9"/>
  <c r="H16" i="9"/>
  <c r="I16" i="9"/>
  <c r="J16" i="9"/>
  <c r="C17" i="9"/>
  <c r="D17" i="9"/>
  <c r="E17" i="9"/>
  <c r="F17" i="9"/>
  <c r="G17" i="9"/>
  <c r="H17" i="9"/>
  <c r="I17" i="9"/>
  <c r="J17" i="9"/>
  <c r="C18" i="9"/>
  <c r="D18" i="9"/>
  <c r="E18" i="9"/>
  <c r="F18" i="9"/>
  <c r="G18" i="9"/>
  <c r="H18" i="9"/>
  <c r="I18" i="9"/>
  <c r="J18" i="9"/>
  <c r="C19" i="9"/>
  <c r="D19" i="9"/>
  <c r="E19" i="9"/>
  <c r="F19" i="9"/>
  <c r="G19" i="9"/>
  <c r="H19" i="9"/>
  <c r="I19" i="9"/>
  <c r="J19" i="9"/>
  <c r="C26" i="9"/>
  <c r="D26" i="9"/>
  <c r="E26" i="9"/>
  <c r="F26" i="9"/>
  <c r="G26" i="9"/>
  <c r="H26" i="9"/>
  <c r="I26" i="9"/>
  <c r="J26" i="9"/>
  <c r="K26" i="9"/>
  <c r="L26" i="9"/>
  <c r="C28" i="9"/>
  <c r="D28" i="9"/>
  <c r="E28" i="9"/>
  <c r="F28" i="9"/>
  <c r="G28" i="9"/>
  <c r="H28" i="9"/>
  <c r="I28" i="9"/>
  <c r="J28" i="9"/>
  <c r="K28" i="9"/>
  <c r="L28" i="9"/>
  <c r="C29" i="9"/>
  <c r="D29" i="9"/>
  <c r="E29" i="9"/>
  <c r="F29" i="9"/>
  <c r="G29" i="9"/>
  <c r="H29" i="9"/>
  <c r="I29" i="9"/>
  <c r="J29" i="9"/>
  <c r="K29" i="9"/>
  <c r="L29" i="9"/>
  <c r="C30" i="9"/>
  <c r="D30" i="9"/>
  <c r="E30" i="9"/>
  <c r="F30" i="9"/>
  <c r="G30" i="9"/>
  <c r="H30" i="9"/>
  <c r="I30" i="9"/>
  <c r="J30" i="9"/>
  <c r="K30" i="9"/>
  <c r="L30" i="9"/>
  <c r="C31" i="9"/>
  <c r="D31" i="9"/>
  <c r="E31" i="9"/>
  <c r="F31" i="9"/>
  <c r="G31" i="9"/>
  <c r="H31" i="9"/>
  <c r="I31" i="9"/>
  <c r="J31" i="9"/>
  <c r="K31" i="9"/>
  <c r="L31" i="9"/>
  <c r="C32" i="9"/>
  <c r="C41" i="9" s="1"/>
  <c r="D32" i="9"/>
  <c r="D41" i="9" s="1"/>
  <c r="E32" i="9"/>
  <c r="E41" i="9" s="1"/>
  <c r="F32" i="9"/>
  <c r="F41" i="9" s="1"/>
  <c r="G32" i="9"/>
  <c r="G41" i="9" s="1"/>
  <c r="H32" i="9"/>
  <c r="H41" i="9" s="1"/>
  <c r="I32" i="9"/>
  <c r="I41" i="9" s="1"/>
  <c r="J32" i="9"/>
  <c r="J41" i="9" s="1"/>
  <c r="K32" i="9"/>
  <c r="K41" i="9" s="1"/>
  <c r="L32" i="9"/>
  <c r="L41" i="9" s="1"/>
  <c r="C98" i="8"/>
  <c r="D98" i="8"/>
  <c r="E98" i="8"/>
  <c r="E93" i="8" s="1"/>
  <c r="F98" i="8"/>
  <c r="G98" i="8"/>
  <c r="H98" i="8"/>
  <c r="I98" i="8"/>
  <c r="I93" i="8" s="1"/>
  <c r="J98" i="8"/>
  <c r="K98" i="8"/>
  <c r="L98" i="8"/>
  <c r="C10" i="5"/>
  <c r="D10" i="5"/>
  <c r="E10" i="5"/>
  <c r="F10" i="5"/>
  <c r="G10" i="5"/>
  <c r="H10" i="5"/>
  <c r="I10" i="5"/>
  <c r="J10" i="5"/>
  <c r="K10" i="5"/>
  <c r="L10" i="5"/>
  <c r="B80" i="11"/>
  <c r="B58" i="8" s="1"/>
  <c r="C58" i="8" s="1"/>
  <c r="D58" i="8" s="1"/>
  <c r="E58" i="8" s="1"/>
  <c r="F58" i="8" s="1"/>
  <c r="G58" i="8" s="1"/>
  <c r="H58" i="8" s="1"/>
  <c r="I58" i="8" s="1"/>
  <c r="J58" i="8" s="1"/>
  <c r="K58" i="8" s="1"/>
  <c r="L58" i="8" s="1"/>
  <c r="B10" i="5"/>
  <c r="C24" i="2"/>
  <c r="L57" i="2"/>
  <c r="L65" i="7" s="1"/>
  <c r="K57" i="2"/>
  <c r="K65" i="7" s="1"/>
  <c r="J57" i="2"/>
  <c r="J65" i="7" s="1"/>
  <c r="I57" i="2"/>
  <c r="I65" i="7" s="1"/>
  <c r="H57" i="2"/>
  <c r="H65" i="7" s="1"/>
  <c r="G57" i="2"/>
  <c r="G65" i="7" s="1"/>
  <c r="F57" i="2"/>
  <c r="F65" i="7" s="1"/>
  <c r="E57" i="2"/>
  <c r="E65" i="7" s="1"/>
  <c r="D57" i="2"/>
  <c r="D65" i="7" s="1"/>
  <c r="C57" i="2"/>
  <c r="C65" i="7" s="1"/>
  <c r="B57" i="2"/>
  <c r="B65" i="7" s="1"/>
  <c r="G81" i="7" l="1"/>
  <c r="G86" i="7"/>
  <c r="B12" i="15"/>
  <c r="H25" i="7"/>
  <c r="H42" i="2"/>
  <c r="I31" i="2"/>
  <c r="H26" i="7"/>
  <c r="H82" i="7" s="1"/>
  <c r="I32" i="2"/>
  <c r="H43" i="2"/>
  <c r="C55" i="8"/>
  <c r="D24" i="8"/>
  <c r="D79" i="8" s="1"/>
  <c r="E20" i="7"/>
  <c r="D78" i="7"/>
  <c r="D24" i="2"/>
  <c r="D71" i="7" s="1"/>
  <c r="C71" i="7"/>
  <c r="E19" i="7"/>
  <c r="D77" i="7"/>
  <c r="E21" i="7"/>
  <c r="D79" i="7"/>
  <c r="E22" i="7"/>
  <c r="D87" i="7"/>
  <c r="L9" i="2"/>
  <c r="L74" i="8"/>
  <c r="L78" i="8"/>
  <c r="L80" i="8"/>
  <c r="L81" i="8"/>
  <c r="I51" i="8"/>
  <c r="I75" i="8"/>
  <c r="H53" i="8"/>
  <c r="H77" i="8"/>
  <c r="G48" i="8"/>
  <c r="G72" i="8"/>
  <c r="I52" i="8"/>
  <c r="I76" i="8"/>
  <c r="F49" i="8"/>
  <c r="F73" i="8"/>
  <c r="H47" i="8"/>
  <c r="H71" i="8"/>
  <c r="L56" i="8"/>
  <c r="L57" i="8"/>
  <c r="L54" i="8"/>
  <c r="L50" i="8"/>
  <c r="H44" i="8"/>
  <c r="H46" i="8"/>
  <c r="H45" i="8"/>
  <c r="I22" i="8"/>
  <c r="I15" i="8"/>
  <c r="I13" i="8"/>
  <c r="I14" i="8"/>
  <c r="I16" i="8"/>
  <c r="G18" i="8"/>
  <c r="H17" i="8"/>
  <c r="L10" i="2"/>
  <c r="K19" i="9"/>
  <c r="K40" i="9" s="1"/>
  <c r="K15" i="9"/>
  <c r="K36" i="9" s="1"/>
  <c r="J35" i="9"/>
  <c r="F35" i="9"/>
  <c r="H35" i="9"/>
  <c r="D35" i="9"/>
  <c r="K17" i="9"/>
  <c r="K38" i="9" s="1"/>
  <c r="K18" i="9"/>
  <c r="K39" i="9" s="1"/>
  <c r="K14" i="9"/>
  <c r="K35" i="9" s="1"/>
  <c r="G35" i="9"/>
  <c r="C35" i="9"/>
  <c r="I35" i="9"/>
  <c r="E35" i="9"/>
  <c r="L23" i="9"/>
  <c r="L27" i="9" s="1"/>
  <c r="L11" i="9"/>
  <c r="L64" i="2"/>
  <c r="L68" i="7" s="1"/>
  <c r="L50" i="7"/>
  <c r="L163" i="9"/>
  <c r="C140" i="8"/>
  <c r="H140" i="8"/>
  <c r="B90" i="8"/>
  <c r="C129" i="8"/>
  <c r="I118" i="8"/>
  <c r="J21" i="8"/>
  <c r="D90" i="8"/>
  <c r="J20" i="8"/>
  <c r="I140" i="8"/>
  <c r="G40" i="9"/>
  <c r="C40" i="9"/>
  <c r="I39" i="9"/>
  <c r="E39" i="9"/>
  <c r="G38" i="9"/>
  <c r="C38" i="9"/>
  <c r="I37" i="9"/>
  <c r="E37" i="9"/>
  <c r="C35" i="2"/>
  <c r="H40" i="9"/>
  <c r="D40" i="9"/>
  <c r="J39" i="9"/>
  <c r="F39" i="9"/>
  <c r="H38" i="9"/>
  <c r="D38" i="9"/>
  <c r="J37" i="9"/>
  <c r="F37" i="9"/>
  <c r="J40" i="9"/>
  <c r="F40" i="9"/>
  <c r="H39" i="9"/>
  <c r="D39" i="9"/>
  <c r="J38" i="9"/>
  <c r="F38" i="9"/>
  <c r="H37" i="9"/>
  <c r="D37" i="9"/>
  <c r="I40" i="9"/>
  <c r="E40" i="9"/>
  <c r="G39" i="9"/>
  <c r="C39" i="9"/>
  <c r="I38" i="9"/>
  <c r="E38" i="9"/>
  <c r="K37" i="9"/>
  <c r="G37" i="9"/>
  <c r="C37" i="9"/>
  <c r="C39" i="2"/>
  <c r="C38" i="2"/>
  <c r="C56" i="7"/>
  <c r="F66" i="8"/>
  <c r="J42" i="8"/>
  <c r="G66" i="8"/>
  <c r="K42" i="8"/>
  <c r="I42" i="8"/>
  <c r="D66" i="8"/>
  <c r="H42" i="8"/>
  <c r="L42" i="8"/>
  <c r="E66" i="8"/>
  <c r="C66" i="8"/>
  <c r="G65" i="8"/>
  <c r="E40" i="8"/>
  <c r="C25" i="2"/>
  <c r="C72" i="7" s="1"/>
  <c r="B53" i="7"/>
  <c r="D92" i="8"/>
  <c r="E92" i="8"/>
  <c r="I92" i="8"/>
  <c r="L92" i="8"/>
  <c r="B92" i="8"/>
  <c r="B6" i="7"/>
  <c r="B23" i="7" s="1"/>
  <c r="F62" i="2"/>
  <c r="F63" i="2" s="1"/>
  <c r="J62" i="2"/>
  <c r="J63" i="2" s="1"/>
  <c r="H92" i="8"/>
  <c r="C29" i="2"/>
  <c r="C76" i="7" s="1"/>
  <c r="C30" i="2"/>
  <c r="C24" i="7" s="1"/>
  <c r="L90" i="8"/>
  <c r="E140" i="8"/>
  <c r="G90" i="8"/>
  <c r="J140" i="8"/>
  <c r="B39" i="9"/>
  <c r="K140" i="8"/>
  <c r="C6" i="5"/>
  <c r="B99" i="8"/>
  <c r="B36" i="9"/>
  <c r="B35" i="9"/>
  <c r="B40" i="8"/>
  <c r="B64" i="8"/>
  <c r="B65" i="8"/>
  <c r="B41" i="8"/>
  <c r="D42" i="8"/>
  <c r="C40" i="8"/>
  <c r="C64" i="8"/>
  <c r="B42" i="8"/>
  <c r="B66" i="8"/>
  <c r="D64" i="8"/>
  <c r="D40" i="8"/>
  <c r="B40" i="9"/>
  <c r="B38" i="9"/>
  <c r="B37" i="9"/>
  <c r="D93" i="8"/>
  <c r="G93" i="8"/>
  <c r="L93" i="8"/>
  <c r="H93" i="8"/>
  <c r="J93" i="8"/>
  <c r="B41" i="7"/>
  <c r="D35" i="7"/>
  <c r="C29" i="7"/>
  <c r="C57" i="7"/>
  <c r="D27" i="2"/>
  <c r="B62" i="2"/>
  <c r="B63" i="2" s="1"/>
  <c r="E62" i="2"/>
  <c r="E63" i="2" s="1"/>
  <c r="I62" i="2"/>
  <c r="I63" i="2" s="1"/>
  <c r="B57" i="7"/>
  <c r="C92" i="8"/>
  <c r="C93" i="8" s="1"/>
  <c r="J92" i="8"/>
  <c r="F92" i="8"/>
  <c r="F93" i="8" s="1"/>
  <c r="L62" i="2"/>
  <c r="L63" i="2" s="1"/>
  <c r="H62" i="2"/>
  <c r="H63" i="2" s="1"/>
  <c r="D62" i="2"/>
  <c r="D63" i="2" s="1"/>
  <c r="C26" i="2"/>
  <c r="C73" i="7" s="1"/>
  <c r="G92" i="8"/>
  <c r="K62" i="2"/>
  <c r="K63" i="2" s="1"/>
  <c r="G62" i="2"/>
  <c r="G63" i="2" s="1"/>
  <c r="C62" i="2"/>
  <c r="C63" i="2" s="1"/>
  <c r="K92" i="8"/>
  <c r="K93" i="8" s="1"/>
  <c r="D28" i="2"/>
  <c r="D75" i="7" s="1"/>
  <c r="C6" i="7" l="1"/>
  <c r="I42" i="2"/>
  <c r="I25" i="7"/>
  <c r="J31" i="2"/>
  <c r="I43" i="2"/>
  <c r="I26" i="7"/>
  <c r="I82" i="7" s="1"/>
  <c r="J32" i="2"/>
  <c r="H86" i="7"/>
  <c r="H81" i="7"/>
  <c r="C85" i="7"/>
  <c r="C80" i="7"/>
  <c r="B46" i="2"/>
  <c r="B2" i="9" s="1"/>
  <c r="B50" i="2"/>
  <c r="B6" i="9" s="1"/>
  <c r="B47" i="2"/>
  <c r="B3" i="9" s="1"/>
  <c r="B53" i="2"/>
  <c r="B48" i="2"/>
  <c r="B4" i="9" s="1"/>
  <c r="B52" i="2"/>
  <c r="B8" i="9" s="1"/>
  <c r="B62" i="9" s="1"/>
  <c r="B49" i="2"/>
  <c r="B5" i="9" s="1"/>
  <c r="D55" i="8"/>
  <c r="E24" i="8"/>
  <c r="E79" i="8" s="1"/>
  <c r="F21" i="7"/>
  <c r="E79" i="7"/>
  <c r="F22" i="7"/>
  <c r="E87" i="7"/>
  <c r="F19" i="7"/>
  <c r="E77" i="7"/>
  <c r="F20" i="7"/>
  <c r="E78" i="7"/>
  <c r="D29" i="2"/>
  <c r="D25" i="2"/>
  <c r="D72" i="7" s="1"/>
  <c r="C37" i="2"/>
  <c r="B59" i="8"/>
  <c r="B101" i="8" s="1"/>
  <c r="J51" i="8"/>
  <c r="J75" i="8"/>
  <c r="I47" i="8"/>
  <c r="I71" i="8"/>
  <c r="I45" i="8"/>
  <c r="I69" i="8"/>
  <c r="I53" i="8"/>
  <c r="I77" i="8"/>
  <c r="J52" i="8"/>
  <c r="J76" i="8"/>
  <c r="H48" i="8"/>
  <c r="H72" i="8"/>
  <c r="I44" i="8"/>
  <c r="I68" i="8"/>
  <c r="J22" i="8"/>
  <c r="K22" i="8" s="1"/>
  <c r="G49" i="8"/>
  <c r="G73" i="8"/>
  <c r="I46" i="8"/>
  <c r="I70" i="8"/>
  <c r="I17" i="8"/>
  <c r="J13" i="8"/>
  <c r="H18" i="8"/>
  <c r="J14" i="8"/>
  <c r="J15" i="8"/>
  <c r="J16" i="8"/>
  <c r="L14" i="9"/>
  <c r="L35" i="9" s="1"/>
  <c r="L16" i="9"/>
  <c r="L37" i="9" s="1"/>
  <c r="L18" i="9"/>
  <c r="L39" i="9" s="1"/>
  <c r="L15" i="9"/>
  <c r="L36" i="9" s="1"/>
  <c r="L17" i="9"/>
  <c r="L38" i="9" s="1"/>
  <c r="L19" i="9"/>
  <c r="L40" i="9" s="1"/>
  <c r="D129" i="8"/>
  <c r="J118" i="8"/>
  <c r="C29" i="8"/>
  <c r="K20" i="8"/>
  <c r="K21" i="8"/>
  <c r="G44" i="9"/>
  <c r="C41" i="7"/>
  <c r="C49" i="9"/>
  <c r="I48" i="9"/>
  <c r="F45" i="9"/>
  <c r="F47" i="9"/>
  <c r="B74" i="7"/>
  <c r="B91" i="7" s="1"/>
  <c r="C83" i="26" s="1"/>
  <c r="H44" i="9"/>
  <c r="F44" i="9"/>
  <c r="F48" i="9"/>
  <c r="F46" i="9"/>
  <c r="F49" i="9"/>
  <c r="F50" i="9"/>
  <c r="D48" i="9"/>
  <c r="J44" i="9"/>
  <c r="D45" i="9"/>
  <c r="J47" i="9"/>
  <c r="J45" i="9"/>
  <c r="J46" i="9"/>
  <c r="D44" i="9"/>
  <c r="D49" i="9"/>
  <c r="E49" i="9"/>
  <c r="H48" i="9"/>
  <c r="D50" i="9"/>
  <c r="J50" i="9"/>
  <c r="J48" i="9"/>
  <c r="D47" i="9"/>
  <c r="D46" i="9"/>
  <c r="J49" i="9"/>
  <c r="K44" i="9"/>
  <c r="C50" i="9"/>
  <c r="I49" i="9"/>
  <c r="H47" i="9"/>
  <c r="E50" i="9"/>
  <c r="C44" i="9"/>
  <c r="I46" i="9"/>
  <c r="I44" i="9"/>
  <c r="C48" i="9"/>
  <c r="C45" i="9"/>
  <c r="H50" i="9"/>
  <c r="H45" i="9"/>
  <c r="I50" i="9"/>
  <c r="C47" i="9"/>
  <c r="E45" i="9"/>
  <c r="C46" i="9"/>
  <c r="I45" i="9"/>
  <c r="H49" i="9"/>
  <c r="E44" i="9"/>
  <c r="E46" i="9"/>
  <c r="H46" i="9"/>
  <c r="I47" i="9"/>
  <c r="E48" i="9"/>
  <c r="I66" i="8"/>
  <c r="K48" i="9"/>
  <c r="K47" i="9"/>
  <c r="G49" i="9"/>
  <c r="K46" i="9"/>
  <c r="E47" i="9"/>
  <c r="K45" i="9"/>
  <c r="G45" i="9"/>
  <c r="G48" i="9"/>
  <c r="K49" i="9"/>
  <c r="K50" i="9"/>
  <c r="G47" i="9"/>
  <c r="G46" i="9"/>
  <c r="G50" i="9"/>
  <c r="L66" i="8"/>
  <c r="J65" i="8"/>
  <c r="J66" i="8"/>
  <c r="C42" i="8"/>
  <c r="I65" i="8"/>
  <c r="H65" i="8"/>
  <c r="E42" i="8"/>
  <c r="F42" i="8"/>
  <c r="I41" i="8"/>
  <c r="H41" i="8"/>
  <c r="F41" i="8"/>
  <c r="E41" i="8"/>
  <c r="C65" i="8"/>
  <c r="K65" i="8"/>
  <c r="L65" i="8"/>
  <c r="D41" i="8"/>
  <c r="J41" i="8"/>
  <c r="G41" i="8"/>
  <c r="H66" i="8"/>
  <c r="D65" i="8"/>
  <c r="G42" i="8"/>
  <c r="F65" i="8"/>
  <c r="E64" i="8"/>
  <c r="L41" i="8"/>
  <c r="K41" i="8"/>
  <c r="C36" i="2"/>
  <c r="D38" i="2"/>
  <c r="D56" i="7"/>
  <c r="C41" i="2"/>
  <c r="D39" i="2"/>
  <c r="C40" i="2"/>
  <c r="D35" i="2"/>
  <c r="E65" i="8"/>
  <c r="K66" i="8"/>
  <c r="C41" i="8"/>
  <c r="E24" i="2"/>
  <c r="E71" i="7" s="1"/>
  <c r="B134" i="8"/>
  <c r="D30" i="2"/>
  <c r="D24" i="7" s="1"/>
  <c r="B58" i="7"/>
  <c r="B51" i="2" s="1"/>
  <c r="B7" i="9" s="1"/>
  <c r="B50" i="9"/>
  <c r="C99" i="8"/>
  <c r="B47" i="9"/>
  <c r="B48" i="9"/>
  <c r="B84" i="8"/>
  <c r="B34" i="8"/>
  <c r="B46" i="9"/>
  <c r="B44" i="9"/>
  <c r="B45" i="9"/>
  <c r="B49" i="9"/>
  <c r="B62" i="7"/>
  <c r="B61" i="7"/>
  <c r="B54" i="2" s="1"/>
  <c r="E35" i="7"/>
  <c r="D29" i="7"/>
  <c r="C58" i="7"/>
  <c r="E27" i="2"/>
  <c r="D26" i="2"/>
  <c r="B98" i="8"/>
  <c r="D57" i="7"/>
  <c r="E28" i="2"/>
  <c r="E75" i="7" s="1"/>
  <c r="C58" i="9" l="1"/>
  <c r="E58" i="9"/>
  <c r="D6" i="7"/>
  <c r="C23" i="7"/>
  <c r="J25" i="7"/>
  <c r="J42" i="2"/>
  <c r="K31" i="2"/>
  <c r="J43" i="2"/>
  <c r="J26" i="7"/>
  <c r="J82" i="7" s="1"/>
  <c r="K32" i="2"/>
  <c r="I86" i="7"/>
  <c r="I81" i="7"/>
  <c r="D80" i="7"/>
  <c r="D85" i="7"/>
  <c r="B88" i="7"/>
  <c r="B94" i="7" s="1"/>
  <c r="B58" i="9"/>
  <c r="B58" i="2"/>
  <c r="B73" i="9" s="1"/>
  <c r="B76" i="9" s="1"/>
  <c r="B61" i="2"/>
  <c r="B106" i="9" s="1"/>
  <c r="B109" i="9" s="1"/>
  <c r="D59" i="8"/>
  <c r="D9" i="5" s="1"/>
  <c r="D11" i="5" s="1"/>
  <c r="F24" i="8"/>
  <c r="F79" i="8" s="1"/>
  <c r="E55" i="8"/>
  <c r="E59" i="8" s="1"/>
  <c r="E9" i="5" s="1"/>
  <c r="E11" i="5" s="1"/>
  <c r="E26" i="2"/>
  <c r="E73" i="7" s="1"/>
  <c r="D73" i="7"/>
  <c r="G20" i="7"/>
  <c r="F78" i="7"/>
  <c r="G22" i="7"/>
  <c r="F87" i="7"/>
  <c r="E30" i="2"/>
  <c r="E24" i="7" s="1"/>
  <c r="D40" i="2"/>
  <c r="D76" i="7"/>
  <c r="G19" i="7"/>
  <c r="F77" i="7"/>
  <c r="G21" i="7"/>
  <c r="F79" i="7"/>
  <c r="E29" i="2"/>
  <c r="C44" i="7"/>
  <c r="C47" i="7" s="1"/>
  <c r="C53" i="7" s="1"/>
  <c r="E25" i="2"/>
  <c r="E72" i="7" s="1"/>
  <c r="D36" i="2"/>
  <c r="F59" i="9"/>
  <c r="K51" i="8"/>
  <c r="K75" i="8"/>
  <c r="J47" i="8"/>
  <c r="J71" i="8"/>
  <c r="J44" i="8"/>
  <c r="J68" i="8"/>
  <c r="J53" i="8"/>
  <c r="J77" i="8"/>
  <c r="H49" i="8"/>
  <c r="H73" i="8"/>
  <c r="K53" i="8"/>
  <c r="K77" i="8"/>
  <c r="J46" i="8"/>
  <c r="J70" i="8"/>
  <c r="I48" i="8"/>
  <c r="I72" i="8"/>
  <c r="C59" i="8"/>
  <c r="C101" i="8" s="1"/>
  <c r="K52" i="8"/>
  <c r="K76" i="8"/>
  <c r="J45" i="8"/>
  <c r="J69" i="8"/>
  <c r="K16" i="8"/>
  <c r="K13" i="8"/>
  <c r="I18" i="8"/>
  <c r="K14" i="8"/>
  <c r="K15" i="8"/>
  <c r="J17" i="8"/>
  <c r="H58" i="9"/>
  <c r="K58" i="9"/>
  <c r="J58" i="9"/>
  <c r="D59" i="9"/>
  <c r="L49" i="9"/>
  <c r="L45" i="9"/>
  <c r="L48" i="9"/>
  <c r="L50" i="9"/>
  <c r="L46" i="9"/>
  <c r="L44" i="9"/>
  <c r="L47" i="9"/>
  <c r="K118" i="8"/>
  <c r="E129" i="8"/>
  <c r="G59" i="9"/>
  <c r="L21" i="8"/>
  <c r="D29" i="8"/>
  <c r="L20" i="8"/>
  <c r="L22" i="8"/>
  <c r="F58" i="9"/>
  <c r="H59" i="9"/>
  <c r="F24" i="2"/>
  <c r="F71" i="7" s="1"/>
  <c r="J54" i="9"/>
  <c r="F55" i="9"/>
  <c r="F54" i="9"/>
  <c r="C59" i="9"/>
  <c r="F57" i="9"/>
  <c r="K59" i="9"/>
  <c r="E59" i="9"/>
  <c r="F56" i="9"/>
  <c r="D58" i="9"/>
  <c r="D54" i="9"/>
  <c r="D57" i="9"/>
  <c r="J59" i="9"/>
  <c r="J57" i="9"/>
  <c r="J55" i="9"/>
  <c r="J56" i="9"/>
  <c r="D55" i="9"/>
  <c r="D56" i="9"/>
  <c r="E54" i="9"/>
  <c r="I56" i="9"/>
  <c r="G58" i="9"/>
  <c r="I58" i="9"/>
  <c r="I57" i="9"/>
  <c r="C57" i="9"/>
  <c r="E57" i="9"/>
  <c r="E55" i="9"/>
  <c r="K54" i="9"/>
  <c r="H55" i="9"/>
  <c r="C55" i="9"/>
  <c r="H56" i="9"/>
  <c r="H57" i="9"/>
  <c r="I54" i="9"/>
  <c r="I55" i="9"/>
  <c r="I59" i="9"/>
  <c r="K55" i="9"/>
  <c r="H54" i="9"/>
  <c r="C54" i="9"/>
  <c r="C56" i="9"/>
  <c r="K57" i="9"/>
  <c r="K56" i="9"/>
  <c r="G56" i="9"/>
  <c r="G54" i="9"/>
  <c r="E56" i="9"/>
  <c r="G55" i="9"/>
  <c r="G57" i="9"/>
  <c r="D58" i="7"/>
  <c r="D37" i="2"/>
  <c r="E56" i="7"/>
  <c r="E38" i="2"/>
  <c r="E39" i="2"/>
  <c r="D41" i="2"/>
  <c r="E35" i="2"/>
  <c r="C134" i="8"/>
  <c r="F40" i="8"/>
  <c r="F64" i="8"/>
  <c r="D99" i="8"/>
  <c r="D6" i="5"/>
  <c r="B89" i="8"/>
  <c r="B139" i="8"/>
  <c r="C84" i="8"/>
  <c r="B9" i="5"/>
  <c r="B11" i="5" s="1"/>
  <c r="B55" i="9"/>
  <c r="B57" i="9"/>
  <c r="B59" i="9"/>
  <c r="B54" i="9"/>
  <c r="B63" i="9" s="1"/>
  <c r="B56" i="9"/>
  <c r="D41" i="7"/>
  <c r="B21" i="15" s="1"/>
  <c r="C34" i="8"/>
  <c r="F35" i="7"/>
  <c r="E29" i="7"/>
  <c r="F27" i="2"/>
  <c r="B6" i="5"/>
  <c r="E57" i="7"/>
  <c r="F28" i="2"/>
  <c r="E6" i="7" l="1"/>
  <c r="D23" i="7"/>
  <c r="B22" i="15" s="1"/>
  <c r="K25" i="7"/>
  <c r="K42" i="2"/>
  <c r="L31" i="2"/>
  <c r="K43" i="2"/>
  <c r="K26" i="7"/>
  <c r="K82" i="7" s="1"/>
  <c r="L32" i="2"/>
  <c r="J81" i="7"/>
  <c r="J86" i="7"/>
  <c r="E80" i="7"/>
  <c r="E85" i="7"/>
  <c r="C88" i="7"/>
  <c r="C94" i="7" s="1"/>
  <c r="C97" i="7" s="1"/>
  <c r="C50" i="2"/>
  <c r="C6" i="9" s="1"/>
  <c r="C53" i="2"/>
  <c r="C51" i="2"/>
  <c r="C7" i="9" s="1"/>
  <c r="C52" i="2"/>
  <c r="C8" i="9" s="1"/>
  <c r="C62" i="9" s="1"/>
  <c r="C49" i="2"/>
  <c r="C5" i="9" s="1"/>
  <c r="C46" i="2"/>
  <c r="C2" i="9" s="1"/>
  <c r="C47" i="2"/>
  <c r="C3" i="9" s="1"/>
  <c r="C48" i="2"/>
  <c r="C4" i="9" s="1"/>
  <c r="D101" i="8"/>
  <c r="G24" i="8"/>
  <c r="G79" i="8" s="1"/>
  <c r="F55" i="8"/>
  <c r="F59" i="8" s="1"/>
  <c r="F9" i="5" s="1"/>
  <c r="F11" i="5" s="1"/>
  <c r="E41" i="2"/>
  <c r="B110" i="9"/>
  <c r="B77" i="9"/>
  <c r="F26" i="2"/>
  <c r="F37" i="2" s="1"/>
  <c r="E37" i="2"/>
  <c r="F30" i="2"/>
  <c r="C74" i="7"/>
  <c r="C91" i="7" s="1"/>
  <c r="C84" i="26" s="1"/>
  <c r="F29" i="2"/>
  <c r="F76" i="7" s="1"/>
  <c r="E76" i="7"/>
  <c r="H20" i="7"/>
  <c r="G78" i="7"/>
  <c r="H21" i="7"/>
  <c r="G79" i="7"/>
  <c r="H22" i="7"/>
  <c r="G87" i="7"/>
  <c r="F75" i="7"/>
  <c r="H19" i="7"/>
  <c r="G77" i="7"/>
  <c r="C61" i="7"/>
  <c r="C54" i="2" s="1"/>
  <c r="A148" i="9"/>
  <c r="C148" i="9" s="1"/>
  <c r="E148" i="9" s="1"/>
  <c r="E40" i="2"/>
  <c r="A147" i="9"/>
  <c r="C147" i="9" s="1"/>
  <c r="E147" i="9" s="1"/>
  <c r="E29" i="8"/>
  <c r="E134" i="8" s="1"/>
  <c r="C62" i="7"/>
  <c r="F25" i="2"/>
  <c r="E36" i="2"/>
  <c r="I49" i="8"/>
  <c r="I73" i="8"/>
  <c r="J48" i="8"/>
  <c r="J72" i="8"/>
  <c r="K44" i="8"/>
  <c r="K68" i="8"/>
  <c r="K46" i="8"/>
  <c r="K70" i="8"/>
  <c r="K47" i="8"/>
  <c r="K71" i="8"/>
  <c r="L51" i="8"/>
  <c r="L75" i="8"/>
  <c r="L53" i="8"/>
  <c r="L77" i="8"/>
  <c r="L52" i="8"/>
  <c r="L76" i="8"/>
  <c r="K45" i="8"/>
  <c r="K69" i="8"/>
  <c r="L14" i="8"/>
  <c r="L15" i="8"/>
  <c r="L16" i="8"/>
  <c r="K17" i="8"/>
  <c r="L13" i="8"/>
  <c r="J18" i="8"/>
  <c r="B91" i="9"/>
  <c r="B102" i="9" s="1"/>
  <c r="L58" i="9"/>
  <c r="L59" i="9"/>
  <c r="L55" i="9"/>
  <c r="L54" i="9"/>
  <c r="L56" i="9"/>
  <c r="L57" i="9"/>
  <c r="G24" i="2"/>
  <c r="G71" i="7" s="1"/>
  <c r="F129" i="8"/>
  <c r="F35" i="2"/>
  <c r="L118" i="8"/>
  <c r="A150" i="9"/>
  <c r="C150" i="9" s="1"/>
  <c r="E150" i="9" s="1"/>
  <c r="A141" i="9"/>
  <c r="C141" i="9" s="1"/>
  <c r="E141" i="9" s="1"/>
  <c r="A145" i="9"/>
  <c r="C145" i="9" s="1"/>
  <c r="E145" i="9" s="1"/>
  <c r="A144" i="9"/>
  <c r="C144" i="9" s="1"/>
  <c r="E144" i="9" s="1"/>
  <c r="C9" i="5"/>
  <c r="C11" i="5" s="1"/>
  <c r="A139" i="9"/>
  <c r="C139" i="9" s="1"/>
  <c r="E139" i="9" s="1"/>
  <c r="A146" i="9"/>
  <c r="C146" i="9" s="1"/>
  <c r="E146" i="9" s="1"/>
  <c r="F56" i="7"/>
  <c r="F38" i="2"/>
  <c r="F39" i="2"/>
  <c r="A142" i="9"/>
  <c r="C142" i="9" s="1"/>
  <c r="E142" i="9" s="1"/>
  <c r="D134" i="8"/>
  <c r="G40" i="8"/>
  <c r="G64" i="8"/>
  <c r="D84" i="8"/>
  <c r="A143" i="9"/>
  <c r="C143" i="9" s="1"/>
  <c r="E143" i="9" s="1"/>
  <c r="E99" i="8"/>
  <c r="E101" i="8" s="1"/>
  <c r="E6" i="5"/>
  <c r="G27" i="2"/>
  <c r="A140" i="9"/>
  <c r="C140" i="9" s="1"/>
  <c r="E140" i="9" s="1"/>
  <c r="B124" i="9"/>
  <c r="C89" i="8"/>
  <c r="C139" i="8"/>
  <c r="A149" i="9"/>
  <c r="C149" i="9" s="1"/>
  <c r="E149" i="9" s="1"/>
  <c r="E41" i="7"/>
  <c r="D34" i="8"/>
  <c r="D44" i="7"/>
  <c r="D47" i="7" s="1"/>
  <c r="A137" i="9"/>
  <c r="C137" i="9" s="1"/>
  <c r="E137" i="9" s="1"/>
  <c r="A138" i="9"/>
  <c r="E58" i="7"/>
  <c r="G35" i="7"/>
  <c r="F29" i="7"/>
  <c r="F57" i="7"/>
  <c r="G28" i="2"/>
  <c r="G75" i="7" s="1"/>
  <c r="F6" i="7" l="1"/>
  <c r="E23" i="7"/>
  <c r="C52" i="26"/>
  <c r="D51" i="26" s="1"/>
  <c r="D83" i="26"/>
  <c r="L42" i="2"/>
  <c r="L25" i="7"/>
  <c r="L43" i="2"/>
  <c r="L26" i="7"/>
  <c r="L82" i="7" s="1"/>
  <c r="K81" i="7"/>
  <c r="K86" i="7"/>
  <c r="F41" i="2"/>
  <c r="F24" i="7"/>
  <c r="D88" i="7"/>
  <c r="D94" i="7" s="1"/>
  <c r="D97" i="7" s="1"/>
  <c r="C53" i="26" s="1"/>
  <c r="F73" i="7"/>
  <c r="G55" i="8"/>
  <c r="G59" i="8" s="1"/>
  <c r="G9" i="5" s="1"/>
  <c r="G11" i="5" s="1"/>
  <c r="H24" i="8"/>
  <c r="H79" i="8" s="1"/>
  <c r="C63" i="9"/>
  <c r="C64" i="9" s="1"/>
  <c r="C61" i="2"/>
  <c r="C106" i="9" s="1"/>
  <c r="C109" i="9" s="1"/>
  <c r="C124" i="9" s="1"/>
  <c r="C133" i="9" s="1"/>
  <c r="C58" i="2"/>
  <c r="C73" i="9" s="1"/>
  <c r="C76" i="9" s="1"/>
  <c r="C91" i="9" s="1"/>
  <c r="C102" i="9" s="1"/>
  <c r="G30" i="2"/>
  <c r="G24" i="7" s="1"/>
  <c r="G26" i="2"/>
  <c r="G73" i="7" s="1"/>
  <c r="F40" i="2"/>
  <c r="B19" i="15"/>
  <c r="B17" i="15"/>
  <c r="B20" i="15"/>
  <c r="B18" i="15"/>
  <c r="G29" i="2"/>
  <c r="G76" i="7" s="1"/>
  <c r="F29" i="8"/>
  <c r="F84" i="8" s="1"/>
  <c r="H79" i="7"/>
  <c r="I21" i="7"/>
  <c r="G25" i="2"/>
  <c r="G72" i="7" s="1"/>
  <c r="F72" i="7"/>
  <c r="H77" i="7"/>
  <c r="I19" i="7"/>
  <c r="H87" i="7"/>
  <c r="I22" i="7"/>
  <c r="H78" i="7"/>
  <c r="I20" i="7"/>
  <c r="E84" i="8"/>
  <c r="F36" i="2"/>
  <c r="J49" i="8"/>
  <c r="J73" i="8"/>
  <c r="L47" i="8"/>
  <c r="L71" i="8"/>
  <c r="L44" i="8"/>
  <c r="L68" i="8"/>
  <c r="L46" i="8"/>
  <c r="L70" i="8"/>
  <c r="K48" i="8"/>
  <c r="K72" i="8"/>
  <c r="L45" i="8"/>
  <c r="L69" i="8"/>
  <c r="K18" i="8"/>
  <c r="L17" i="8"/>
  <c r="B88" i="9"/>
  <c r="B99" i="9" s="1"/>
  <c r="H24" i="2"/>
  <c r="B5" i="15" s="1"/>
  <c r="G35" i="2"/>
  <c r="G129" i="8"/>
  <c r="G39" i="2"/>
  <c r="G38" i="2"/>
  <c r="G56" i="7"/>
  <c r="H64" i="8"/>
  <c r="H40" i="8"/>
  <c r="D53" i="7"/>
  <c r="F58" i="7"/>
  <c r="F99" i="8"/>
  <c r="F101" i="8" s="1"/>
  <c r="F6" i="5"/>
  <c r="B64" i="9"/>
  <c r="B111" i="9" s="1"/>
  <c r="H27" i="2"/>
  <c r="B8" i="15" s="1"/>
  <c r="B121" i="9"/>
  <c r="B133" i="9"/>
  <c r="D89" i="8"/>
  <c r="D139" i="8"/>
  <c r="C138" i="9"/>
  <c r="E138" i="9" s="1"/>
  <c r="F41" i="7"/>
  <c r="E34" i="8"/>
  <c r="E44" i="7"/>
  <c r="E47" i="7" s="1"/>
  <c r="H35" i="7"/>
  <c r="G29" i="7"/>
  <c r="G57" i="7"/>
  <c r="H28" i="2"/>
  <c r="G6" i="7" l="1"/>
  <c r="F23" i="7"/>
  <c r="D52" i="26"/>
  <c r="L86" i="7"/>
  <c r="L81" i="7"/>
  <c r="F85" i="7"/>
  <c r="F80" i="7"/>
  <c r="G85" i="7"/>
  <c r="G80" i="7"/>
  <c r="E88" i="7"/>
  <c r="E94" i="7" s="1"/>
  <c r="E97" i="7" s="1"/>
  <c r="C54" i="26" s="1"/>
  <c r="D54" i="26" s="1"/>
  <c r="H75" i="7"/>
  <c r="B9" i="15"/>
  <c r="I24" i="8"/>
  <c r="I79" i="8" s="1"/>
  <c r="H55" i="8"/>
  <c r="H59" i="8" s="1"/>
  <c r="H9" i="5" s="1"/>
  <c r="H11" i="5" s="1"/>
  <c r="G37" i="2"/>
  <c r="H26" i="2"/>
  <c r="C111" i="9"/>
  <c r="C122" i="9" s="1"/>
  <c r="C77" i="9"/>
  <c r="C88" i="9" s="1"/>
  <c r="C99" i="9" s="1"/>
  <c r="D74" i="7"/>
  <c r="D91" i="7" s="1"/>
  <c r="C85" i="26" s="1"/>
  <c r="D46" i="2"/>
  <c r="D2" i="9" s="1"/>
  <c r="D50" i="2"/>
  <c r="D6" i="9" s="1"/>
  <c r="D49" i="2"/>
  <c r="D5" i="9" s="1"/>
  <c r="D47" i="2"/>
  <c r="D3" i="9" s="1"/>
  <c r="D51" i="2"/>
  <c r="D7" i="9" s="1"/>
  <c r="D53" i="2"/>
  <c r="D48" i="2"/>
  <c r="D4" i="9" s="1"/>
  <c r="D52" i="2"/>
  <c r="D8" i="9" s="1"/>
  <c r="D62" i="9" s="1"/>
  <c r="C110" i="9"/>
  <c r="C121" i="9" s="1"/>
  <c r="C130" i="9" s="1"/>
  <c r="G41" i="2"/>
  <c r="H30" i="2"/>
  <c r="H24" i="7" s="1"/>
  <c r="H25" i="2"/>
  <c r="H29" i="2"/>
  <c r="F134" i="8"/>
  <c r="G40" i="2"/>
  <c r="G29" i="8"/>
  <c r="G134" i="8" s="1"/>
  <c r="J22" i="7"/>
  <c r="I87" i="7"/>
  <c r="G36" i="2"/>
  <c r="J20" i="7"/>
  <c r="I78" i="7"/>
  <c r="I77" i="7"/>
  <c r="J19" i="7"/>
  <c r="J21" i="7"/>
  <c r="I79" i="7"/>
  <c r="H35" i="2"/>
  <c r="H71" i="7"/>
  <c r="L48" i="8"/>
  <c r="L72" i="8"/>
  <c r="K49" i="8"/>
  <c r="K73" i="8"/>
  <c r="L18" i="8"/>
  <c r="C78" i="9"/>
  <c r="C89" i="9" s="1"/>
  <c r="C100" i="9" s="1"/>
  <c r="B78" i="9"/>
  <c r="B89" i="9" s="1"/>
  <c r="B100" i="9" s="1"/>
  <c r="I24" i="2"/>
  <c r="C65" i="9"/>
  <c r="C112" i="9" s="1"/>
  <c r="H129" i="8"/>
  <c r="D61" i="7"/>
  <c r="D54" i="2" s="1"/>
  <c r="H39" i="2"/>
  <c r="H38" i="2"/>
  <c r="H56" i="7"/>
  <c r="D62" i="7"/>
  <c r="I27" i="2"/>
  <c r="J27" i="2" s="1"/>
  <c r="G58" i="7"/>
  <c r="I64" i="8"/>
  <c r="I40" i="8"/>
  <c r="E53" i="7"/>
  <c r="B130" i="9"/>
  <c r="G99" i="8"/>
  <c r="G101" i="8" s="1"/>
  <c r="G6" i="5"/>
  <c r="B122" i="9"/>
  <c r="B65" i="9"/>
  <c r="E89" i="8"/>
  <c r="E139" i="8"/>
  <c r="G41" i="7"/>
  <c r="F34" i="8"/>
  <c r="F44" i="7"/>
  <c r="F47" i="7" s="1"/>
  <c r="H29" i="7"/>
  <c r="I35" i="7"/>
  <c r="H57" i="7"/>
  <c r="I28" i="2"/>
  <c r="I75" i="7" s="1"/>
  <c r="D53" i="26" l="1"/>
  <c r="H6" i="7"/>
  <c r="G23" i="7"/>
  <c r="D84" i="26"/>
  <c r="H80" i="7"/>
  <c r="H85" i="7"/>
  <c r="F88" i="7"/>
  <c r="F94" i="7" s="1"/>
  <c r="F97" i="7" s="1"/>
  <c r="B11" i="15"/>
  <c r="H76" i="7"/>
  <c r="B10" i="15"/>
  <c r="H73" i="7"/>
  <c r="B7" i="15"/>
  <c r="H72" i="7"/>
  <c r="B6" i="15"/>
  <c r="I55" i="8"/>
  <c r="I59" i="8" s="1"/>
  <c r="I9" i="5" s="1"/>
  <c r="I11" i="5" s="1"/>
  <c r="J24" i="8"/>
  <c r="J79" i="8" s="1"/>
  <c r="H37" i="2"/>
  <c r="I26" i="2"/>
  <c r="I73" i="7" s="1"/>
  <c r="D63" i="9"/>
  <c r="H41" i="2"/>
  <c r="D58" i="2"/>
  <c r="D73" i="9" s="1"/>
  <c r="D76" i="9" s="1"/>
  <c r="D91" i="9" s="1"/>
  <c r="D102" i="9" s="1"/>
  <c r="D61" i="2"/>
  <c r="D106" i="9" s="1"/>
  <c r="E49" i="2"/>
  <c r="E5" i="9" s="1"/>
  <c r="E53" i="2"/>
  <c r="E52" i="2"/>
  <c r="E8" i="9" s="1"/>
  <c r="E62" i="9" s="1"/>
  <c r="E46" i="2"/>
  <c r="E2" i="9" s="1"/>
  <c r="E50" i="2"/>
  <c r="E6" i="9" s="1"/>
  <c r="E48" i="2"/>
  <c r="E4" i="9" s="1"/>
  <c r="E47" i="2"/>
  <c r="E3" i="9" s="1"/>
  <c r="E51" i="2"/>
  <c r="E7" i="9" s="1"/>
  <c r="I30" i="2"/>
  <c r="I24" i="7" s="1"/>
  <c r="I29" i="2"/>
  <c r="I76" i="7" s="1"/>
  <c r="I25" i="2"/>
  <c r="I72" i="7" s="1"/>
  <c r="G84" i="8"/>
  <c r="H40" i="2"/>
  <c r="H29" i="8"/>
  <c r="H134" i="8" s="1"/>
  <c r="H36" i="2"/>
  <c r="K21" i="7"/>
  <c r="J79" i="7"/>
  <c r="K20" i="7"/>
  <c r="J78" i="7"/>
  <c r="E74" i="7"/>
  <c r="E91" i="7" s="1"/>
  <c r="C86" i="26" s="1"/>
  <c r="D86" i="26" s="1"/>
  <c r="K19" i="7"/>
  <c r="J77" i="7"/>
  <c r="J24" i="2"/>
  <c r="J71" i="7" s="1"/>
  <c r="I71" i="7"/>
  <c r="K22" i="7"/>
  <c r="J87" i="7"/>
  <c r="L49" i="8"/>
  <c r="L73" i="8"/>
  <c r="B79" i="9"/>
  <c r="B90" i="9" s="1"/>
  <c r="B101" i="9" s="1"/>
  <c r="B112" i="9"/>
  <c r="B123" i="9" s="1"/>
  <c r="C66" i="9"/>
  <c r="C67" i="9" s="1"/>
  <c r="C79" i="9"/>
  <c r="C90" i="9" s="1"/>
  <c r="C101" i="9" s="1"/>
  <c r="I35" i="2"/>
  <c r="C123" i="9"/>
  <c r="C132" i="9" s="1"/>
  <c r="C131" i="9"/>
  <c r="I129" i="8"/>
  <c r="I39" i="2"/>
  <c r="I56" i="7"/>
  <c r="I38" i="2"/>
  <c r="J56" i="7"/>
  <c r="J38" i="2"/>
  <c r="H58" i="7"/>
  <c r="J40" i="8"/>
  <c r="J64" i="8"/>
  <c r="E62" i="7"/>
  <c r="E61" i="7"/>
  <c r="E54" i="2" s="1"/>
  <c r="F53" i="7"/>
  <c r="H99" i="8"/>
  <c r="H101" i="8" s="1"/>
  <c r="H6" i="5"/>
  <c r="B66" i="9"/>
  <c r="B131" i="9"/>
  <c r="F89" i="8"/>
  <c r="F139" i="8"/>
  <c r="H41" i="7"/>
  <c r="G34" i="8"/>
  <c r="G44" i="7"/>
  <c r="G47" i="7" s="1"/>
  <c r="I29" i="7"/>
  <c r="J35" i="7"/>
  <c r="I57" i="7"/>
  <c r="J28" i="2"/>
  <c r="J75" i="7" s="1"/>
  <c r="K27" i="2"/>
  <c r="D85" i="26" l="1"/>
  <c r="I6" i="7"/>
  <c r="H23" i="7"/>
  <c r="I80" i="7"/>
  <c r="I85" i="7"/>
  <c r="G88" i="7"/>
  <c r="G94" i="7" s="1"/>
  <c r="G97" i="7" s="1"/>
  <c r="J26" i="2"/>
  <c r="J73" i="7" s="1"/>
  <c r="K24" i="8"/>
  <c r="K79" i="8" s="1"/>
  <c r="J55" i="8"/>
  <c r="I37" i="2"/>
  <c r="D77" i="9"/>
  <c r="D88" i="9" s="1"/>
  <c r="D99" i="9" s="1"/>
  <c r="D64" i="9"/>
  <c r="D78" i="9" s="1"/>
  <c r="D89" i="9" s="1"/>
  <c r="D100" i="9" s="1"/>
  <c r="D110" i="9"/>
  <c r="D121" i="9" s="1"/>
  <c r="D130" i="9" s="1"/>
  <c r="J30" i="2"/>
  <c r="J24" i="7" s="1"/>
  <c r="I41" i="2"/>
  <c r="D109" i="9"/>
  <c r="D124" i="9" s="1"/>
  <c r="E63" i="9"/>
  <c r="E64" i="9" s="1"/>
  <c r="F48" i="2"/>
  <c r="F4" i="9" s="1"/>
  <c r="F52" i="2"/>
  <c r="F8" i="9" s="1"/>
  <c r="F62" i="9" s="1"/>
  <c r="F47" i="2"/>
  <c r="F3" i="9" s="1"/>
  <c r="F49" i="2"/>
  <c r="F5" i="9" s="1"/>
  <c r="F53" i="2"/>
  <c r="F46" i="2"/>
  <c r="F2" i="9" s="1"/>
  <c r="F50" i="2"/>
  <c r="F6" i="9" s="1"/>
  <c r="F51" i="2"/>
  <c r="F7" i="9" s="1"/>
  <c r="E61" i="2"/>
  <c r="E106" i="9" s="1"/>
  <c r="E58" i="2"/>
  <c r="E73" i="9" s="1"/>
  <c r="E76" i="9" s="1"/>
  <c r="E91" i="9" s="1"/>
  <c r="E102" i="9" s="1"/>
  <c r="J29" i="2"/>
  <c r="J76" i="7" s="1"/>
  <c r="J25" i="2"/>
  <c r="J72" i="7" s="1"/>
  <c r="I36" i="2"/>
  <c r="I40" i="2"/>
  <c r="I29" i="8"/>
  <c r="I134" i="8" s="1"/>
  <c r="H84" i="8"/>
  <c r="K24" i="2"/>
  <c r="K71" i="7" s="1"/>
  <c r="J35" i="2"/>
  <c r="L22" i="7"/>
  <c r="L87" i="7" s="1"/>
  <c r="K87" i="7"/>
  <c r="K77" i="7"/>
  <c r="L19" i="7"/>
  <c r="L77" i="7" s="1"/>
  <c r="L20" i="7"/>
  <c r="L78" i="7" s="1"/>
  <c r="K78" i="7"/>
  <c r="F74" i="7"/>
  <c r="F91" i="7" s="1"/>
  <c r="L21" i="7"/>
  <c r="L79" i="7" s="1"/>
  <c r="K79" i="7"/>
  <c r="J59" i="8"/>
  <c r="J9" i="5" s="1"/>
  <c r="J11" i="5" s="1"/>
  <c r="C80" i="9"/>
  <c r="C87" i="9" s="1"/>
  <c r="C98" i="9" s="1"/>
  <c r="C113" i="9"/>
  <c r="C120" i="9" s="1"/>
  <c r="C129" i="9" s="1"/>
  <c r="C81" i="9"/>
  <c r="C85" i="9" s="1"/>
  <c r="C96" i="9" s="1"/>
  <c r="C114" i="9"/>
  <c r="C118" i="9" s="1"/>
  <c r="B80" i="9"/>
  <c r="B87" i="9" s="1"/>
  <c r="B98" i="9" s="1"/>
  <c r="B113" i="9"/>
  <c r="B120" i="9" s="1"/>
  <c r="J129" i="8"/>
  <c r="I58" i="7"/>
  <c r="J39" i="2"/>
  <c r="K38" i="2"/>
  <c r="K56" i="7"/>
  <c r="F62" i="7"/>
  <c r="K64" i="8"/>
  <c r="K40" i="8"/>
  <c r="F61" i="7"/>
  <c r="F54" i="2" s="1"/>
  <c r="G53" i="7"/>
  <c r="I99" i="8"/>
  <c r="I101" i="8" s="1"/>
  <c r="I6" i="5"/>
  <c r="B67" i="9"/>
  <c r="B132" i="9"/>
  <c r="G89" i="8"/>
  <c r="G139" i="8"/>
  <c r="I41" i="7"/>
  <c r="H34" i="8"/>
  <c r="H44" i="7"/>
  <c r="H47" i="7" s="1"/>
  <c r="K35" i="7"/>
  <c r="J29" i="7"/>
  <c r="J57" i="7"/>
  <c r="J58" i="7" s="1"/>
  <c r="K28" i="2"/>
  <c r="K75" i="7" s="1"/>
  <c r="C68" i="9"/>
  <c r="L27" i="2"/>
  <c r="J6" i="7" l="1"/>
  <c r="I23" i="7"/>
  <c r="J85" i="7"/>
  <c r="J80" i="7"/>
  <c r="H88" i="7"/>
  <c r="H94" i="7" s="1"/>
  <c r="H97" i="7" s="1"/>
  <c r="J37" i="2"/>
  <c r="K26" i="2"/>
  <c r="K73" i="7" s="1"/>
  <c r="L24" i="8"/>
  <c r="L79" i="8" s="1"/>
  <c r="K55" i="8"/>
  <c r="K59" i="8" s="1"/>
  <c r="K9" i="5" s="1"/>
  <c r="K11" i="5" s="1"/>
  <c r="D133" i="9"/>
  <c r="D65" i="9"/>
  <c r="D79" i="9" s="1"/>
  <c r="D90" i="9" s="1"/>
  <c r="D101" i="9" s="1"/>
  <c r="D111" i="9"/>
  <c r="D122" i="9" s="1"/>
  <c r="D131" i="9" s="1"/>
  <c r="J41" i="2"/>
  <c r="K30" i="2"/>
  <c r="K24" i="7" s="1"/>
  <c r="K25" i="2"/>
  <c r="K72" i="7" s="1"/>
  <c r="E110" i="9"/>
  <c r="E121" i="9" s="1"/>
  <c r="E130" i="9" s="1"/>
  <c r="E111" i="9"/>
  <c r="E122" i="9" s="1"/>
  <c r="E131" i="9" s="1"/>
  <c r="E77" i="9"/>
  <c r="E88" i="9" s="1"/>
  <c r="E99" i="9" s="1"/>
  <c r="E109" i="9"/>
  <c r="E124" i="9" s="1"/>
  <c r="J36" i="2"/>
  <c r="F63" i="9"/>
  <c r="F64" i="9" s="1"/>
  <c r="K29" i="2"/>
  <c r="K76" i="7" s="1"/>
  <c r="J29" i="8"/>
  <c r="J84" i="8" s="1"/>
  <c r="J40" i="2"/>
  <c r="G47" i="2"/>
  <c r="G3" i="9" s="1"/>
  <c r="G51" i="2"/>
  <c r="G7" i="9" s="1"/>
  <c r="G48" i="2"/>
  <c r="G4" i="9" s="1"/>
  <c r="G52" i="2"/>
  <c r="G8" i="9" s="1"/>
  <c r="G50" i="2"/>
  <c r="G6" i="9" s="1"/>
  <c r="G49" i="2"/>
  <c r="G5" i="9" s="1"/>
  <c r="G53" i="2"/>
  <c r="G46" i="2"/>
  <c r="G2" i="9" s="1"/>
  <c r="F61" i="2"/>
  <c r="F106" i="9" s="1"/>
  <c r="F58" i="2"/>
  <c r="F73" i="9" s="1"/>
  <c r="F76" i="9" s="1"/>
  <c r="F91" i="9" s="1"/>
  <c r="F102" i="9" s="1"/>
  <c r="I84" i="8"/>
  <c r="L24" i="2"/>
  <c r="L71" i="7" s="1"/>
  <c r="K35" i="2"/>
  <c r="G74" i="7"/>
  <c r="G91" i="7" s="1"/>
  <c r="C82" i="9"/>
  <c r="C86" i="9" s="1"/>
  <c r="C97" i="9" s="1"/>
  <c r="C115" i="9"/>
  <c r="C119" i="9" s="1"/>
  <c r="B81" i="9"/>
  <c r="B85" i="9" s="1"/>
  <c r="B96" i="9" s="1"/>
  <c r="B114" i="9"/>
  <c r="B118" i="9" s="1"/>
  <c r="E78" i="9"/>
  <c r="E89" i="9" s="1"/>
  <c r="E100" i="9" s="1"/>
  <c r="E65" i="9"/>
  <c r="K129" i="8"/>
  <c r="G62" i="7"/>
  <c r="L38" i="2"/>
  <c r="L56" i="7"/>
  <c r="K39" i="2"/>
  <c r="L64" i="8"/>
  <c r="L40" i="8"/>
  <c r="G61" i="7"/>
  <c r="G54" i="2" s="1"/>
  <c r="H53" i="7"/>
  <c r="J99" i="8"/>
  <c r="J101" i="8" s="1"/>
  <c r="J6" i="5"/>
  <c r="B68" i="9"/>
  <c r="B129" i="9"/>
  <c r="H89" i="8"/>
  <c r="H139" i="8"/>
  <c r="J41" i="7"/>
  <c r="I34" i="8"/>
  <c r="I44" i="7"/>
  <c r="I47" i="7" s="1"/>
  <c r="L35" i="7"/>
  <c r="K29" i="7"/>
  <c r="K57" i="7"/>
  <c r="K58" i="7" s="1"/>
  <c r="L28" i="2"/>
  <c r="L75" i="7" s="1"/>
  <c r="C127" i="9"/>
  <c r="K6" i="7" l="1"/>
  <c r="J23" i="7"/>
  <c r="K37" i="2"/>
  <c r="L26" i="2"/>
  <c r="L73" i="7" s="1"/>
  <c r="K85" i="7"/>
  <c r="K80" i="7"/>
  <c r="I88" i="7"/>
  <c r="I94" i="7" s="1"/>
  <c r="I97" i="7" s="1"/>
  <c r="I16" i="15" s="1"/>
  <c r="L55" i="8"/>
  <c r="L59" i="8" s="1"/>
  <c r="L9" i="5" s="1"/>
  <c r="L11" i="5" s="1"/>
  <c r="L25" i="2"/>
  <c r="L72" i="7" s="1"/>
  <c r="E133" i="9"/>
  <c r="F110" i="9"/>
  <c r="F121" i="9" s="1"/>
  <c r="F130" i="9" s="1"/>
  <c r="D66" i="9"/>
  <c r="D113" i="9" s="1"/>
  <c r="D120" i="9" s="1"/>
  <c r="K36" i="2"/>
  <c r="D112" i="9"/>
  <c r="D123" i="9" s="1"/>
  <c r="D132" i="9" s="1"/>
  <c r="L30" i="2"/>
  <c r="L24" i="7" s="1"/>
  <c r="K41" i="2"/>
  <c r="K29" i="8"/>
  <c r="K134" i="8" s="1"/>
  <c r="J134" i="8"/>
  <c r="F77" i="9"/>
  <c r="F88" i="9" s="1"/>
  <c r="F99" i="9" s="1"/>
  <c r="K40" i="2"/>
  <c r="L29" i="2"/>
  <c r="L76" i="7" s="1"/>
  <c r="F109" i="9"/>
  <c r="F124" i="9" s="1"/>
  <c r="F133" i="9" s="1"/>
  <c r="H74" i="7"/>
  <c r="H91" i="7" s="1"/>
  <c r="H46" i="2"/>
  <c r="H2" i="9" s="1"/>
  <c r="H50" i="2"/>
  <c r="H6" i="9" s="1"/>
  <c r="H53" i="2"/>
  <c r="H47" i="2"/>
  <c r="H3" i="9" s="1"/>
  <c r="H51" i="2"/>
  <c r="H7" i="9" s="1"/>
  <c r="H49" i="2"/>
  <c r="H5" i="9" s="1"/>
  <c r="H48" i="2"/>
  <c r="H4" i="9" s="1"/>
  <c r="H52" i="2"/>
  <c r="H8" i="9" s="1"/>
  <c r="H62" i="9" s="1"/>
  <c r="G61" i="2"/>
  <c r="G106" i="9" s="1"/>
  <c r="G58" i="2"/>
  <c r="G73" i="9" s="1"/>
  <c r="G62" i="9"/>
  <c r="L35" i="2"/>
  <c r="F78" i="9"/>
  <c r="F89" i="9" s="1"/>
  <c r="F100" i="9" s="1"/>
  <c r="F111" i="9"/>
  <c r="F122" i="9" s="1"/>
  <c r="F131" i="9" s="1"/>
  <c r="E79" i="9"/>
  <c r="E90" i="9" s="1"/>
  <c r="E101" i="9" s="1"/>
  <c r="E112" i="9"/>
  <c r="E123" i="9" s="1"/>
  <c r="E132" i="9" s="1"/>
  <c r="B82" i="9"/>
  <c r="B86" i="9" s="1"/>
  <c r="B97" i="9" s="1"/>
  <c r="B115" i="9"/>
  <c r="B119" i="9" s="1"/>
  <c r="F65" i="9"/>
  <c r="F112" i="9" s="1"/>
  <c r="E66" i="9"/>
  <c r="E113" i="9" s="1"/>
  <c r="C128" i="9"/>
  <c r="C31" i="8" s="1"/>
  <c r="L129" i="8"/>
  <c r="C30" i="8"/>
  <c r="H62" i="7"/>
  <c r="C170" i="9"/>
  <c r="C171" i="9"/>
  <c r="C32" i="8" s="1"/>
  <c r="L39" i="2"/>
  <c r="H61" i="7"/>
  <c r="H54" i="2" s="1"/>
  <c r="I53" i="7"/>
  <c r="K99" i="8"/>
  <c r="K101" i="8" s="1"/>
  <c r="K6" i="5"/>
  <c r="B127" i="9"/>
  <c r="I89" i="8"/>
  <c r="I139" i="8"/>
  <c r="K41" i="7"/>
  <c r="J34" i="8"/>
  <c r="J44" i="7"/>
  <c r="J47" i="7" s="1"/>
  <c r="C164" i="9"/>
  <c r="L29" i="7"/>
  <c r="L57" i="7"/>
  <c r="L58" i="7" s="1"/>
  <c r="C2" i="6"/>
  <c r="C3" i="6" s="1"/>
  <c r="C19" i="26" s="1"/>
  <c r="L6" i="7" l="1"/>
  <c r="L23" i="7" s="1"/>
  <c r="K23" i="7"/>
  <c r="L36" i="2"/>
  <c r="L37" i="2"/>
  <c r="L80" i="7"/>
  <c r="L85" i="7"/>
  <c r="J88" i="7"/>
  <c r="J94" i="7" s="1"/>
  <c r="J97" i="7" s="1"/>
  <c r="D80" i="9"/>
  <c r="D87" i="9" s="1"/>
  <c r="D98" i="9" s="1"/>
  <c r="D67" i="9"/>
  <c r="D68" i="9" s="1"/>
  <c r="D115" i="9" s="1"/>
  <c r="L41" i="2"/>
  <c r="L29" i="8"/>
  <c r="L84" i="8" s="1"/>
  <c r="K84" i="8"/>
  <c r="L40" i="2"/>
  <c r="H63" i="9"/>
  <c r="H64" i="9" s="1"/>
  <c r="G109" i="9"/>
  <c r="G124" i="9" s="1"/>
  <c r="G133" i="9" s="1"/>
  <c r="G76" i="9"/>
  <c r="G91" i="9" s="1"/>
  <c r="G102" i="9" s="1"/>
  <c r="H58" i="2"/>
  <c r="H73" i="9" s="1"/>
  <c r="H76" i="9" s="1"/>
  <c r="H91" i="9" s="1"/>
  <c r="H102" i="9" s="1"/>
  <c r="H61" i="2"/>
  <c r="H106" i="9" s="1"/>
  <c r="H109" i="9" s="1"/>
  <c r="H124" i="9" s="1"/>
  <c r="H133" i="9" s="1"/>
  <c r="I74" i="7"/>
  <c r="I91" i="7" s="1"/>
  <c r="I49" i="2"/>
  <c r="I5" i="9" s="1"/>
  <c r="I53" i="2"/>
  <c r="I46" i="2"/>
  <c r="I2" i="9" s="1"/>
  <c r="I50" i="2"/>
  <c r="I6" i="9" s="1"/>
  <c r="I47" i="2"/>
  <c r="I3" i="9" s="1"/>
  <c r="I51" i="2"/>
  <c r="I7" i="9" s="1"/>
  <c r="I48" i="2"/>
  <c r="I4" i="9" s="1"/>
  <c r="I52" i="2"/>
  <c r="I8" i="9" s="1"/>
  <c r="I62" i="9" s="1"/>
  <c r="G63" i="9"/>
  <c r="D129" i="9"/>
  <c r="E120" i="9"/>
  <c r="E129" i="9" s="1"/>
  <c r="E80" i="9"/>
  <c r="E87" i="9" s="1"/>
  <c r="E98" i="9" s="1"/>
  <c r="F123" i="9"/>
  <c r="F132" i="9" s="1"/>
  <c r="F79" i="9"/>
  <c r="F90" i="9" s="1"/>
  <c r="F101" i="9" s="1"/>
  <c r="F66" i="9"/>
  <c r="E67" i="9"/>
  <c r="E114" i="9" s="1"/>
  <c r="C36" i="8"/>
  <c r="B30" i="8"/>
  <c r="B170" i="9"/>
  <c r="B171" i="9"/>
  <c r="B32" i="8" s="1"/>
  <c r="C87" i="8"/>
  <c r="C137" i="8"/>
  <c r="I62" i="7"/>
  <c r="I61" i="7"/>
  <c r="I54" i="2" s="1"/>
  <c r="J53" i="7"/>
  <c r="L99" i="8"/>
  <c r="L101" i="8" s="1"/>
  <c r="L6" i="5"/>
  <c r="B164" i="9"/>
  <c r="B166" i="9" s="1"/>
  <c r="B167" i="9" s="1"/>
  <c r="B104" i="8" s="1"/>
  <c r="B128" i="9"/>
  <c r="B31" i="8" s="1"/>
  <c r="B2" i="6"/>
  <c r="B3" i="6" s="1"/>
  <c r="C18" i="26" s="1"/>
  <c r="D18" i="26" s="1"/>
  <c r="C86" i="8"/>
  <c r="C136" i="8"/>
  <c r="C135" i="8"/>
  <c r="J89" i="8"/>
  <c r="J139" i="8"/>
  <c r="L41" i="7"/>
  <c r="K34" i="8"/>
  <c r="K44" i="7"/>
  <c r="K47" i="7" s="1"/>
  <c r="C85" i="8"/>
  <c r="L88" i="7" l="1"/>
  <c r="L94" i="7" s="1"/>
  <c r="L97" i="7" s="1"/>
  <c r="K88" i="7"/>
  <c r="K94" i="7" s="1"/>
  <c r="K97" i="7" s="1"/>
  <c r="B138" i="9"/>
  <c r="B139" i="9" s="1"/>
  <c r="B140" i="9" s="1"/>
  <c r="B141" i="9" s="1"/>
  <c r="B142" i="9" s="1"/>
  <c r="B143" i="9" s="1"/>
  <c r="B144" i="9" s="1"/>
  <c r="B145" i="9" s="1"/>
  <c r="B146" i="9" s="1"/>
  <c r="B147" i="9" s="1"/>
  <c r="B148" i="9" s="1"/>
  <c r="B149" i="9" s="1"/>
  <c r="B150" i="9" s="1"/>
  <c r="D114" i="9"/>
  <c r="D118" i="9" s="1"/>
  <c r="D127" i="9" s="1"/>
  <c r="D81" i="9"/>
  <c r="D85" i="9" s="1"/>
  <c r="D96" i="9" s="1"/>
  <c r="L134" i="8"/>
  <c r="H111" i="9"/>
  <c r="H122" i="9" s="1"/>
  <c r="H131" i="9" s="1"/>
  <c r="I63" i="9"/>
  <c r="I64" i="9" s="1"/>
  <c r="H77" i="9"/>
  <c r="H88" i="9" s="1"/>
  <c r="H99" i="9" s="1"/>
  <c r="G110" i="9"/>
  <c r="G121" i="9" s="1"/>
  <c r="G77" i="9"/>
  <c r="G88" i="9" s="1"/>
  <c r="G99" i="9" s="1"/>
  <c r="G64" i="9"/>
  <c r="H110" i="9"/>
  <c r="H121" i="9" s="1"/>
  <c r="H130" i="9" s="1"/>
  <c r="J74" i="7"/>
  <c r="J91" i="7" s="1"/>
  <c r="J48" i="2"/>
  <c r="J4" i="9" s="1"/>
  <c r="J52" i="2"/>
  <c r="J8" i="9" s="1"/>
  <c r="J62" i="9" s="1"/>
  <c r="J49" i="2"/>
  <c r="J5" i="9" s="1"/>
  <c r="J53" i="2"/>
  <c r="J51" i="2"/>
  <c r="J7" i="9" s="1"/>
  <c r="J46" i="2"/>
  <c r="J2" i="9" s="1"/>
  <c r="J50" i="2"/>
  <c r="J6" i="9" s="1"/>
  <c r="J47" i="2"/>
  <c r="J3" i="9" s="1"/>
  <c r="I58" i="2"/>
  <c r="I73" i="9" s="1"/>
  <c r="I76" i="9" s="1"/>
  <c r="I91" i="9" s="1"/>
  <c r="I102" i="9" s="1"/>
  <c r="I61" i="2"/>
  <c r="I106" i="9" s="1"/>
  <c r="F80" i="9"/>
  <c r="F87" i="9" s="1"/>
  <c r="F98" i="9" s="1"/>
  <c r="F113" i="9"/>
  <c r="F120" i="9" s="1"/>
  <c r="F129" i="9" s="1"/>
  <c r="D82" i="9"/>
  <c r="D86" i="9" s="1"/>
  <c r="D97" i="9" s="1"/>
  <c r="H78" i="9"/>
  <c r="H89" i="9" s="1"/>
  <c r="H100" i="9" s="1"/>
  <c r="E118" i="9"/>
  <c r="E127" i="9" s="1"/>
  <c r="E81" i="9"/>
  <c r="E85" i="9" s="1"/>
  <c r="E96" i="9" s="1"/>
  <c r="D119" i="9"/>
  <c r="F67" i="9"/>
  <c r="E68" i="9"/>
  <c r="E115" i="9" s="1"/>
  <c r="C141" i="8"/>
  <c r="C166" i="9"/>
  <c r="C167" i="9" s="1"/>
  <c r="C104" i="8" s="1"/>
  <c r="C106" i="8"/>
  <c r="B87" i="8"/>
  <c r="B137" i="8"/>
  <c r="B36" i="8"/>
  <c r="C91" i="8"/>
  <c r="H65" i="9"/>
  <c r="H112" i="9" s="1"/>
  <c r="J62" i="7"/>
  <c r="J61" i="7"/>
  <c r="J54" i="2" s="1"/>
  <c r="K53" i="7"/>
  <c r="B136" i="8"/>
  <c r="B86" i="8"/>
  <c r="B135" i="8"/>
  <c r="B85" i="8"/>
  <c r="K89" i="8"/>
  <c r="K139" i="8"/>
  <c r="L34" i="8"/>
  <c r="L44" i="7"/>
  <c r="L47" i="7" s="1"/>
  <c r="C94" i="8" l="1"/>
  <c r="C4" i="5" s="1"/>
  <c r="I110" i="9"/>
  <c r="I121" i="9" s="1"/>
  <c r="I130" i="9" s="1"/>
  <c r="D141" i="9"/>
  <c r="D139" i="9"/>
  <c r="D145" i="9"/>
  <c r="D150" i="9"/>
  <c r="D142" i="9"/>
  <c r="D144" i="9"/>
  <c r="D140" i="9"/>
  <c r="D146" i="9"/>
  <c r="D148" i="9"/>
  <c r="D143" i="9"/>
  <c r="D149" i="9"/>
  <c r="D138" i="9"/>
  <c r="D137" i="9"/>
  <c r="D147" i="9"/>
  <c r="G130" i="9"/>
  <c r="I77" i="9"/>
  <c r="I88" i="9" s="1"/>
  <c r="I99" i="9" s="1"/>
  <c r="J63" i="9"/>
  <c r="J64" i="9" s="1"/>
  <c r="G111" i="9"/>
  <c r="G122" i="9" s="1"/>
  <c r="G65" i="9"/>
  <c r="G78" i="9"/>
  <c r="G89" i="9" s="1"/>
  <c r="G100" i="9" s="1"/>
  <c r="I109" i="9"/>
  <c r="I124" i="9" s="1"/>
  <c r="K74" i="7"/>
  <c r="K91" i="7" s="1"/>
  <c r="K47" i="2"/>
  <c r="K3" i="9" s="1"/>
  <c r="K51" i="2"/>
  <c r="K7" i="9" s="1"/>
  <c r="K50" i="2"/>
  <c r="K6" i="9" s="1"/>
  <c r="K48" i="2"/>
  <c r="K4" i="9" s="1"/>
  <c r="K52" i="2"/>
  <c r="K8" i="9" s="1"/>
  <c r="K62" i="9" s="1"/>
  <c r="K46" i="2"/>
  <c r="K2" i="9" s="1"/>
  <c r="K49" i="2"/>
  <c r="K5" i="9" s="1"/>
  <c r="K53" i="2"/>
  <c r="J58" i="2"/>
  <c r="J73" i="9" s="1"/>
  <c r="J76" i="9" s="1"/>
  <c r="J91" i="9" s="1"/>
  <c r="J102" i="9" s="1"/>
  <c r="J61" i="2"/>
  <c r="J106" i="9" s="1"/>
  <c r="D128" i="9"/>
  <c r="D31" i="8" s="1"/>
  <c r="D136" i="8" s="1"/>
  <c r="F81" i="9"/>
  <c r="F85" i="9" s="1"/>
  <c r="F96" i="9" s="1"/>
  <c r="F114" i="9"/>
  <c r="F118" i="9" s="1"/>
  <c r="I78" i="9"/>
  <c r="I89" i="9" s="1"/>
  <c r="I100" i="9" s="1"/>
  <c r="I111" i="9"/>
  <c r="I122" i="9" s="1"/>
  <c r="I131" i="9" s="1"/>
  <c r="H79" i="9"/>
  <c r="H90" i="9" s="1"/>
  <c r="H101" i="9" s="1"/>
  <c r="E119" i="9"/>
  <c r="E82" i="9"/>
  <c r="D30" i="8"/>
  <c r="D135" i="8" s="1"/>
  <c r="D164" i="9"/>
  <c r="D2" i="6"/>
  <c r="D3" i="6" s="1"/>
  <c r="C20" i="26" s="1"/>
  <c r="D171" i="9"/>
  <c r="D32" i="8" s="1"/>
  <c r="I65" i="9"/>
  <c r="I112" i="9" s="1"/>
  <c r="F68" i="9"/>
  <c r="D170" i="9"/>
  <c r="B141" i="8"/>
  <c r="B91" i="8"/>
  <c r="H123" i="9"/>
  <c r="H132" i="9" s="1"/>
  <c r="H66" i="9"/>
  <c r="H113" i="9" s="1"/>
  <c r="K61" i="7"/>
  <c r="K54" i="2" s="1"/>
  <c r="K62" i="7"/>
  <c r="L53" i="7"/>
  <c r="L89" i="8"/>
  <c r="L139" i="8"/>
  <c r="C100" i="8" l="1"/>
  <c r="C109" i="8" s="1"/>
  <c r="B94" i="8"/>
  <c r="B100" i="8" s="1"/>
  <c r="B109" i="8" s="1"/>
  <c r="C5" i="5"/>
  <c r="C3" i="5"/>
  <c r="D19" i="26"/>
  <c r="I133" i="9"/>
  <c r="B159" i="9"/>
  <c r="G131" i="9"/>
  <c r="J110" i="9"/>
  <c r="J121" i="9" s="1"/>
  <c r="J130" i="9" s="1"/>
  <c r="J77" i="9"/>
  <c r="J88" i="9" s="1"/>
  <c r="J99" i="9" s="1"/>
  <c r="J111" i="9"/>
  <c r="J122" i="9" s="1"/>
  <c r="J131" i="9" s="1"/>
  <c r="K63" i="9"/>
  <c r="K64" i="9" s="1"/>
  <c r="J109" i="9"/>
  <c r="J124" i="9" s="1"/>
  <c r="J133" i="9" s="1"/>
  <c r="L74" i="7"/>
  <c r="L91" i="7" s="1"/>
  <c r="L46" i="2"/>
  <c r="L2" i="9" s="1"/>
  <c r="L50" i="2"/>
  <c r="L6" i="9" s="1"/>
  <c r="L47" i="2"/>
  <c r="L3" i="9" s="1"/>
  <c r="L51" i="2"/>
  <c r="L7" i="9" s="1"/>
  <c r="L48" i="2"/>
  <c r="L4" i="9" s="1"/>
  <c r="L52" i="2"/>
  <c r="L8" i="9" s="1"/>
  <c r="L62" i="9" s="1"/>
  <c r="L49" i="2"/>
  <c r="L5" i="9" s="1"/>
  <c r="L53" i="2"/>
  <c r="K58" i="2"/>
  <c r="K73" i="9" s="1"/>
  <c r="K76" i="9" s="1"/>
  <c r="K91" i="9" s="1"/>
  <c r="K102" i="9" s="1"/>
  <c r="K61" i="2"/>
  <c r="K106" i="9" s="1"/>
  <c r="G112" i="9"/>
  <c r="G123" i="9" s="1"/>
  <c r="G79" i="9"/>
  <c r="G90" i="9" s="1"/>
  <c r="G101" i="9" s="1"/>
  <c r="G66" i="9"/>
  <c r="D86" i="8"/>
  <c r="D165" i="9"/>
  <c r="D137" i="8"/>
  <c r="D141" i="8" s="1"/>
  <c r="D87" i="8"/>
  <c r="I66" i="9"/>
  <c r="I113" i="9" s="1"/>
  <c r="I120" i="9" s="1"/>
  <c r="I129" i="9" s="1"/>
  <c r="D106" i="8"/>
  <c r="F82" i="9"/>
  <c r="F115" i="9"/>
  <c r="F119" i="9" s="1"/>
  <c r="F128" i="9" s="1"/>
  <c r="J78" i="9"/>
  <c r="J89" i="9" s="1"/>
  <c r="J100" i="9" s="1"/>
  <c r="H80" i="9"/>
  <c r="H87" i="9" s="1"/>
  <c r="H98" i="9" s="1"/>
  <c r="I123" i="9"/>
  <c r="I132" i="9" s="1"/>
  <c r="I79" i="9"/>
  <c r="I90" i="9" s="1"/>
  <c r="I101" i="9" s="1"/>
  <c r="D36" i="8"/>
  <c r="D85" i="8"/>
  <c r="E128" i="9"/>
  <c r="E31" i="8" s="1"/>
  <c r="E164" i="9"/>
  <c r="E170" i="9"/>
  <c r="E2" i="6"/>
  <c r="E3" i="6" s="1"/>
  <c r="C21" i="26" s="1"/>
  <c r="D21" i="26" s="1"/>
  <c r="E30" i="8"/>
  <c r="E86" i="9"/>
  <c r="E97" i="9" s="1"/>
  <c r="E171" i="9"/>
  <c r="E32" i="8" s="1"/>
  <c r="H120" i="9"/>
  <c r="H129" i="9" s="1"/>
  <c r="F127" i="9"/>
  <c r="H67" i="9"/>
  <c r="J65" i="9"/>
  <c r="J112" i="9" s="1"/>
  <c r="L61" i="7"/>
  <c r="L54" i="2" s="1"/>
  <c r="L62" i="7"/>
  <c r="D20" i="26" l="1"/>
  <c r="B3" i="5"/>
  <c r="B5" i="5"/>
  <c r="B4" i="5"/>
  <c r="C7" i="5"/>
  <c r="C12" i="5" s="1"/>
  <c r="G132" i="9"/>
  <c r="K110" i="9"/>
  <c r="K121" i="9" s="1"/>
  <c r="K130" i="9" s="1"/>
  <c r="L63" i="9"/>
  <c r="L64" i="9" s="1"/>
  <c r="K77" i="9"/>
  <c r="K88" i="9" s="1"/>
  <c r="K99" i="9" s="1"/>
  <c r="K111" i="9"/>
  <c r="K122" i="9" s="1"/>
  <c r="K131" i="9" s="1"/>
  <c r="G113" i="9"/>
  <c r="G120" i="9" s="1"/>
  <c r="G80" i="9"/>
  <c r="G87" i="9" s="1"/>
  <c r="G98" i="9" s="1"/>
  <c r="G67" i="9"/>
  <c r="K109" i="9"/>
  <c r="K124" i="9" s="1"/>
  <c r="K133" i="9" s="1"/>
  <c r="L58" i="2"/>
  <c r="L73" i="9" s="1"/>
  <c r="L76" i="9" s="1"/>
  <c r="L91" i="9" s="1"/>
  <c r="L102" i="9" s="1"/>
  <c r="L61" i="2"/>
  <c r="L106" i="9" s="1"/>
  <c r="L109" i="9" s="1"/>
  <c r="L124" i="9" s="1"/>
  <c r="L133" i="9" s="1"/>
  <c r="E165" i="9"/>
  <c r="E166" i="9" s="1"/>
  <c r="E167" i="9" s="1"/>
  <c r="E104" i="8" s="1"/>
  <c r="D166" i="9"/>
  <c r="D167" i="9" s="1"/>
  <c r="D104" i="8" s="1"/>
  <c r="I67" i="9"/>
  <c r="I114" i="9" s="1"/>
  <c r="I80" i="9"/>
  <c r="I87" i="9" s="1"/>
  <c r="I98" i="9" s="1"/>
  <c r="H81" i="9"/>
  <c r="H114" i="9"/>
  <c r="K78" i="9"/>
  <c r="K89" i="9" s="1"/>
  <c r="K100" i="9" s="1"/>
  <c r="J123" i="9"/>
  <c r="J132" i="9" s="1"/>
  <c r="J79" i="9"/>
  <c r="J90" i="9" s="1"/>
  <c r="J101" i="9" s="1"/>
  <c r="F170" i="9"/>
  <c r="F31" i="8"/>
  <c r="F136" i="8" s="1"/>
  <c r="F164" i="9"/>
  <c r="F2" i="6"/>
  <c r="F3" i="6" s="1"/>
  <c r="F30" i="8"/>
  <c r="F135" i="8" s="1"/>
  <c r="D91" i="8"/>
  <c r="F86" i="9"/>
  <c r="F97" i="9" s="1"/>
  <c r="F171" i="9"/>
  <c r="F32" i="8" s="1"/>
  <c r="E137" i="8"/>
  <c r="E87" i="8"/>
  <c r="J66" i="9"/>
  <c r="E106" i="8"/>
  <c r="E85" i="8"/>
  <c r="E36" i="8"/>
  <c r="E135" i="8"/>
  <c r="E136" i="8"/>
  <c r="E86" i="8"/>
  <c r="K65" i="9"/>
  <c r="K112" i="9" s="1"/>
  <c r="H68" i="9"/>
  <c r="H115" i="9" s="1"/>
  <c r="B7" i="5" l="1"/>
  <c r="B12" i="5" s="1"/>
  <c r="C3" i="26" s="1"/>
  <c r="C4" i="26"/>
  <c r="D94" i="8"/>
  <c r="D100" i="8" s="1"/>
  <c r="D109" i="8" s="1"/>
  <c r="F165" i="9"/>
  <c r="F166" i="9" s="1"/>
  <c r="F167" i="9" s="1"/>
  <c r="F104" i="8" s="1"/>
  <c r="G129" i="9"/>
  <c r="L77" i="9"/>
  <c r="L88" i="9" s="1"/>
  <c r="L99" i="9" s="1"/>
  <c r="L111" i="9"/>
  <c r="L122" i="9" s="1"/>
  <c r="L110" i="9"/>
  <c r="L121" i="9" s="1"/>
  <c r="L130" i="9" s="1"/>
  <c r="G81" i="9"/>
  <c r="G85" i="9" s="1"/>
  <c r="G96" i="9" s="1"/>
  <c r="G114" i="9"/>
  <c r="G118" i="9" s="1"/>
  <c r="G68" i="9"/>
  <c r="G165" i="9"/>
  <c r="E91" i="8"/>
  <c r="F87" i="8"/>
  <c r="F137" i="8"/>
  <c r="F141" i="8" s="1"/>
  <c r="I81" i="9"/>
  <c r="I85" i="9" s="1"/>
  <c r="I96" i="9" s="1"/>
  <c r="I68" i="9"/>
  <c r="I82" i="9" s="1"/>
  <c r="F86" i="8"/>
  <c r="J80" i="9"/>
  <c r="J87" i="9" s="1"/>
  <c r="J98" i="9" s="1"/>
  <c r="J113" i="9"/>
  <c r="J120" i="9" s="1"/>
  <c r="J129" i="9" s="1"/>
  <c r="F106" i="8"/>
  <c r="L78" i="9"/>
  <c r="L89" i="9" s="1"/>
  <c r="L100" i="9" s="1"/>
  <c r="H119" i="9"/>
  <c r="H128" i="9" s="1"/>
  <c r="H82" i="9"/>
  <c r="K79" i="9"/>
  <c r="K90" i="9" s="1"/>
  <c r="K101" i="9" s="1"/>
  <c r="F36" i="8"/>
  <c r="F85" i="8"/>
  <c r="J67" i="9"/>
  <c r="J114" i="9" s="1"/>
  <c r="E141" i="8"/>
  <c r="L65" i="9"/>
  <c r="B156" i="9"/>
  <c r="B69" i="26" s="1"/>
  <c r="K66" i="9"/>
  <c r="K113" i="9" s="1"/>
  <c r="K123" i="9"/>
  <c r="K132" i="9" s="1"/>
  <c r="H85" i="9"/>
  <c r="H96" i="9" s="1"/>
  <c r="H118" i="9"/>
  <c r="I118" i="9"/>
  <c r="B142" i="8"/>
  <c r="C34" i="26" s="1"/>
  <c r="C142" i="8"/>
  <c r="C35" i="26" s="1"/>
  <c r="C107" i="8" l="1"/>
  <c r="D3" i="26"/>
  <c r="D4" i="5"/>
  <c r="D3" i="5"/>
  <c r="D5" i="5"/>
  <c r="E94" i="8"/>
  <c r="E100" i="8" s="1"/>
  <c r="E109" i="8" s="1"/>
  <c r="D34" i="26"/>
  <c r="G127" i="9"/>
  <c r="G82" i="9"/>
  <c r="G115" i="9"/>
  <c r="G119" i="9" s="1"/>
  <c r="D142" i="8"/>
  <c r="C36" i="26" s="1"/>
  <c r="H165" i="9"/>
  <c r="I165" i="9" s="1"/>
  <c r="I86" i="9"/>
  <c r="I97" i="9" s="1"/>
  <c r="I115" i="9"/>
  <c r="I119" i="9" s="1"/>
  <c r="I128" i="9" s="1"/>
  <c r="L79" i="9"/>
  <c r="L90" i="9" s="1"/>
  <c r="L101" i="9" s="1"/>
  <c r="L112" i="9"/>
  <c r="L123" i="9" s="1"/>
  <c r="L132" i="9" s="1"/>
  <c r="K120" i="9"/>
  <c r="K129" i="9" s="1"/>
  <c r="K80" i="9"/>
  <c r="K87" i="9" s="1"/>
  <c r="K98" i="9" s="1"/>
  <c r="J81" i="9"/>
  <c r="J85" i="9" s="1"/>
  <c r="J96" i="9" s="1"/>
  <c r="F91" i="8"/>
  <c r="J68" i="9"/>
  <c r="J115" i="9" s="1"/>
  <c r="L66" i="9"/>
  <c r="L113" i="9" s="1"/>
  <c r="B155" i="9"/>
  <c r="B68" i="26" s="1"/>
  <c r="B158" i="9"/>
  <c r="B71" i="26" s="1"/>
  <c r="L131" i="9"/>
  <c r="B157" i="9"/>
  <c r="B70" i="26" s="1"/>
  <c r="K67" i="9"/>
  <c r="H127" i="9"/>
  <c r="H31" i="8" s="1"/>
  <c r="H30" i="8"/>
  <c r="I127" i="9"/>
  <c r="H171" i="9"/>
  <c r="H32" i="8" s="1"/>
  <c r="H87" i="8" s="1"/>
  <c r="H86" i="9"/>
  <c r="H97" i="9" s="1"/>
  <c r="H164" i="9"/>
  <c r="J118" i="9"/>
  <c r="H170" i="9"/>
  <c r="H2" i="6"/>
  <c r="H3" i="6" s="1"/>
  <c r="D7" i="5" l="1"/>
  <c r="D12" i="5" s="1"/>
  <c r="D107" i="8" s="1"/>
  <c r="E5" i="5"/>
  <c r="E3" i="5"/>
  <c r="E4" i="5"/>
  <c r="C5" i="26"/>
  <c r="F94" i="8"/>
  <c r="F100" i="8" s="1"/>
  <c r="F109" i="8" s="1"/>
  <c r="F142" i="8" s="1"/>
  <c r="D35" i="26"/>
  <c r="G128" i="9"/>
  <c r="G31" i="8" s="1"/>
  <c r="G164" i="9"/>
  <c r="G170" i="9"/>
  <c r="G2" i="6"/>
  <c r="G3" i="6" s="1"/>
  <c r="G30" i="8"/>
  <c r="G86" i="9"/>
  <c r="G97" i="9" s="1"/>
  <c r="G171" i="9"/>
  <c r="G32" i="8" s="1"/>
  <c r="H166" i="9"/>
  <c r="H167" i="9" s="1"/>
  <c r="H104" i="8" s="1"/>
  <c r="I31" i="8"/>
  <c r="I86" i="8" s="1"/>
  <c r="I170" i="9"/>
  <c r="I164" i="9"/>
  <c r="J165" i="9"/>
  <c r="K165" i="9" s="1"/>
  <c r="L165" i="9" s="1"/>
  <c r="I2" i="6"/>
  <c r="I3" i="6" s="1"/>
  <c r="I30" i="8"/>
  <c r="I135" i="8" s="1"/>
  <c r="I171" i="9"/>
  <c r="I32" i="8" s="1"/>
  <c r="K81" i="9"/>
  <c r="K114" i="9"/>
  <c r="L120" i="9"/>
  <c r="L129" i="9" s="1"/>
  <c r="L80" i="9"/>
  <c r="L87" i="9" s="1"/>
  <c r="L98" i="9" s="1"/>
  <c r="J82" i="9"/>
  <c r="J86" i="9" s="1"/>
  <c r="J97" i="9" s="1"/>
  <c r="J119" i="9"/>
  <c r="J128" i="9" s="1"/>
  <c r="L67" i="9"/>
  <c r="L114" i="9" s="1"/>
  <c r="K68" i="9"/>
  <c r="K115" i="9" s="1"/>
  <c r="J127" i="9"/>
  <c r="H135" i="8"/>
  <c r="H85" i="8"/>
  <c r="H136" i="8"/>
  <c r="H86" i="8"/>
  <c r="H36" i="8"/>
  <c r="H137" i="8"/>
  <c r="E142" i="8"/>
  <c r="C37" i="26" s="1"/>
  <c r="D37" i="26" s="1"/>
  <c r="D36" i="26" l="1"/>
  <c r="F4" i="5"/>
  <c r="E7" i="5"/>
  <c r="E12" i="5" s="1"/>
  <c r="F3" i="5"/>
  <c r="D4" i="26"/>
  <c r="F5" i="5"/>
  <c r="A26" i="15"/>
  <c r="A27" i="15"/>
  <c r="F16" i="15"/>
  <c r="G137" i="8"/>
  <c r="G87" i="8"/>
  <c r="G106" i="8"/>
  <c r="G166" i="9"/>
  <c r="G167" i="9" s="1"/>
  <c r="G104" i="8" s="1"/>
  <c r="H106" i="8"/>
  <c r="G85" i="8"/>
  <c r="G36" i="8"/>
  <c r="G135" i="8"/>
  <c r="G86" i="8"/>
  <c r="G136" i="8"/>
  <c r="I136" i="8"/>
  <c r="I106" i="8"/>
  <c r="I85" i="8"/>
  <c r="I36" i="8"/>
  <c r="I87" i="8"/>
  <c r="I137" i="8"/>
  <c r="K82" i="9"/>
  <c r="L118" i="9"/>
  <c r="L81" i="9"/>
  <c r="L85" i="9" s="1"/>
  <c r="L96" i="9" s="1"/>
  <c r="J171" i="9"/>
  <c r="J32" i="8" s="1"/>
  <c r="J137" i="8" s="1"/>
  <c r="J2" i="6"/>
  <c r="J30" i="8"/>
  <c r="J135" i="8" s="1"/>
  <c r="J164" i="9"/>
  <c r="J31" i="8"/>
  <c r="J136" i="8" s="1"/>
  <c r="J170" i="9"/>
  <c r="L68" i="9"/>
  <c r="L115" i="9" s="1"/>
  <c r="K119" i="9"/>
  <c r="K128" i="9" s="1"/>
  <c r="K85" i="9"/>
  <c r="K96" i="9" s="1"/>
  <c r="B154" i="9"/>
  <c r="B67" i="26" s="1"/>
  <c r="H141" i="8"/>
  <c r="H91" i="8"/>
  <c r="I166" i="9"/>
  <c r="I167" i="9" s="1"/>
  <c r="I104" i="8" s="1"/>
  <c r="K118" i="9"/>
  <c r="E107" i="8" l="1"/>
  <c r="C6" i="26"/>
  <c r="F7" i="5"/>
  <c r="F12" i="5" s="1"/>
  <c r="F107" i="8" s="1"/>
  <c r="H94" i="8"/>
  <c r="H100" i="8" s="1"/>
  <c r="H109" i="8" s="1"/>
  <c r="J106" i="8"/>
  <c r="J3" i="6"/>
  <c r="G91" i="8"/>
  <c r="G141" i="8"/>
  <c r="I141" i="8"/>
  <c r="J87" i="8"/>
  <c r="I91" i="8"/>
  <c r="L119" i="9"/>
  <c r="L128" i="9" s="1"/>
  <c r="L82" i="9"/>
  <c r="J141" i="8"/>
  <c r="J36" i="8"/>
  <c r="J85" i="8"/>
  <c r="J86" i="8"/>
  <c r="K86" i="9"/>
  <c r="K97" i="9" s="1"/>
  <c r="K171" i="9"/>
  <c r="K32" i="8" s="1"/>
  <c r="K137" i="8" s="1"/>
  <c r="B153" i="9"/>
  <c r="B66" i="26" s="1"/>
  <c r="L127" i="9"/>
  <c r="K127" i="9"/>
  <c r="K31" i="8" s="1"/>
  <c r="K30" i="8"/>
  <c r="K85" i="8" s="1"/>
  <c r="K164" i="9"/>
  <c r="K166" i="9" s="1"/>
  <c r="K167" i="9" s="1"/>
  <c r="K104" i="8" s="1"/>
  <c r="J166" i="9"/>
  <c r="J167" i="9" s="1"/>
  <c r="J104" i="8" s="1"/>
  <c r="K170" i="9"/>
  <c r="K2" i="6"/>
  <c r="K3" i="6" s="1"/>
  <c r="D6" i="26" l="1"/>
  <c r="D5" i="26"/>
  <c r="H5" i="5"/>
  <c r="I94" i="8"/>
  <c r="I4" i="5" s="1"/>
  <c r="G94" i="8"/>
  <c r="G100" i="8" s="1"/>
  <c r="G109" i="8" s="1"/>
  <c r="G142" i="8" s="1"/>
  <c r="H3" i="5"/>
  <c r="H4" i="5"/>
  <c r="F4" i="15"/>
  <c r="K87" i="8"/>
  <c r="J91" i="8"/>
  <c r="L164" i="9"/>
  <c r="L166" i="9" s="1"/>
  <c r="L167" i="9" s="1"/>
  <c r="L104" i="8" s="1"/>
  <c r="L170" i="9"/>
  <c r="L31" i="8"/>
  <c r="L86" i="8" s="1"/>
  <c r="L2" i="6"/>
  <c r="L30" i="8"/>
  <c r="L85" i="8" s="1"/>
  <c r="L86" i="9"/>
  <c r="L97" i="9" s="1"/>
  <c r="L171" i="9"/>
  <c r="L32" i="8" s="1"/>
  <c r="K106" i="8"/>
  <c r="K135" i="8"/>
  <c r="K36" i="8"/>
  <c r="K136" i="8"/>
  <c r="K86" i="8"/>
  <c r="H142" i="8"/>
  <c r="I5" i="5" l="1"/>
  <c r="H7" i="5"/>
  <c r="H12" i="5" s="1"/>
  <c r="G5" i="5"/>
  <c r="G4" i="5"/>
  <c r="G3" i="5"/>
  <c r="J94" i="8"/>
  <c r="J100" i="8" s="1"/>
  <c r="J109" i="8" s="1"/>
  <c r="I100" i="8"/>
  <c r="I109" i="8" s="1"/>
  <c r="I142" i="8" s="1"/>
  <c r="I4" i="15" s="1"/>
  <c r="I3" i="5"/>
  <c r="L106" i="8"/>
  <c r="L3" i="6"/>
  <c r="K91" i="8"/>
  <c r="L136" i="8"/>
  <c r="L137" i="8"/>
  <c r="L87" i="8"/>
  <c r="L91" i="8" s="1"/>
  <c r="L36" i="8"/>
  <c r="L135" i="8"/>
  <c r="K141" i="8"/>
  <c r="I7" i="5" l="1"/>
  <c r="I12" i="5" s="1"/>
  <c r="I107" i="8" s="1"/>
  <c r="G7" i="5"/>
  <c r="G12" i="5" s="1"/>
  <c r="G107" i="8" s="1"/>
  <c r="J5" i="5"/>
  <c r="K94" i="8"/>
  <c r="K100" i="8" s="1"/>
  <c r="K109" i="8" s="1"/>
  <c r="K142" i="8" s="1"/>
  <c r="L94" i="8"/>
  <c r="J3" i="5"/>
  <c r="J4" i="5"/>
  <c r="L141" i="8"/>
  <c r="J142" i="8"/>
  <c r="H107" i="8" l="1"/>
  <c r="L100" i="8"/>
  <c r="L109" i="8" s="1"/>
  <c r="L142" i="8" s="1"/>
  <c r="L3" i="5"/>
  <c r="J7" i="5"/>
  <c r="J12" i="5" s="1"/>
  <c r="J107" i="8" s="1"/>
  <c r="K3" i="5"/>
  <c r="L5" i="5"/>
  <c r="K5" i="5"/>
  <c r="L4" i="5"/>
  <c r="K4" i="5"/>
  <c r="K7" i="5" l="1"/>
  <c r="K12" i="5" s="1"/>
  <c r="K107" i="8" s="1"/>
  <c r="L7" i="5"/>
  <c r="L12" i="5" s="1"/>
  <c r="L107"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C5" authorId="0" shapeId="0" xr:uid="{00000000-0006-0000-0300-000001000000}">
      <text>
        <r>
          <rPr>
            <b/>
            <sz val="9"/>
            <color indexed="81"/>
            <rFont val="Tahoma"/>
            <family val="2"/>
          </rPr>
          <t>Robbie:</t>
        </r>
        <r>
          <rPr>
            <sz val="9"/>
            <color indexed="81"/>
            <rFont val="Tahoma"/>
            <family val="2"/>
          </rPr>
          <t xml:space="preserve">
stabilizes utility revenues but kills your efficiency and DER market; affects EE and DER additions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Robbie</author>
  </authors>
  <commentList>
    <comment ref="B11" authorId="0" shapeId="0" xr:uid="{00000000-0006-0000-0500-000001000000}">
      <text>
        <r>
          <rPr>
            <b/>
            <sz val="9"/>
            <color indexed="81"/>
            <rFont val="Tahoma"/>
            <family val="2"/>
          </rPr>
          <t>Robbie:</t>
        </r>
        <r>
          <rPr>
            <sz val="9"/>
            <color indexed="81"/>
            <rFont val="Tahoma"/>
            <family val="2"/>
          </rPr>
          <t xml:space="preserve">
Keep this constant; Transmission too?</t>
        </r>
      </text>
    </comment>
  </commentList>
</comments>
</file>

<file path=xl/sharedStrings.xml><?xml version="1.0" encoding="utf-8"?>
<sst xmlns="http://schemas.openxmlformats.org/spreadsheetml/2006/main" count="938" uniqueCount="447">
  <si>
    <t>Additive Policies</t>
  </si>
  <si>
    <t>Time of Use Pricing</t>
  </si>
  <si>
    <t>Decoupling</t>
  </si>
  <si>
    <t>RPS</t>
  </si>
  <si>
    <t>Heat Wave</t>
  </si>
  <si>
    <t>CO2 Pricing</t>
  </si>
  <si>
    <t>Gas Price Spike</t>
  </si>
  <si>
    <t>coal</t>
  </si>
  <si>
    <t>natural gas</t>
  </si>
  <si>
    <t>solar</t>
  </si>
  <si>
    <t>wind</t>
  </si>
  <si>
    <t>hydro</t>
  </si>
  <si>
    <t>EE</t>
  </si>
  <si>
    <t>nuclear</t>
  </si>
  <si>
    <t>Revenue</t>
  </si>
  <si>
    <t>Round</t>
  </si>
  <si>
    <t>Coal</t>
  </si>
  <si>
    <t>Natural Gas</t>
  </si>
  <si>
    <t>Nuclear</t>
  </si>
  <si>
    <t>Round ($/MMBtu)</t>
  </si>
  <si>
    <t>Carbon Pricing</t>
  </si>
  <si>
    <t>$/ton CO2</t>
  </si>
  <si>
    <t>Carbon Adder by Plant Type ($/MWh)</t>
  </si>
  <si>
    <t>Source</t>
  </si>
  <si>
    <t>EIA</t>
  </si>
  <si>
    <t>Lazard</t>
  </si>
  <si>
    <t>Total Variable Costs ($/MWh)</t>
  </si>
  <si>
    <t>Potential Generation (MWh)</t>
  </si>
  <si>
    <t>Demand (MWh)</t>
  </si>
  <si>
    <t>Cost ($/MWh)</t>
  </si>
  <si>
    <t>Price (for graphing only)</t>
  </si>
  <si>
    <t>Cumulative Potential Generation (MWh)</t>
  </si>
  <si>
    <t>Demand and Load</t>
  </si>
  <si>
    <t>segment demand into quarters/parts of the year</t>
  </si>
  <si>
    <t>resource adequacy or reserve margins</t>
  </si>
  <si>
    <t>is there some way of tying in metrics/capabilities</t>
  </si>
  <si>
    <t>Events</t>
  </si>
  <si>
    <t>Level of Vertical Integration</t>
  </si>
  <si>
    <t>Revenue Determinants</t>
  </si>
  <si>
    <t>CoS</t>
  </si>
  <si>
    <t>GTDR</t>
  </si>
  <si>
    <t>DR</t>
  </si>
  <si>
    <t>tradeoff between reserve margin and flexibility</t>
  </si>
  <si>
    <t>will affect transmission and distribution costs</t>
  </si>
  <si>
    <t>reserve margin affects generation as well</t>
  </si>
  <si>
    <t>Transmission Costs</t>
  </si>
  <si>
    <t>Reserve Margin (MW)</t>
  </si>
  <si>
    <t>Flexibility Point per MW</t>
  </si>
  <si>
    <t>Tranmission Amount</t>
  </si>
  <si>
    <t>Storage/DR</t>
  </si>
  <si>
    <t>Total Flexibilty Points</t>
  </si>
  <si>
    <t>Total Needed Flexbility points (based on wind and solar)</t>
  </si>
  <si>
    <t>Flexibility Point per MW*mile</t>
  </si>
  <si>
    <t>GRID MANAGEMENT</t>
  </si>
  <si>
    <t>tramsmission</t>
  </si>
  <si>
    <t>storage</t>
  </si>
  <si>
    <t>dispatchable gen</t>
  </si>
  <si>
    <t>DSM</t>
  </si>
  <si>
    <t>Reserve margins</t>
  </si>
  <si>
    <t>ramping ability</t>
  </si>
  <si>
    <t>access to other markets/interconnection</t>
  </si>
  <si>
    <t>RELIABILITY</t>
  </si>
  <si>
    <t>variable: peak load, variable load, etc…</t>
  </si>
  <si>
    <t>unpredictability; LoL, weather, etc…</t>
  </si>
  <si>
    <t>&lt;- contribute to each of these buckets</t>
  </si>
  <si>
    <t>System load factor</t>
  </si>
  <si>
    <t>reserve margin</t>
  </si>
  <si>
    <t>Round 1</t>
  </si>
  <si>
    <t>Recovery of Past Investments</t>
  </si>
  <si>
    <t>Revenue Requirement</t>
  </si>
  <si>
    <t xml:space="preserve">     New Coal Plants</t>
  </si>
  <si>
    <t xml:space="preserve">     New Nuclear Plants</t>
  </si>
  <si>
    <t xml:space="preserve">     New Hydro Plants</t>
  </si>
  <si>
    <t>Amortized Collection of New Investments</t>
  </si>
  <si>
    <t xml:space="preserve">     New Solar PV Plants</t>
  </si>
  <si>
    <t xml:space="preserve">     New Wind Plants</t>
  </si>
  <si>
    <t xml:space="preserve">     New Natural Gas Plants</t>
  </si>
  <si>
    <t xml:space="preserve">     New Energy Efficiency</t>
  </si>
  <si>
    <t>Power Plant Lifetime</t>
  </si>
  <si>
    <t>&lt;assumption</t>
  </si>
  <si>
    <t>Power Plant Construction Costs ($/MW)</t>
  </si>
  <si>
    <t>Power Plant Fixed Costs ($/MW-year)</t>
  </si>
  <si>
    <t>Added Capacity (MW)</t>
  </si>
  <si>
    <t>Retiring Capacity (MW)</t>
  </si>
  <si>
    <t>Total Capacity (MW)</t>
  </si>
  <si>
    <t xml:space="preserve">     Fixed O&amp;M</t>
  </si>
  <si>
    <t xml:space="preserve">     Variable O&amp;M</t>
  </si>
  <si>
    <t xml:space="preserve">     Fuel</t>
  </si>
  <si>
    <t>Power Plant Variable Costs ($/MWh)</t>
  </si>
  <si>
    <t>Power Plant Characteristics</t>
  </si>
  <si>
    <t>Power Plant Type</t>
  </si>
  <si>
    <t>Fuel Prices</t>
  </si>
  <si>
    <t>Forecast Demand (MWh)</t>
  </si>
  <si>
    <t>Power Plant Heat Rates (MMBtu/MWh)</t>
  </si>
  <si>
    <t xml:space="preserve">     Generation</t>
  </si>
  <si>
    <t xml:space="preserve">     Transmission</t>
  </si>
  <si>
    <t xml:space="preserve">     Distribution</t>
  </si>
  <si>
    <t xml:space="preserve">     New Transmission Infrastructure</t>
  </si>
  <si>
    <t xml:space="preserve">     New Distribution System Infrastructure</t>
  </si>
  <si>
    <t xml:space="preserve">     New Customer-Sited DERs</t>
  </si>
  <si>
    <t>Ready?</t>
  </si>
  <si>
    <t>Not yet.</t>
  </si>
  <si>
    <t>Take me to the next round!</t>
  </si>
  <si>
    <t>Round 2</t>
  </si>
  <si>
    <t>Round 3</t>
  </si>
  <si>
    <t>Round 4</t>
  </si>
  <si>
    <t>Round 5</t>
  </si>
  <si>
    <t>Current Round</t>
  </si>
  <si>
    <t>Utility Revenue</t>
  </si>
  <si>
    <t>Generation Operations and Maintenance Costs</t>
  </si>
  <si>
    <t>Customers</t>
  </si>
  <si>
    <t>Variable Costs</t>
  </si>
  <si>
    <t>Fixed Asset Costs</t>
  </si>
  <si>
    <t>Portion of Fixed Assets Assigned to Fixed Charges</t>
  </si>
  <si>
    <t>Fixed Charge Calculation</t>
  </si>
  <si>
    <t>Variable Charge Calculation</t>
  </si>
  <si>
    <t>Variable Charge per Customer ($/kWh)</t>
  </si>
  <si>
    <t>Fixed Charge per Customer ($)</t>
  </si>
  <si>
    <t>Forecast Load (MWh)</t>
  </si>
  <si>
    <t>Total Costs to Recover through Variable Charge</t>
  </si>
  <si>
    <t>Actual Load</t>
  </si>
  <si>
    <t>Demand and System Requirements</t>
  </si>
  <si>
    <t>Deviation from Forecast Load (+/-)</t>
  </si>
  <si>
    <t>System Load Factor</t>
  </si>
  <si>
    <t>Reserve Margin Requirement</t>
  </si>
  <si>
    <t>NERC (http://www.nerc.com/news/Headlines%20DL/2012%20Long%20Term%20Reliability%20Assessment.pdf)</t>
  </si>
  <si>
    <t>Actual Load (MWh)</t>
  </si>
  <si>
    <t>Average Demand (MW)</t>
  </si>
  <si>
    <t>Power Plant Capacity Factors</t>
  </si>
  <si>
    <t>Average</t>
  </si>
  <si>
    <t>Peak</t>
  </si>
  <si>
    <t>Revenue from Variable Charges</t>
  </si>
  <si>
    <t>Revenue from Fixed Charges</t>
  </si>
  <si>
    <t>Revenue from Performance Incentive</t>
  </si>
  <si>
    <t>Total Revenue Collected</t>
  </si>
  <si>
    <t>&lt;copy and paste values before running</t>
  </si>
  <si>
    <t>Average Customer Bill in Average Month</t>
  </si>
  <si>
    <t>Variable Component</t>
  </si>
  <si>
    <t xml:space="preserve">     Generation Charges ($/kWh)</t>
  </si>
  <si>
    <t xml:space="preserve">     Transmission Charges ($/kWh)</t>
  </si>
  <si>
    <t xml:space="preserve">     Distribution System Charges ($/kWh)</t>
  </si>
  <si>
    <t>Fixed Component</t>
  </si>
  <si>
    <t xml:space="preserve">     GTD Fixed Charge ($)</t>
  </si>
  <si>
    <t xml:space="preserve">     Customer Relationship ($)</t>
  </si>
  <si>
    <t>Total Variable Charges</t>
  </si>
  <si>
    <t>Total Fixed Charges</t>
  </si>
  <si>
    <t>Total Bill</t>
  </si>
  <si>
    <t>Customer Relationship Charge ($/Bill)</t>
  </si>
  <si>
    <t>Do we allow cost recovery for EE? Right now we are</t>
  </si>
  <si>
    <t>Monthly Use (kWh/customer)</t>
  </si>
  <si>
    <t>Historical Annualized Investment Recovery for Generation</t>
  </si>
  <si>
    <t>Historical Annualized Investment Recovery for Transmission</t>
  </si>
  <si>
    <t>Historical Annualized Investment Recovery for Distribution</t>
  </si>
  <si>
    <t>Round--&gt;</t>
  </si>
  <si>
    <t>Price Ranking</t>
  </si>
  <si>
    <t>Dispatch Order</t>
  </si>
  <si>
    <t>Cumulative Dispatch Potential</t>
  </si>
  <si>
    <t>Dispatch Amounts</t>
  </si>
  <si>
    <t>MWh</t>
  </si>
  <si>
    <t>Projected Dispatch Amounts</t>
  </si>
  <si>
    <t>Projected Dispatch by Plant Type</t>
  </si>
  <si>
    <t>Projected Fuel Use by Plant Type (MMBtu)</t>
  </si>
  <si>
    <t>Projected Load Estimates</t>
  </si>
  <si>
    <t>Actual Load Calculations</t>
  </si>
  <si>
    <t>Dispatch by Plant Type</t>
  </si>
  <si>
    <t>Fuel + Variable O&amp;M Costs ($/MWh)</t>
  </si>
  <si>
    <t>CO2 Emissions Rate (ton/MWh)</t>
  </si>
  <si>
    <t>In vertical market, are generators paid marginal value or bid value?</t>
  </si>
  <si>
    <t>Assumption used for dispatch</t>
  </si>
  <si>
    <t>This Year Dispatch Curve for Graphing</t>
  </si>
  <si>
    <t>This Year Generation (MWh)</t>
  </si>
  <si>
    <t>Carbon Emissions Performance</t>
  </si>
  <si>
    <t>Tons CO2</t>
  </si>
  <si>
    <t>Reliability</t>
  </si>
  <si>
    <t>Flexibility Points per Technology Type</t>
  </si>
  <si>
    <t>CT (natural gas combustion turbine)</t>
  </si>
  <si>
    <t>NaS or Li-ion (batteries)</t>
  </si>
  <si>
    <t>PH (pumped hydro, many mode changes)</t>
  </si>
  <si>
    <t>PH (pumped hydro, 2 mode changes)</t>
  </si>
  <si>
    <t>PH (pumped hydro, average)</t>
  </si>
  <si>
    <t>DR (demand response)</t>
  </si>
  <si>
    <t>http://energyenvironment.pnnl.gov/ei/pdf/NWPP%20report.pdf</t>
  </si>
  <si>
    <t>Transmission Connectivity Coefficient</t>
  </si>
  <si>
    <t>Ratio of Flexbility Points to Provided Flexibility</t>
  </si>
  <si>
    <t>Policy Solutions Model</t>
  </si>
  <si>
    <t>Initial Installed Peaking Resources (MW)</t>
  </si>
  <si>
    <t>Pumped Hydro</t>
  </si>
  <si>
    <t>Batteries</t>
  </si>
  <si>
    <t>Additional Installed Peaking Resources (MW)</t>
  </si>
  <si>
    <t>Total Installed Peaking Resources (MW)</t>
  </si>
  <si>
    <t>Flexibility Points Provided by Peaking Resource</t>
  </si>
  <si>
    <t>Installed Transmission capacity</t>
  </si>
  <si>
    <t>Circuit miles</t>
  </si>
  <si>
    <t>&lt;based on http://www.eia.gov/electricity/annual/html/epa_08_10_a.html</t>
  </si>
  <si>
    <t>Circuit*miles</t>
  </si>
  <si>
    <t>Initial Installed Transmission Capacity</t>
  </si>
  <si>
    <t>Additional Installed Transmission Capacity</t>
  </si>
  <si>
    <t>Total Installed Transmission Capacity</t>
  </si>
  <si>
    <t>Percent Increase in Transmission Capacity</t>
  </si>
  <si>
    <t>%</t>
  </si>
  <si>
    <t>Ratio of total points to available points</t>
  </si>
  <si>
    <t>Total Available Flexibility Points</t>
  </si>
  <si>
    <t>Points</t>
  </si>
  <si>
    <t>Total Required Flexibility Points</t>
  </si>
  <si>
    <t>Max</t>
  </si>
  <si>
    <t>Total Potential Generation Before Reliability Considerations (MWh)</t>
  </si>
  <si>
    <t>Total Potential Generation After Reliability Considerations (MWh)</t>
  </si>
  <si>
    <t>Estimated Curtailment</t>
  </si>
  <si>
    <t>solar (MWh)</t>
  </si>
  <si>
    <t>wind (MWh)</t>
  </si>
  <si>
    <t>MW</t>
  </si>
  <si>
    <t>Forecast Peak Demand</t>
  </si>
  <si>
    <t>Actual Peak Demand</t>
  </si>
  <si>
    <t>CT</t>
  </si>
  <si>
    <t>New Transmission Cost</t>
  </si>
  <si>
    <t>$/circuit mile</t>
  </si>
  <si>
    <t>Transmission Infrastructure Lifetime</t>
  </si>
  <si>
    <t>years</t>
  </si>
  <si>
    <t>http://www.ct.gov/csc/lib/csc/lifecycle2011/life_cycle_final_report.pdf</t>
  </si>
  <si>
    <t>https://www.wecc.biz/Reliability/2014_TEPPC_Transmission_CapCost_Report_B+V.pdf</t>
  </si>
  <si>
    <t>Description:</t>
  </si>
  <si>
    <t>With your support, your state has decided to implement a Renewable Portfolio Standard. By the end of turn 10, at least 20% of your utility's generation must be derived from wind and/or solar.</t>
  </si>
  <si>
    <t>How it works:</t>
  </si>
  <si>
    <t>With your support, your state has decided to decouple utility revenues from the volume of electricity sold. The variable portion of your revenues will be automatically adjusted in each round to ensure you meet the revenue requirement of the variable portion of your income.</t>
  </si>
  <si>
    <t>Impact:</t>
  </si>
  <si>
    <t>Institutes an Alternative Compliance Payment if the minimum amount of renewables are not procured.</t>
  </si>
  <si>
    <t>Causes investment in renewables that might otherwise be foregone. Players that choose to invest in renewables early as replacements for retiring assets will be rewarded with lower overall costs and lower customer bills.</t>
  </si>
  <si>
    <t>Rates in each year will be adjusted so that the utility recovers the full amount of its variable-revenue. Fixed revenue will not be adjusted.</t>
  </si>
  <si>
    <t xml:space="preserve">Impact: </t>
  </si>
  <si>
    <t>Will provide more certainty for utilities when evaluating their revenue. For utilities shifting a large portion of revenue to fixed charges, they will continue to be exposed to defecting customers.</t>
  </si>
  <si>
    <t>Increase Demand Charges</t>
  </si>
  <si>
    <t>In response to an increasing number of customers leaving the utility and falling utility revenues, your state has decided to increase the share of revenues coming from fixed charges. The fixed charge per customer is determined once in the year this policy is enacted.</t>
  </si>
  <si>
    <t>Increases the proportion of revenue coming from fixed charges.</t>
  </si>
  <si>
    <t>Will help shield the utility from falling revenues due to load or customer loss. However, the amount is not adjusted after it is set, so the more customers that leave, the less revenue the utility will have. This will also impact the attractiveness of DERs and EE</t>
  </si>
  <si>
    <t>To better align rates with electricity costs, your state has decided to shift all customers to Time of Use (ToU pricing). This reduces your required reserve margin by 5% because customers are more responsive to reducing load during peak times.</t>
  </si>
  <si>
    <t>Will reduce the need for investment in peaking resources. Savings will flow through to customers through lower bills with fewer assets being needed.</t>
  </si>
  <si>
    <t>Performance Based Regulation</t>
  </si>
  <si>
    <t>To encourage your utility to align decision-making with public policy goals, your state has chosen to shift you to performance based regulation (PBR). Your RoR is reduced by 2%, but you are eligible to received bonus payments for reducing your emissions, minimizing curtailment, and lowering customer bills</t>
  </si>
  <si>
    <t>Reduces RoR by 2%, lowering the utility's revenue. Creates bonuses for environmental performance, reliability, and lowering customer bills.</t>
  </si>
  <si>
    <t>Will demonstrate how PBR works. Done well, even though it lowers RoR, PBR will reslut in increased utility revenue while improving the metrics that they are evaluated against.</t>
  </si>
  <si>
    <t>Policies Enabled</t>
  </si>
  <si>
    <t>Calamities</t>
  </si>
  <si>
    <t>RPS Compliance</t>
  </si>
  <si>
    <t>RPS Enabled</t>
  </si>
  <si>
    <t>Renewable Generation</t>
  </si>
  <si>
    <t>Renewable Requirement</t>
  </si>
  <si>
    <t>Renewable Shortage (MWh)</t>
  </si>
  <si>
    <t>Alternative Compliance Payment ($)</t>
  </si>
  <si>
    <t>Alternative Compliance Payment Amount ($/MWh)</t>
  </si>
  <si>
    <t>What should we set the ACP to?</t>
  </si>
  <si>
    <t>Policy Related Revenue</t>
  </si>
  <si>
    <t xml:space="preserve">     RPS ACP Penalties</t>
  </si>
  <si>
    <t>Decoupling Load Adjustment</t>
  </si>
  <si>
    <t>$/transmission mile</t>
  </si>
  <si>
    <t>Transmission and Distribution Operations and Maintenance Costs</t>
  </si>
  <si>
    <t xml:space="preserve">     Transmission O&amp;M</t>
  </si>
  <si>
    <t>http://www3.sce.com/sscc/law/dis/dbattach5e.nsf/0/BACF374E1EFE27CE88257C2100811E3D/$FILE/SCE-03%20Vol.%2008.pdf, p.2</t>
  </si>
  <si>
    <t xml:space="preserve">     Distribution O&amp;M</t>
  </si>
  <si>
    <t>Transmission O&amp;M Expenses</t>
  </si>
  <si>
    <t>Distribution O&amp;M Expenses</t>
  </si>
  <si>
    <t>How do we handle reliability from distribution system upgrades</t>
  </si>
  <si>
    <t>Number of Substations</t>
  </si>
  <si>
    <t>no.</t>
  </si>
  <si>
    <t>Estimated Number of Customers</t>
  </si>
  <si>
    <t>Actual Number of Customers</t>
  </si>
  <si>
    <t>New Investments</t>
  </si>
  <si>
    <t>Change in System Load Factor in Response to ToU</t>
  </si>
  <si>
    <t>&lt;update with elasticity values</t>
  </si>
  <si>
    <t xml:space="preserve">          Environment</t>
  </si>
  <si>
    <t xml:space="preserve">          Customer Bills</t>
  </si>
  <si>
    <t xml:space="preserve">          Reliability</t>
  </si>
  <si>
    <t>Change in RoR with PBR</t>
  </si>
  <si>
    <t>&lt;calibrate this</t>
  </si>
  <si>
    <t xml:space="preserve">     Bonus from Performance Incentives</t>
  </si>
  <si>
    <t>https://www.smartgrid.gov/files/SMUD-CBS_Final_Evaluation_Submitted_DOE_9_9_2014.pdf, Table 4-1, Default TOU, IHD-Offer, average</t>
  </si>
  <si>
    <t>Residential Reduction in Peak Load with ToU</t>
  </si>
  <si>
    <t>Number of Customers</t>
  </si>
  <si>
    <t>No.</t>
  </si>
  <si>
    <t>Residential</t>
  </si>
  <si>
    <t>Commercial</t>
  </si>
  <si>
    <t>Industrial</t>
  </si>
  <si>
    <t>Sales by Customer Class, GWh</t>
  </si>
  <si>
    <t>Sales by Customer Class, %</t>
  </si>
  <si>
    <t>Pre-Policy Peak Demand (MW)</t>
  </si>
  <si>
    <t>ToU Peak Demand Reduction (MW)</t>
  </si>
  <si>
    <t>PIMs</t>
  </si>
  <si>
    <t>Increased Fixed Charges</t>
  </si>
  <si>
    <t>Time of Use Charge Flexibility Point Multiplier</t>
  </si>
  <si>
    <t>Multiplier</t>
  </si>
  <si>
    <t>ToU Multiplier</t>
  </si>
  <si>
    <t>Residential + Commercial</t>
  </si>
  <si>
    <t>Decreases peak load for commercial and residential customers and increases the total number of flexibility points available.</t>
  </si>
  <si>
    <t>Bonus Available for Environmental Goals (% of Revenue Requirement)</t>
  </si>
  <si>
    <t>Bonus Available for Customer Bill Goals (% of Revenue Requirement)</t>
  </si>
  <si>
    <t>Bonus Available for Reliability Goals (% of Revenue Requirement)</t>
  </si>
  <si>
    <t>Authorized Rate of Return (RoR)</t>
  </si>
  <si>
    <t>Total Costs</t>
  </si>
  <si>
    <t>Utility Costs and Expenses</t>
  </si>
  <si>
    <t>Net Income</t>
  </si>
  <si>
    <t>Need time for distribution assets (and plug into utility revenue)</t>
  </si>
  <si>
    <t>Utility EE</t>
  </si>
  <si>
    <t>Customer EE</t>
  </si>
  <si>
    <t>DER (solar PV)</t>
  </si>
  <si>
    <t>Start Year Capacities (MW)</t>
  </si>
  <si>
    <t>DER (solar PV)--&gt; can this be curtailed/does it require distribution system investment??</t>
  </si>
  <si>
    <t>solar (utility + DER)</t>
  </si>
  <si>
    <t>Forecast Utility Demand (Load - DER - Customer EE)</t>
  </si>
  <si>
    <t>Actual Utility Demand (Load - DER - Customer EE)</t>
  </si>
  <si>
    <t>Projected Utility Load</t>
  </si>
  <si>
    <t>utility EE</t>
  </si>
  <si>
    <t>Total Utiltity Revenue Requirement</t>
  </si>
  <si>
    <t>Generation Costs</t>
  </si>
  <si>
    <t xml:space="preserve">     Purchased Generation Costs</t>
  </si>
  <si>
    <t xml:space="preserve">     Purchased Generation</t>
  </si>
  <si>
    <t>Round Names</t>
  </si>
  <si>
    <t>Game Setup</t>
  </si>
  <si>
    <t>Round 6</t>
  </si>
  <si>
    <t>Round 7</t>
  </si>
  <si>
    <t>Round 8</t>
  </si>
  <si>
    <t>Round 9</t>
  </si>
  <si>
    <t>Round 10</t>
  </si>
  <si>
    <t>Current Round:</t>
  </si>
  <si>
    <t>Type of Utility</t>
  </si>
  <si>
    <t>Select</t>
  </si>
  <si>
    <t>Let's go!</t>
  </si>
  <si>
    <t>Round Completion</t>
  </si>
  <si>
    <t>Utility Name:</t>
  </si>
  <si>
    <t>New Capacity to Add this Year</t>
  </si>
  <si>
    <t>Capacity Before Additions (MW)</t>
  </si>
  <si>
    <t>Electricity Capacity and Generation</t>
  </si>
  <si>
    <t>New Capacity to Add this Year (MW)</t>
  </si>
  <si>
    <t>Retirements (MW)</t>
  </si>
  <si>
    <t>Fuel Type</t>
  </si>
  <si>
    <t>Events and Policies</t>
  </si>
  <si>
    <t>None</t>
  </si>
  <si>
    <t>Nat Gas Price Spike</t>
  </si>
  <si>
    <t>$/MWh</t>
  </si>
  <si>
    <t>Natural Gas Price Spike Increase ($/MMBtu)</t>
  </si>
  <si>
    <t>Pre-Event Actual Load (MWh)</t>
  </si>
  <si>
    <t>Post-Event Actual Load (MWh)</t>
  </si>
  <si>
    <t>Event Impacts</t>
  </si>
  <si>
    <t>Heat Wave Load Increase (%)</t>
  </si>
  <si>
    <t>Policy Planning</t>
  </si>
  <si>
    <t>RPS Requirement</t>
  </si>
  <si>
    <t>should there be a one turn delay in policy/event cards? (specifically RPS, CO2 pricing, others?); right now there is a one year delay</t>
  </si>
  <si>
    <t>Unit Type</t>
  </si>
  <si>
    <t>Demand Response</t>
  </si>
  <si>
    <t>Widening Balancing Area</t>
  </si>
  <si>
    <t>Widening Balancing Areas</t>
  </si>
  <si>
    <t>Widened Balancing Area Multiplier</t>
  </si>
  <si>
    <t>Widened Balancing Areas</t>
  </si>
  <si>
    <t>Flexibility Multiplier Provided by Widening Balancing Areas</t>
  </si>
  <si>
    <t>To increase system flexibility and lower costs, your state has voted to allow market based exchages between your balancing area and others.</t>
  </si>
  <si>
    <t>Multiplies the amount of flexible resources by 10%. In the DR game mode, this policy is enabled from the start year.</t>
  </si>
  <si>
    <t>Reduces the need to build flexibility resources for integrating variable generating and for meeting peak demand. Saves money by avoiding capital investment.</t>
  </si>
  <si>
    <t>Weighted Average Cost of Capital (WACC)</t>
  </si>
  <si>
    <t>Debt Repayment Period for Capital Investments (years)</t>
  </si>
  <si>
    <t xml:space="preserve">     New NG Combustion Turbines</t>
  </si>
  <si>
    <t xml:space="preserve">     New Battery Storage</t>
  </si>
  <si>
    <t xml:space="preserve">     New Pumped Hydro</t>
  </si>
  <si>
    <t xml:space="preserve">     New Demand Response</t>
  </si>
  <si>
    <t>Past Investments</t>
  </si>
  <si>
    <t>NG Combustion Turbines</t>
  </si>
  <si>
    <t>Battery Storage</t>
  </si>
  <si>
    <t>http://www.eia.gov/forecasts/capitalcost/pdf/updated_capcost.pdf</t>
  </si>
  <si>
    <t>http://www.nwcouncil.org/media/7149235/drpotential_postaprcouncil_forwebsite_05042015.xlsx</t>
  </si>
  <si>
    <t>n/a</t>
  </si>
  <si>
    <t>&lt;use in construction costs</t>
  </si>
  <si>
    <t>http://aceee.org/sites/default/files/publications/researchreports/u1402.pdf</t>
  </si>
  <si>
    <t>EE is backcalculated based on $/kWh</t>
  </si>
  <si>
    <t>Background</t>
  </si>
  <si>
    <t>Here are some things to consider as you begin thinking about how you will manage your utility:</t>
  </si>
  <si>
    <t>2) Some of your nuclear and coal assets are planning to retire. What will you replace these with?</t>
  </si>
  <si>
    <t>1) Demand for electricity is expected to be stagnant, if not declining over the next 10 years. How will you increase your net income while sales continue to decline?</t>
  </si>
  <si>
    <t>Annual Reduction in Solar PV costs</t>
  </si>
  <si>
    <t>Annual Reduction in Wind Costs</t>
  </si>
  <si>
    <t>solar pv</t>
  </si>
  <si>
    <t>3) The cost of renewable energy technologies, like wind and solar, will continue to drop. This will provide you with cheap new sources of power, but flexibilty may become an issue if you build too much too quickly. How will you integrate these new cheap sources of power?</t>
  </si>
  <si>
    <t>Right now background page is based on GTDR… how would we change it for DR?</t>
  </si>
  <si>
    <t>can utilities earn a return for EE/DR?; right now, no RoR on EE but they have to pay the WACC when purchasing</t>
  </si>
  <si>
    <t>4) Distributed energy resources and customer energy efficiency are expected to grow over the next 10 years. How will you manage this growth while maximizing the performance of your utility?</t>
  </si>
  <si>
    <t>Questions</t>
  </si>
  <si>
    <t>Answers:</t>
  </si>
  <si>
    <t>With decoupling they get RoR</t>
  </si>
  <si>
    <t>see below</t>
  </si>
  <si>
    <t>Match DR generation recovery to GTDR revenue recovery</t>
  </si>
  <si>
    <t>Set it at 100 and could be randomized/test it</t>
  </si>
  <si>
    <t>Event: utility bond rating downgrade</t>
  </si>
  <si>
    <t>Delay construction times</t>
  </si>
  <si>
    <t>differentiated lead times based on resource type</t>
  </si>
  <si>
    <t>Forecast of things necessary for lead times (e.g. reliability)</t>
  </si>
  <si>
    <t>Random between 0.5 and 0.8</t>
  </si>
  <si>
    <t>Does partial fuel cost non-passthrough become a policy option?</t>
  </si>
  <si>
    <t>Compare assumptions to FINDER model (Mike will send it on)</t>
  </si>
  <si>
    <t>Earnings per share (check cost and value paper)</t>
  </si>
  <si>
    <t>Distribution paper (ERG paper on CA distribution system)</t>
  </si>
  <si>
    <t>&lt;rethink this</t>
  </si>
  <si>
    <t>Average Minutes per Year of Outages</t>
  </si>
  <si>
    <t>Environmental Performance (lbs CO2/MWh)</t>
  </si>
  <si>
    <t>Minutes per Year Outages</t>
  </si>
  <si>
    <t>Minutes</t>
  </si>
  <si>
    <t>Congratulations! Your team has just been assigned the task of managing your utility's energy portfolio. Your goal over the next 10 years (rounds) will be to maximize your utility's performance across four areas: profitiability, customer bills, environmental performance, and realibility.  You will need to balance performance across these four areas in order to ensure your utility's maximum performance. Along the way you will make decisions about which assets to build and which policies to enact,  while adapting to long term trends in the electric sector. But be careful, your decisions will affect your performance down the road.... and you never know what environmental calamity or policy change might be lurking ahead.</t>
  </si>
  <si>
    <t xml:space="preserve">Current Round: </t>
  </si>
  <si>
    <t>Average Customer Bill</t>
  </si>
  <si>
    <t>Customer Bills</t>
  </si>
  <si>
    <t>Round 0</t>
  </si>
  <si>
    <t>Past Rounds</t>
  </si>
  <si>
    <t>Name</t>
  </si>
  <si>
    <t>Current Round + Past Round</t>
  </si>
  <si>
    <t>Round Number</t>
  </si>
  <si>
    <t>Distribution System Investment</t>
  </si>
  <si>
    <t>Environmental Performance</t>
  </si>
  <si>
    <t>lbs/kWh</t>
  </si>
  <si>
    <t>Operating Income</t>
  </si>
  <si>
    <t>Utility Operating Income</t>
  </si>
  <si>
    <t>Round Event</t>
  </si>
  <si>
    <t>Round Policy</t>
  </si>
  <si>
    <t>Transformers and Substations</t>
  </si>
  <si>
    <t>Lines and Feeders</t>
  </si>
  <si>
    <t>http://www.nrel.gov/docs/fy03osti/32500.pdf, Table 3</t>
  </si>
  <si>
    <t>http://www.nrel.gov/docs/fy03osti/32500.pdf, Table 4</t>
  </si>
  <si>
    <t>http://www.nrel.gov/docs/fy03osti/32500.pdf, Table 5</t>
  </si>
  <si>
    <t>Transformers and Substations ($ per MW peak)</t>
  </si>
  <si>
    <t>Lines and Feeders ($ per MW peak)</t>
  </si>
  <si>
    <t>http://www.nrel.gov/docs/fy03osti/32500.pdf, Table 6</t>
  </si>
  <si>
    <t>Dollar per Marginal MW Distribution Investment</t>
  </si>
  <si>
    <t>http://www.nrel.gov/docs/fy03osti/32500.pdf, Table 7</t>
  </si>
  <si>
    <t>http://www.nrel.gov/docs/fy03osti/32500.pdf, Table 8</t>
  </si>
  <si>
    <t>Embedded Distribution Costs, $ per peak MW</t>
  </si>
  <si>
    <t>Transormer and Substations</t>
  </si>
  <si>
    <t>Transmission (circuit*miles)</t>
  </si>
  <si>
    <t>Available Peak Demand Generating Capacity (MW*PCF)</t>
  </si>
  <si>
    <t>Available Peak Demand Distribution Capacity</t>
  </si>
  <si>
    <t>Estimated Generation Reserve Margin</t>
  </si>
  <si>
    <t>Estimated Distribution Reserve Margin</t>
  </si>
  <si>
    <t>EIA Form 861, SAIDI*SAIFI</t>
  </si>
  <si>
    <t>Decrease in System Load Factor per Year</t>
  </si>
  <si>
    <t>Reliability (Minutes of Outages per Year)</t>
  </si>
  <si>
    <t>[Insert Utility Name Here]</t>
  </si>
  <si>
    <t>Generation Mix</t>
  </si>
  <si>
    <t>Generation Reserve Margin</t>
  </si>
  <si>
    <t>NERC Standard</t>
  </si>
  <si>
    <t>Transmission, Distribution, and Flexibility Resources</t>
  </si>
  <si>
    <t>Transformers, Substations, Lines, and Feeders (MW)</t>
  </si>
  <si>
    <t>Distribution System Infrastructure</t>
  </si>
  <si>
    <t>Carbon Pricing ($/year)</t>
  </si>
  <si>
    <t>Version 1.03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</si>
</sst>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_(&quot;$&quot;* #,##0.000_);_(&quot;$&quot;* \(#,##0.000\);_(&quot;$&quot;* &quot;-&quot;??_);_(@_)"/>
    <numFmt numFmtId="167" formatCode="_(* #,##0_);_(* \(#,##0\);_(* &quot;-&quot;??_);_(@_)"/>
    <numFmt numFmtId="168" formatCode="_(&quot;$&quot;* #,##0.0_);_(&quot;$&quot;* \(#,##0.0\);_(&quot;$&quot;* &quot;-&quot;??_);_(@_)"/>
    <numFmt numFmtId="169" formatCode="0.0%"/>
    <numFmt numFmtId="170" formatCode="0.000"/>
    <numFmt numFmtId="171" formatCode="&quot;$&quot;#,##0.00"/>
    <numFmt numFmtId="172" formatCode="&quot;$&quot;#,##0"/>
  </numFmts>
  <fonts count="15"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b/>
      <sz val="14"/>
      <color theme="1"/>
      <name val="Calibri"/>
      <family val="2"/>
      <scheme val="minor"/>
    </font>
    <font>
      <b/>
      <i/>
      <sz val="11"/>
      <color theme="1"/>
      <name val="Calibri"/>
      <family val="2"/>
      <scheme val="minor"/>
    </font>
    <font>
      <u/>
      <sz val="11"/>
      <color theme="10"/>
      <name val="Calibri"/>
      <family val="2"/>
      <scheme val="minor"/>
    </font>
    <font>
      <sz val="9"/>
      <color indexed="81"/>
      <name val="Tahoma"/>
      <family val="2"/>
    </font>
    <font>
      <b/>
      <sz val="9"/>
      <color indexed="81"/>
      <name val="Tahoma"/>
      <family val="2"/>
    </font>
    <font>
      <sz val="20"/>
      <color theme="1"/>
      <name val="Calibri"/>
      <family val="2"/>
      <scheme val="minor"/>
    </font>
    <font>
      <b/>
      <sz val="20"/>
      <color theme="1"/>
      <name val="Calibri"/>
      <family val="2"/>
      <scheme val="minor"/>
    </font>
    <font>
      <sz val="14"/>
      <color theme="1"/>
      <name val="Calibri"/>
      <family val="2"/>
      <scheme val="minor"/>
    </font>
    <font>
      <sz val="24"/>
      <color theme="1"/>
      <name val="Calibri"/>
      <family val="2"/>
      <scheme val="minor"/>
    </font>
    <font>
      <b/>
      <sz val="12"/>
      <color theme="1"/>
      <name val="Calibri"/>
      <family val="2"/>
      <scheme val="minor"/>
    </font>
    <font>
      <sz val="11"/>
      <name val="Calibri"/>
      <family val="2"/>
      <scheme val="minor"/>
    </font>
  </fonts>
  <fills count="12">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8"/>
        <bgColor indexed="64"/>
      </patternFill>
    </fill>
    <fill>
      <patternFill patternType="solid">
        <fgColor theme="5" tint="0.59999389629810485"/>
        <bgColor indexed="64"/>
      </patternFill>
    </fill>
    <fill>
      <patternFill patternType="solid">
        <fgColor theme="6"/>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theme="7"/>
        <bgColor indexed="64"/>
      </patternFill>
    </fill>
  </fills>
  <borders count="22">
    <border>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right/>
      <top style="double">
        <color indexed="64"/>
      </top>
      <bottom style="thin">
        <color indexed="64"/>
      </bottom>
      <diagonal/>
    </border>
    <border>
      <left/>
      <right/>
      <top style="thin">
        <color indexed="64"/>
      </top>
      <bottom/>
      <diagonal/>
    </border>
    <border>
      <left/>
      <right/>
      <top style="double">
        <color indexed="64"/>
      </top>
      <bottom style="double">
        <color indexed="64"/>
      </bottom>
      <diagonal/>
    </border>
    <border>
      <left style="medium">
        <color indexed="64"/>
      </left>
      <right style="medium">
        <color indexed="64"/>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44" fontId="1" fillId="0" borderId="0" applyFont="0" applyFill="0" applyBorder="0" applyAlignment="0" applyProtection="0"/>
    <xf numFmtId="9" fontId="1" fillId="0" borderId="0" applyFont="0" applyFill="0" applyBorder="0" applyAlignment="0" applyProtection="0"/>
    <xf numFmtId="43" fontId="1" fillId="0" borderId="0" applyFont="0" applyFill="0" applyBorder="0" applyAlignment="0" applyProtection="0"/>
    <xf numFmtId="0" fontId="6" fillId="0" borderId="0" applyNumberFormat="0" applyFill="0" applyBorder="0" applyAlignment="0" applyProtection="0"/>
  </cellStyleXfs>
  <cellXfs count="188">
    <xf numFmtId="0" fontId="0" fillId="0" borderId="0" xfId="0"/>
    <xf numFmtId="0" fontId="2" fillId="0" borderId="0" xfId="0" applyFont="1"/>
    <xf numFmtId="164" fontId="0" fillId="0" borderId="0" xfId="0" applyNumberFormat="1"/>
    <xf numFmtId="0" fontId="0" fillId="2" borderId="0" xfId="0" applyFill="1"/>
    <xf numFmtId="0" fontId="3" fillId="0" borderId="0" xfId="0" applyFont="1"/>
    <xf numFmtId="9" fontId="0" fillId="0" borderId="0" xfId="2" applyFont="1"/>
    <xf numFmtId="6" fontId="0" fillId="0" borderId="0" xfId="0" applyNumberFormat="1"/>
    <xf numFmtId="165" fontId="0" fillId="0" borderId="0" xfId="1" applyNumberFormat="1" applyFont="1"/>
    <xf numFmtId="166" fontId="0" fillId="0" borderId="0" xfId="1" applyNumberFormat="1" applyFont="1"/>
    <xf numFmtId="0" fontId="2" fillId="2" borderId="0" xfId="0" applyFont="1" applyFill="1"/>
    <xf numFmtId="2" fontId="0" fillId="0" borderId="0" xfId="0" applyNumberFormat="1"/>
    <xf numFmtId="0" fontId="2" fillId="3" borderId="1" xfId="0" applyFont="1" applyFill="1" applyBorder="1"/>
    <xf numFmtId="0" fontId="0" fillId="0" borderId="0" xfId="0" applyBorder="1"/>
    <xf numFmtId="0" fontId="2" fillId="5" borderId="0" xfId="0" applyFont="1" applyFill="1"/>
    <xf numFmtId="0" fontId="0" fillId="5" borderId="0" xfId="0" applyFill="1"/>
    <xf numFmtId="44" fontId="0" fillId="0" borderId="0" xfId="1" applyFont="1"/>
    <xf numFmtId="1" fontId="0" fillId="0" borderId="0" xfId="0" applyNumberFormat="1"/>
    <xf numFmtId="0" fontId="0" fillId="0" borderId="0" xfId="0" applyFont="1"/>
    <xf numFmtId="9" fontId="0" fillId="0" borderId="0" xfId="0" applyNumberFormat="1"/>
    <xf numFmtId="165" fontId="0" fillId="0" borderId="0" xfId="1" applyNumberFormat="1" applyFont="1" applyFill="1"/>
    <xf numFmtId="0" fontId="4" fillId="4" borderId="0" xfId="0" applyFont="1" applyFill="1"/>
    <xf numFmtId="0" fontId="0" fillId="4" borderId="0" xfId="0" applyFill="1"/>
    <xf numFmtId="0" fontId="0" fillId="0" borderId="2" xfId="0" applyBorder="1"/>
    <xf numFmtId="165" fontId="0" fillId="0" borderId="2" xfId="1" applyNumberFormat="1" applyFont="1" applyBorder="1"/>
    <xf numFmtId="0" fontId="5" fillId="0" borderId="0" xfId="0" applyFont="1"/>
    <xf numFmtId="165" fontId="0" fillId="0" borderId="0" xfId="0" applyNumberFormat="1"/>
    <xf numFmtId="0" fontId="0" fillId="0" borderId="0" xfId="0" applyFill="1" applyBorder="1"/>
    <xf numFmtId="165" fontId="0" fillId="0" borderId="0" xfId="1" applyNumberFormat="1" applyFont="1" applyBorder="1"/>
    <xf numFmtId="0" fontId="3" fillId="0" borderId="0" xfId="0" applyFont="1" applyBorder="1"/>
    <xf numFmtId="0" fontId="0" fillId="0" borderId="2" xfId="0" applyFill="1" applyBorder="1"/>
    <xf numFmtId="0" fontId="0" fillId="3" borderId="1" xfId="0" applyFill="1" applyBorder="1"/>
    <xf numFmtId="44" fontId="0" fillId="0" borderId="0" xfId="1" applyFont="1" applyFill="1" applyBorder="1"/>
    <xf numFmtId="0" fontId="0" fillId="3" borderId="1" xfId="0" applyFill="1" applyBorder="1" applyAlignment="1">
      <alignment horizontal="right"/>
    </xf>
    <xf numFmtId="167" fontId="0" fillId="0" borderId="0" xfId="3" applyNumberFormat="1" applyFont="1"/>
    <xf numFmtId="0" fontId="5" fillId="0" borderId="3" xfId="0" applyFont="1" applyBorder="1"/>
    <xf numFmtId="165" fontId="0" fillId="0" borderId="2" xfId="0" applyNumberFormat="1" applyBorder="1"/>
    <xf numFmtId="0" fontId="0" fillId="0" borderId="4" xfId="0" applyBorder="1"/>
    <xf numFmtId="0" fontId="0" fillId="0" borderId="4" xfId="0" applyFill="1" applyBorder="1"/>
    <xf numFmtId="167" fontId="0" fillId="0" borderId="4" xfId="3" applyNumberFormat="1" applyFont="1" applyBorder="1"/>
    <xf numFmtId="0" fontId="2" fillId="0" borderId="5" xfId="0" applyFont="1" applyFill="1" applyBorder="1"/>
    <xf numFmtId="0" fontId="0" fillId="0" borderId="4" xfId="0" applyFont="1" applyBorder="1"/>
    <xf numFmtId="165" fontId="0" fillId="0" borderId="3" xfId="1" applyNumberFormat="1" applyFont="1" applyBorder="1"/>
    <xf numFmtId="0" fontId="0" fillId="0" borderId="0" xfId="0" quotePrefix="1" applyAlignment="1">
      <alignment horizontal="left"/>
    </xf>
    <xf numFmtId="0" fontId="0" fillId="0" borderId="0" xfId="0" applyAlignment="1">
      <alignment horizontal="left"/>
    </xf>
    <xf numFmtId="9" fontId="0" fillId="0" borderId="0" xfId="2" applyNumberFormat="1" applyFont="1"/>
    <xf numFmtId="0" fontId="0" fillId="0" borderId="3" xfId="0" applyBorder="1"/>
    <xf numFmtId="0" fontId="5" fillId="0" borderId="5" xfId="0" applyFont="1" applyBorder="1"/>
    <xf numFmtId="165" fontId="0" fillId="0" borderId="5" xfId="0" applyNumberFormat="1" applyBorder="1"/>
    <xf numFmtId="9" fontId="0" fillId="6" borderId="1" xfId="2" applyFont="1" applyFill="1" applyBorder="1"/>
    <xf numFmtId="44" fontId="0" fillId="0" borderId="0" xfId="0" applyNumberFormat="1"/>
    <xf numFmtId="168" fontId="0" fillId="0" borderId="5" xfId="0" applyNumberFormat="1" applyFont="1" applyBorder="1"/>
    <xf numFmtId="166" fontId="0" fillId="0" borderId="2" xfId="1" applyNumberFormat="1" applyFont="1" applyBorder="1"/>
    <xf numFmtId="0" fontId="3" fillId="0" borderId="3" xfId="0" applyFont="1" applyBorder="1"/>
    <xf numFmtId="0" fontId="3" fillId="0" borderId="6" xfId="0" applyFont="1" applyBorder="1"/>
    <xf numFmtId="1" fontId="0" fillId="0" borderId="6" xfId="0" applyNumberFormat="1" applyBorder="1"/>
    <xf numFmtId="0" fontId="2" fillId="0" borderId="4" xfId="0" applyFont="1" applyBorder="1"/>
    <xf numFmtId="44" fontId="0" fillId="0" borderId="4" xfId="0" applyNumberFormat="1" applyBorder="1"/>
    <xf numFmtId="0" fontId="3" fillId="0" borderId="5" xfId="0" applyFont="1" applyBorder="1"/>
    <xf numFmtId="0" fontId="0" fillId="0" borderId="5" xfId="0" applyBorder="1"/>
    <xf numFmtId="44" fontId="0" fillId="0" borderId="2" xfId="1" applyFont="1" applyBorder="1"/>
    <xf numFmtId="0" fontId="5" fillId="0" borderId="7" xfId="0" applyFont="1" applyBorder="1"/>
    <xf numFmtId="44" fontId="0" fillId="0" borderId="7" xfId="0" applyNumberFormat="1" applyBorder="1"/>
    <xf numFmtId="0" fontId="0" fillId="0" borderId="0" xfId="0" applyAlignment="1">
      <alignment horizontal="right"/>
    </xf>
    <xf numFmtId="44" fontId="0" fillId="6" borderId="1" xfId="1" applyFont="1" applyFill="1" applyBorder="1"/>
    <xf numFmtId="167" fontId="0" fillId="0" borderId="0" xfId="0" applyNumberFormat="1"/>
    <xf numFmtId="0" fontId="6" fillId="0" borderId="0" xfId="4"/>
    <xf numFmtId="0" fontId="0" fillId="0" borderId="0" xfId="0" applyAlignment="1">
      <alignment wrapText="1"/>
    </xf>
    <xf numFmtId="0" fontId="0" fillId="0" borderId="0" xfId="0" applyAlignment="1">
      <alignment vertical="center"/>
    </xf>
    <xf numFmtId="0" fontId="2" fillId="0" borderId="0" xfId="0" applyFont="1" applyFill="1"/>
    <xf numFmtId="0" fontId="0" fillId="0" borderId="0" xfId="0" applyFill="1"/>
    <xf numFmtId="0" fontId="0" fillId="0" borderId="0" xfId="0" applyAlignment="1">
      <alignment horizontal="left" vertical="center"/>
    </xf>
    <xf numFmtId="0" fontId="0" fillId="0" borderId="0" xfId="0" applyFont="1" applyFill="1" applyBorder="1"/>
    <xf numFmtId="0" fontId="2" fillId="0" borderId="0" xfId="0" applyFont="1" applyFill="1" applyBorder="1"/>
    <xf numFmtId="0" fontId="0" fillId="0" borderId="0" xfId="0" applyFont="1" applyBorder="1"/>
    <xf numFmtId="167" fontId="0" fillId="0" borderId="0" xfId="3" applyNumberFormat="1" applyFont="1" applyBorder="1"/>
    <xf numFmtId="167" fontId="0" fillId="0" borderId="3" xfId="3" applyNumberFormat="1" applyFont="1" applyBorder="1"/>
    <xf numFmtId="0" fontId="3" fillId="0" borderId="4" xfId="0" applyFont="1" applyBorder="1"/>
    <xf numFmtId="166" fontId="0" fillId="0" borderId="5" xfId="1" applyNumberFormat="1" applyFont="1" applyBorder="1"/>
    <xf numFmtId="0" fontId="2" fillId="2" borderId="0" xfId="0" applyFont="1" applyFill="1" applyBorder="1"/>
    <xf numFmtId="0" fontId="0" fillId="0" borderId="0" xfId="0" applyBorder="1" applyAlignment="1">
      <alignment vertical="center"/>
    </xf>
    <xf numFmtId="0" fontId="0" fillId="0" borderId="0" xfId="0" applyBorder="1" applyAlignment="1">
      <alignment wrapText="1"/>
    </xf>
    <xf numFmtId="165" fontId="0" fillId="3" borderId="0" xfId="1" applyNumberFormat="1" applyFont="1" applyFill="1" applyBorder="1"/>
    <xf numFmtId="0" fontId="0" fillId="3" borderId="2" xfId="0" applyFill="1" applyBorder="1"/>
    <xf numFmtId="0" fontId="3" fillId="0" borderId="2" xfId="0" applyFont="1" applyBorder="1"/>
    <xf numFmtId="44" fontId="0" fillId="0" borderId="0" xfId="1" applyFont="1" applyBorder="1"/>
    <xf numFmtId="9" fontId="0" fillId="6" borderId="1" xfId="0" applyNumberFormat="1" applyFill="1" applyBorder="1"/>
    <xf numFmtId="44" fontId="0" fillId="3" borderId="0" xfId="1" applyFont="1" applyFill="1" applyBorder="1"/>
    <xf numFmtId="169" fontId="0" fillId="0" borderId="0" xfId="2" applyNumberFormat="1" applyFont="1"/>
    <xf numFmtId="1" fontId="2" fillId="2" borderId="0" xfId="0" applyNumberFormat="1" applyFont="1" applyFill="1"/>
    <xf numFmtId="3" fontId="0" fillId="0" borderId="0" xfId="0" applyNumberFormat="1"/>
    <xf numFmtId="3" fontId="0" fillId="0" borderId="0" xfId="0" applyNumberFormat="1" applyFont="1" applyBorder="1"/>
    <xf numFmtId="169" fontId="0" fillId="6" borderId="8" xfId="2" applyNumberFormat="1" applyFont="1" applyFill="1" applyBorder="1"/>
    <xf numFmtId="169" fontId="0" fillId="6" borderId="1" xfId="2" applyNumberFormat="1" applyFont="1" applyFill="1" applyBorder="1"/>
    <xf numFmtId="165" fontId="0" fillId="6" borderId="1" xfId="1" applyNumberFormat="1" applyFont="1" applyFill="1" applyBorder="1"/>
    <xf numFmtId="8" fontId="0" fillId="0" borderId="0" xfId="0" applyNumberFormat="1"/>
    <xf numFmtId="0" fontId="5" fillId="0" borderId="9" xfId="0" applyFont="1" applyFill="1" applyBorder="1"/>
    <xf numFmtId="0" fontId="0" fillId="0" borderId="9" xfId="0" applyBorder="1"/>
    <xf numFmtId="0" fontId="5" fillId="0" borderId="4" xfId="0" applyFont="1" applyBorder="1"/>
    <xf numFmtId="165" fontId="0" fillId="0" borderId="4" xfId="0" applyNumberFormat="1" applyBorder="1"/>
    <xf numFmtId="165" fontId="0" fillId="0" borderId="9" xfId="0" applyNumberFormat="1" applyBorder="1"/>
    <xf numFmtId="165" fontId="0" fillId="0" borderId="3" xfId="0" applyNumberFormat="1" applyBorder="1"/>
    <xf numFmtId="0" fontId="3" fillId="0" borderId="9" xfId="0" applyFont="1" applyBorder="1"/>
    <xf numFmtId="0" fontId="0" fillId="0" borderId="2" xfId="0" applyFont="1" applyBorder="1"/>
    <xf numFmtId="165" fontId="0" fillId="0" borderId="0" xfId="0" applyNumberFormat="1" applyBorder="1"/>
    <xf numFmtId="0" fontId="0" fillId="8" borderId="0" xfId="0" applyFill="1"/>
    <xf numFmtId="169" fontId="4" fillId="4" borderId="0" xfId="2" applyNumberFormat="1" applyFont="1" applyFill="1"/>
    <xf numFmtId="10" fontId="0" fillId="0" borderId="0" xfId="2" applyNumberFormat="1" applyFont="1"/>
    <xf numFmtId="0" fontId="0" fillId="8" borderId="0" xfId="0" applyFill="1" applyAlignment="1">
      <alignment wrapText="1"/>
    </xf>
    <xf numFmtId="0" fontId="2" fillId="4" borderId="1" xfId="0" applyFont="1" applyFill="1" applyBorder="1"/>
    <xf numFmtId="0" fontId="0" fillId="6" borderId="1" xfId="0" applyFill="1" applyBorder="1"/>
    <xf numFmtId="1" fontId="0" fillId="0" borderId="0" xfId="2" applyNumberFormat="1" applyFont="1"/>
    <xf numFmtId="44" fontId="0" fillId="0" borderId="0" xfId="1" applyNumberFormat="1" applyFont="1"/>
    <xf numFmtId="9" fontId="0" fillId="6" borderId="16" xfId="0" applyNumberFormat="1" applyFill="1" applyBorder="1"/>
    <xf numFmtId="0" fontId="9" fillId="8" borderId="0" xfId="0" applyFont="1" applyFill="1"/>
    <xf numFmtId="0" fontId="11" fillId="8" borderId="0" xfId="0" applyFont="1" applyFill="1"/>
    <xf numFmtId="0" fontId="4" fillId="8" borderId="0" xfId="0" applyFont="1" applyFill="1"/>
    <xf numFmtId="170" fontId="0" fillId="8" borderId="0" xfId="0" applyNumberFormat="1" applyFill="1"/>
    <xf numFmtId="0" fontId="10" fillId="8" borderId="0" xfId="0" applyFont="1" applyFill="1" applyBorder="1" applyAlignment="1"/>
    <xf numFmtId="0" fontId="0" fillId="11" borderId="0" xfId="0" applyFill="1"/>
    <xf numFmtId="0" fontId="2" fillId="4" borderId="10" xfId="0" applyFont="1" applyFill="1" applyBorder="1"/>
    <xf numFmtId="0" fontId="0" fillId="4" borderId="10" xfId="0" applyFont="1" applyFill="1" applyBorder="1"/>
    <xf numFmtId="0" fontId="0" fillId="4" borderId="1" xfId="0" applyFill="1" applyBorder="1"/>
    <xf numFmtId="2" fontId="0" fillId="0" borderId="0" xfId="1" applyNumberFormat="1" applyFont="1"/>
    <xf numFmtId="172" fontId="0" fillId="0" borderId="0" xfId="0" applyNumberFormat="1"/>
    <xf numFmtId="172" fontId="0" fillId="0" borderId="0" xfId="1" applyNumberFormat="1" applyFont="1"/>
    <xf numFmtId="0" fontId="4" fillId="2" borderId="1" xfId="0" applyFont="1" applyFill="1" applyBorder="1" applyAlignment="1">
      <alignment vertical="center" wrapText="1"/>
    </xf>
    <xf numFmtId="0" fontId="0" fillId="7" borderId="18" xfId="0" applyFill="1" applyBorder="1" applyAlignment="1">
      <alignment wrapText="1"/>
    </xf>
    <xf numFmtId="0" fontId="0" fillId="7" borderId="18" xfId="0" applyFill="1" applyBorder="1"/>
    <xf numFmtId="0" fontId="0" fillId="7" borderId="21" xfId="0" applyFill="1" applyBorder="1"/>
    <xf numFmtId="172" fontId="12" fillId="7" borderId="18" xfId="1" applyNumberFormat="1" applyFont="1" applyFill="1" applyBorder="1" applyAlignment="1">
      <alignment horizontal="center" vertical="center"/>
    </xf>
    <xf numFmtId="172" fontId="12" fillId="7" borderId="21" xfId="1" applyNumberFormat="1" applyFont="1" applyFill="1" applyBorder="1" applyAlignment="1">
      <alignment horizontal="center" vertical="center"/>
    </xf>
    <xf numFmtId="165" fontId="0" fillId="7" borderId="18" xfId="1" applyNumberFormat="1" applyFont="1" applyFill="1" applyBorder="1" applyAlignment="1">
      <alignment horizontal="left" wrapText="1"/>
    </xf>
    <xf numFmtId="1" fontId="0" fillId="7" borderId="18" xfId="2" applyNumberFormat="1" applyFont="1" applyFill="1" applyBorder="1"/>
    <xf numFmtId="1" fontId="0" fillId="7" borderId="21" xfId="2" applyNumberFormat="1" applyFont="1" applyFill="1" applyBorder="1"/>
    <xf numFmtId="0" fontId="0" fillId="8" borderId="0" xfId="0" applyFill="1" applyAlignment="1">
      <alignment vertical="center"/>
    </xf>
    <xf numFmtId="0" fontId="13" fillId="9" borderId="17" xfId="0" applyFont="1" applyFill="1" applyBorder="1" applyAlignment="1">
      <alignment vertical="center" wrapText="1"/>
    </xf>
    <xf numFmtId="0" fontId="13" fillId="9" borderId="0" xfId="0" applyFont="1" applyFill="1" applyBorder="1" applyAlignment="1">
      <alignment vertical="center" wrapText="1"/>
    </xf>
    <xf numFmtId="0" fontId="13" fillId="9" borderId="18" xfId="0" applyFont="1" applyFill="1" applyBorder="1" applyAlignment="1">
      <alignment vertical="center" wrapText="1"/>
    </xf>
    <xf numFmtId="0" fontId="13" fillId="9" borderId="17" xfId="0" applyFont="1" applyFill="1" applyBorder="1" applyAlignment="1">
      <alignment horizontal="left" vertical="center" wrapText="1"/>
    </xf>
    <xf numFmtId="0" fontId="11" fillId="9" borderId="17" xfId="0" applyFont="1" applyFill="1" applyBorder="1"/>
    <xf numFmtId="3" fontId="11" fillId="3" borderId="18" xfId="0" applyNumberFormat="1" applyFont="1" applyFill="1" applyBorder="1"/>
    <xf numFmtId="0" fontId="11" fillId="9" borderId="19" xfId="0" applyFont="1" applyFill="1" applyBorder="1"/>
    <xf numFmtId="3" fontId="11" fillId="9" borderId="0" xfId="0" applyNumberFormat="1" applyFont="1" applyFill="1" applyBorder="1"/>
    <xf numFmtId="3" fontId="11" fillId="2" borderId="18" xfId="0" applyNumberFormat="1" applyFont="1" applyFill="1" applyBorder="1"/>
    <xf numFmtId="3" fontId="11" fillId="9" borderId="20" xfId="0" applyNumberFormat="1" applyFont="1" applyFill="1" applyBorder="1"/>
    <xf numFmtId="3" fontId="11" fillId="2" borderId="21" xfId="0" applyNumberFormat="1" applyFont="1" applyFill="1" applyBorder="1"/>
    <xf numFmtId="0" fontId="11" fillId="9" borderId="18" xfId="0" applyFont="1" applyFill="1" applyBorder="1"/>
    <xf numFmtId="0" fontId="11" fillId="9" borderId="18" xfId="0" applyFont="1" applyFill="1" applyBorder="1" applyAlignment="1"/>
    <xf numFmtId="0" fontId="11" fillId="9" borderId="21" xfId="0" applyFont="1" applyFill="1" applyBorder="1"/>
    <xf numFmtId="0" fontId="11" fillId="3" borderId="1" xfId="0" applyFont="1" applyFill="1" applyBorder="1" applyAlignment="1"/>
    <xf numFmtId="3" fontId="11" fillId="3" borderId="18" xfId="0" applyNumberFormat="1" applyFont="1" applyFill="1" applyBorder="1" applyAlignment="1">
      <alignment vertical="center"/>
    </xf>
    <xf numFmtId="0" fontId="11" fillId="9" borderId="17" xfId="0" applyFont="1" applyFill="1" applyBorder="1" applyAlignment="1">
      <alignment vertical="center" wrapText="1"/>
    </xf>
    <xf numFmtId="169" fontId="0" fillId="6" borderId="1" xfId="0" applyNumberFormat="1" applyFill="1" applyBorder="1"/>
    <xf numFmtId="1" fontId="0" fillId="0" borderId="0" xfId="1" applyNumberFormat="1" applyFont="1"/>
    <xf numFmtId="165" fontId="0" fillId="0" borderId="0" xfId="1" applyNumberFormat="1" applyFont="1" applyFill="1" applyBorder="1"/>
    <xf numFmtId="0" fontId="14" fillId="0" borderId="0" xfId="0" applyFont="1"/>
    <xf numFmtId="165" fontId="14" fillId="0" borderId="0" xfId="1" applyNumberFormat="1" applyFont="1"/>
    <xf numFmtId="44" fontId="0" fillId="0" borderId="0" xfId="1" applyNumberFormat="1" applyFont="1" applyFill="1" applyBorder="1"/>
    <xf numFmtId="166" fontId="0" fillId="0" borderId="5" xfId="0" applyNumberFormat="1" applyFont="1" applyBorder="1"/>
    <xf numFmtId="0" fontId="10" fillId="2" borderId="0" xfId="0" applyFont="1" applyFill="1" applyBorder="1" applyAlignment="1">
      <alignment horizontal="center"/>
    </xf>
    <xf numFmtId="0" fontId="11" fillId="8" borderId="0" xfId="0" applyFont="1" applyFill="1" applyAlignment="1">
      <alignment horizontal="left" wrapText="1"/>
    </xf>
    <xf numFmtId="0" fontId="4" fillId="8" borderId="0" xfId="0" applyFont="1" applyFill="1" applyAlignment="1">
      <alignment horizontal="left" wrapText="1"/>
    </xf>
    <xf numFmtId="0" fontId="9" fillId="3" borderId="10" xfId="0" applyFont="1" applyFill="1" applyBorder="1" applyAlignment="1">
      <alignment horizontal="center"/>
    </xf>
    <xf numFmtId="0" fontId="9" fillId="3" borderId="15" xfId="0" applyFont="1" applyFill="1" applyBorder="1" applyAlignment="1">
      <alignment horizontal="center"/>
    </xf>
    <xf numFmtId="0" fontId="9" fillId="3" borderId="11" xfId="0" applyFont="1" applyFill="1" applyBorder="1" applyAlignment="1">
      <alignment horizontal="center"/>
    </xf>
    <xf numFmtId="0" fontId="4" fillId="10" borderId="12" xfId="0" applyFont="1" applyFill="1" applyBorder="1" applyAlignment="1">
      <alignment horizontal="center" vertical="center"/>
    </xf>
    <xf numFmtId="0" fontId="4" fillId="10" borderId="14" xfId="0" applyFont="1" applyFill="1" applyBorder="1" applyAlignment="1">
      <alignment horizontal="center" vertical="center"/>
    </xf>
    <xf numFmtId="0" fontId="4" fillId="2" borderId="12" xfId="0" applyFont="1" applyFill="1" applyBorder="1" applyAlignment="1">
      <alignment horizontal="center"/>
    </xf>
    <xf numFmtId="0" fontId="4" fillId="2" borderId="14" xfId="0" applyFont="1" applyFill="1" applyBorder="1" applyAlignment="1">
      <alignment horizontal="center"/>
    </xf>
    <xf numFmtId="164" fontId="9" fillId="7" borderId="17" xfId="0" applyNumberFormat="1" applyFont="1" applyFill="1" applyBorder="1" applyAlignment="1">
      <alignment horizontal="center" vertical="center"/>
    </xf>
    <xf numFmtId="164" fontId="9" fillId="7" borderId="19" xfId="0" applyNumberFormat="1" applyFont="1" applyFill="1" applyBorder="1" applyAlignment="1">
      <alignment horizontal="center" vertical="center"/>
    </xf>
    <xf numFmtId="0" fontId="13" fillId="9" borderId="0" xfId="0" applyFont="1" applyFill="1" applyBorder="1" applyAlignment="1">
      <alignment horizontal="center" vertical="center" wrapText="1"/>
    </xf>
    <xf numFmtId="0" fontId="11" fillId="9" borderId="0" xfId="0" applyFont="1" applyFill="1" applyBorder="1" applyAlignment="1">
      <alignment horizontal="right" wrapText="1"/>
    </xf>
    <xf numFmtId="0" fontId="11" fillId="9" borderId="0" xfId="0" applyFont="1" applyFill="1" applyBorder="1" applyAlignment="1">
      <alignment horizontal="right" vertical="center" wrapText="1"/>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4" fillId="2" borderId="14" xfId="0" applyFont="1" applyFill="1" applyBorder="1" applyAlignment="1">
      <alignment horizontal="center" vertical="center"/>
    </xf>
    <xf numFmtId="172" fontId="9" fillId="7" borderId="17" xfId="1" applyNumberFormat="1" applyFont="1" applyFill="1" applyBorder="1" applyAlignment="1">
      <alignment horizontal="center" vertical="center"/>
    </xf>
    <xf numFmtId="172" fontId="9" fillId="7" borderId="19" xfId="1" applyNumberFormat="1" applyFont="1" applyFill="1" applyBorder="1" applyAlignment="1">
      <alignment horizontal="center" vertical="center"/>
    </xf>
    <xf numFmtId="0" fontId="4" fillId="4" borderId="0" xfId="0" applyFont="1" applyFill="1" applyAlignment="1">
      <alignment horizontal="center"/>
    </xf>
    <xf numFmtId="0" fontId="11" fillId="9" borderId="17" xfId="0" applyFont="1" applyFill="1" applyBorder="1" applyAlignment="1">
      <alignment horizontal="left" wrapText="1"/>
    </xf>
    <xf numFmtId="0" fontId="11" fillId="9" borderId="19" xfId="0" applyFont="1" applyFill="1" applyBorder="1" applyAlignment="1">
      <alignment horizontal="left" wrapText="1"/>
    </xf>
    <xf numFmtId="1" fontId="11" fillId="3" borderId="18" xfId="1" applyNumberFormat="1" applyFont="1" applyFill="1" applyBorder="1" applyAlignment="1">
      <alignment horizontal="right" vertical="center"/>
    </xf>
    <xf numFmtId="1" fontId="11" fillId="3" borderId="21" xfId="1" applyNumberFormat="1" applyFont="1" applyFill="1" applyBorder="1" applyAlignment="1">
      <alignment horizontal="right" vertical="center"/>
    </xf>
    <xf numFmtId="1" fontId="11" fillId="9" borderId="0" xfId="0" applyNumberFormat="1" applyFont="1" applyFill="1" applyBorder="1" applyAlignment="1">
      <alignment horizontal="right" vertical="center" wrapText="1"/>
    </xf>
    <xf numFmtId="1" fontId="11" fillId="9" borderId="20" xfId="0" applyNumberFormat="1" applyFont="1" applyFill="1" applyBorder="1" applyAlignment="1">
      <alignment horizontal="right" vertical="center" wrapText="1"/>
    </xf>
    <xf numFmtId="171" fontId="9" fillId="7" borderId="17" xfId="1" applyNumberFormat="1" applyFont="1" applyFill="1" applyBorder="1" applyAlignment="1">
      <alignment horizontal="center" vertical="center"/>
    </xf>
    <xf numFmtId="171" fontId="9" fillId="7" borderId="19" xfId="1" applyNumberFormat="1" applyFont="1" applyFill="1" applyBorder="1" applyAlignment="1">
      <alignment horizontal="center" vertical="center"/>
    </xf>
  </cellXfs>
  <cellStyles count="5">
    <cellStyle name="Comma" xfId="3" builtinId="3"/>
    <cellStyle name="Currency" xfId="1" builtinId="4"/>
    <cellStyle name="Hyperlink" xfId="4" builtinId="8"/>
    <cellStyle name="Normal" xfId="0" builtinId="0"/>
    <cellStyle name="Percent" xfId="2" builtinId="5"/>
  </cellStyles>
  <dxfs count="14">
    <dxf>
      <font>
        <color rgb="FFC00000"/>
      </font>
      <fill>
        <patternFill>
          <bgColor theme="6" tint="0.79998168889431442"/>
        </patternFill>
      </fill>
    </dxf>
    <dxf>
      <font>
        <color theme="5"/>
      </font>
      <fill>
        <patternFill>
          <bgColor theme="6" tint="0.79998168889431442"/>
        </patternFill>
      </fill>
    </dxf>
    <dxf>
      <font>
        <color rgb="FFC00000"/>
      </font>
      <fill>
        <patternFill>
          <bgColor theme="6" tint="0.79998168889431442"/>
        </patternFill>
      </fill>
    </dxf>
    <dxf>
      <font>
        <color theme="0" tint="-0.24994659260841701"/>
      </font>
      <fill>
        <patternFill>
          <bgColor theme="0" tint="-0.24994659260841701"/>
        </patternFill>
      </fill>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bottom/>
        <vertical/>
        <horizontal/>
      </border>
    </dxf>
    <dxf>
      <font>
        <color theme="0" tint="-0.24994659260841701"/>
      </font>
      <fill>
        <patternFill>
          <bgColor theme="0" tint="-0.24994659260841701"/>
        </patternFill>
      </fill>
      <border>
        <bottom style="thin">
          <color auto="1"/>
        </bottom>
        <vertical/>
        <horizontal/>
      </border>
    </dxf>
    <dxf>
      <font>
        <color theme="0" tint="-0.24994659260841701"/>
      </font>
      <fill>
        <patternFill>
          <bgColor theme="0" tint="-0.24994659260841701"/>
        </patternFill>
      </fill>
      <border>
        <top style="thin">
          <color auto="1"/>
        </top>
        <vertical/>
        <horizontal/>
      </border>
    </dxf>
    <dxf>
      <font>
        <color theme="0" tint="-0.24994659260841701"/>
      </font>
      <fill>
        <patternFill>
          <bgColor theme="0" tint="-0.24994659260841701"/>
        </patternFill>
      </fill>
      <border>
        <left style="thin">
          <color auto="1"/>
        </left>
        <right style="thin">
          <color auto="1"/>
        </right>
        <top/>
        <bottom/>
        <vertical/>
        <horizontal/>
      </border>
    </dxf>
    <dxf>
      <font>
        <color theme="0" tint="-0.24994659260841701"/>
      </font>
      <fill>
        <patternFill>
          <bgColor theme="0" tint="-0.2499465926084170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Forecast Electricity Demand</c:v>
          </c:tx>
          <c:spPr>
            <a:ln w="28575" cap="rnd">
              <a:solidFill>
                <a:schemeClr val="accent1"/>
              </a:solidFill>
              <a:round/>
            </a:ln>
            <a:effectLst/>
          </c:spPr>
          <c:marker>
            <c:symbol val="none"/>
          </c:marker>
          <c:cat>
            <c:numRef>
              <c:f>'Resource Mix and Demand'!$B$56:$L$56</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8000000</c:v>
                </c:pt>
                <c:pt idx="1">
                  <c:v>7800000</c:v>
                </c:pt>
                <c:pt idx="2">
                  <c:v>7700000</c:v>
                </c:pt>
                <c:pt idx="3">
                  <c:v>7500000</c:v>
                </c:pt>
                <c:pt idx="4">
                  <c:v>7300000</c:v>
                </c:pt>
                <c:pt idx="5">
                  <c:v>7400000</c:v>
                </c:pt>
                <c:pt idx="6">
                  <c:v>7200000</c:v>
                </c:pt>
                <c:pt idx="7">
                  <c:v>7000000</c:v>
                </c:pt>
                <c:pt idx="8">
                  <c:v>7200000</c:v>
                </c:pt>
                <c:pt idx="9">
                  <c:v>7100000</c:v>
                </c:pt>
                <c:pt idx="10">
                  <c:v>7000000</c:v>
                </c:pt>
              </c:numCache>
            </c:numRef>
          </c:val>
          <c:smooth val="0"/>
          <c:extLst>
            <c:ext xmlns:c16="http://schemas.microsoft.com/office/drawing/2014/chart" uri="{C3380CC4-5D6E-409C-BE32-E72D297353CC}">
              <c16:uniqueId val="{00000000-BCE5-4511-A444-73B2BC777373}"/>
            </c:ext>
          </c:extLst>
        </c:ser>
        <c:dLbls>
          <c:showLegendKey val="0"/>
          <c:showVal val="0"/>
          <c:showCatName val="0"/>
          <c:showSerName val="0"/>
          <c:showPercent val="0"/>
          <c:showBubbleSize val="0"/>
        </c:dLbls>
        <c:smooth val="0"/>
        <c:axId val="510747328"/>
        <c:axId val="510748112"/>
      </c:lineChart>
      <c:catAx>
        <c:axId val="51074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48112"/>
        <c:crosses val="autoZero"/>
        <c:auto val="1"/>
        <c:lblAlgn val="ctr"/>
        <c:lblOffset val="100"/>
        <c:noMultiLvlLbl val="0"/>
      </c:catAx>
      <c:valAx>
        <c:axId val="51074811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47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Planned Retirements (MW)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'Resource Mix and Demand'!$A$13</c:f>
              <c:strCache>
                <c:ptCount val="1"/>
                <c:pt idx="0">
                  <c:v>coal</c:v>
                </c:pt>
              </c:strCache>
            </c:strRef>
          </c:tx>
          <c:spPr>
            <a:solidFill>
              <a:schemeClr val="accent1"/>
            </a:solidFill>
            <a:ln>
              <a:noFill/>
            </a:ln>
            <a:effectLst/>
          </c:spPr>
          <c:invertIfNegative val="0"/>
          <c:val>
            <c:numRef>
              <c:f>'Resource Mix and Demand'!$B$13:$L$13</c:f>
              <c:numCache>
                <c:formatCode>#,##0</c:formatCode>
                <c:ptCount val="11"/>
                <c:pt idx="0">
                  <c:v>0</c:v>
                </c:pt>
                <c:pt idx="1">
                  <c:v>300</c:v>
                </c:pt>
                <c:pt idx="2">
                  <c:v>0</c:v>
                </c:pt>
                <c:pt idx="3">
                  <c:v>0</c:v>
                </c:pt>
                <c:pt idx="4">
                  <c:v>0</c:v>
                </c:pt>
                <c:pt idx="5">
                  <c:v>100</c:v>
                </c:pt>
                <c:pt idx="6">
                  <c:v>0</c:v>
                </c:pt>
                <c:pt idx="7">
                  <c:v>0</c:v>
                </c:pt>
                <c:pt idx="8">
                  <c:v>0</c:v>
                </c:pt>
                <c:pt idx="9">
                  <c:v>0</c:v>
                </c:pt>
                <c:pt idx="10">
                  <c:v>0</c:v>
                </c:pt>
              </c:numCache>
            </c:numRef>
          </c:val>
          <c:extLst>
            <c:ext xmlns:c16="http://schemas.microsoft.com/office/drawing/2014/chart" uri="{C3380CC4-5D6E-409C-BE32-E72D297353CC}">
              <c16:uniqueId val="{00000000-C98C-4FEC-8C02-C9C8A84DDCC7}"/>
            </c:ext>
          </c:extLst>
        </c:ser>
        <c:ser>
          <c:idx val="1"/>
          <c:order val="1"/>
          <c:tx>
            <c:strRef>
              <c:f>'Resource Mix and Demand'!$A$15</c:f>
              <c:strCache>
                <c:ptCount val="1"/>
                <c:pt idx="0">
                  <c:v>nuclear</c:v>
                </c:pt>
              </c:strCache>
            </c:strRef>
          </c:tx>
          <c:spPr>
            <a:solidFill>
              <a:schemeClr val="accent2"/>
            </a:solidFill>
            <a:ln>
              <a:noFill/>
            </a:ln>
            <a:effectLst/>
          </c:spPr>
          <c:invertIfNegative val="0"/>
          <c:val>
            <c:numRef>
              <c:f>'Resource Mix and Demand'!$B$15:$L$15</c:f>
              <c:numCache>
                <c:formatCode>#,##0</c:formatCode>
                <c:ptCount val="11"/>
                <c:pt idx="0">
                  <c:v>0</c:v>
                </c:pt>
                <c:pt idx="1">
                  <c:v>0</c:v>
                </c:pt>
                <c:pt idx="2">
                  <c:v>0</c:v>
                </c:pt>
                <c:pt idx="3">
                  <c:v>500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C98C-4FEC-8C02-C9C8A84DDCC7}"/>
            </c:ext>
          </c:extLst>
        </c:ser>
        <c:dLbls>
          <c:showLegendKey val="0"/>
          <c:showVal val="0"/>
          <c:showCatName val="0"/>
          <c:showSerName val="0"/>
          <c:showPercent val="0"/>
          <c:showBubbleSize val="0"/>
        </c:dLbls>
        <c:gapWidth val="219"/>
        <c:overlap val="-27"/>
        <c:axId val="510749288"/>
        <c:axId val="428318528"/>
      </c:barChart>
      <c:catAx>
        <c:axId val="510749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18528"/>
        <c:crosses val="autoZero"/>
        <c:auto val="1"/>
        <c:lblAlgn val="ctr"/>
        <c:lblOffset val="100"/>
        <c:noMultiLvlLbl val="0"/>
      </c:catAx>
      <c:valAx>
        <c:axId val="4283185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749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v>Start Year Capacity</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EDC-4EB2-BBDA-B441B8DA39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DC-4EB2-BBDA-B441B8DA39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EDC-4EB2-BBDA-B441B8DA39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EDC-4EB2-BBDA-B441B8DA39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EDC-4EB2-BBDA-B441B8DA39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EDC-4EB2-BBDA-B441B8DA39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EDC-4EB2-BBDA-B441B8DA39AF}"/>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'Game Assumptions'!$J$39:$J$45</c:f>
              <c:strCache>
                <c:ptCount val="7"/>
                <c:pt idx="0">
                  <c:v>coal</c:v>
                </c:pt>
                <c:pt idx="1">
                  <c:v>natural gas</c:v>
                </c:pt>
                <c:pt idx="2">
                  <c:v>nuclear</c:v>
                </c:pt>
                <c:pt idx="3">
                  <c:v>solar</c:v>
                </c:pt>
                <c:pt idx="4">
                  <c:v>wind</c:v>
                </c:pt>
                <c:pt idx="5">
                  <c:v>hydro</c:v>
                </c:pt>
                <c:pt idx="6">
                  <c:v>Utility EE</c:v>
                </c:pt>
              </c:strCache>
            </c:strRef>
          </c:cat>
          <c:val>
            <c:numRef>
              <c:f>'Game Assumptions'!$K$39:$K$45</c:f>
              <c:numCache>
                <c:formatCode>0</c:formatCode>
                <c:ptCount val="7"/>
                <c:pt idx="0">
                  <c:v>700</c:v>
                </c:pt>
                <c:pt idx="1">
                  <c:v>1000</c:v>
                </c:pt>
                <c:pt idx="2">
                  <c:v>600</c:v>
                </c:pt>
                <c:pt idx="3">
                  <c:v>50</c:v>
                </c:pt>
                <c:pt idx="4">
                  <c:v>50</c:v>
                </c:pt>
                <c:pt idx="5">
                  <c:v>50</c:v>
                </c:pt>
                <c:pt idx="6">
                  <c:v>10</c:v>
                </c:pt>
              </c:numCache>
            </c:numRef>
          </c:val>
          <c:extLst>
            <c:ext xmlns:c16="http://schemas.microsoft.com/office/drawing/2014/chart" uri="{C3380CC4-5D6E-409C-BE32-E72D297353CC}">
              <c16:uniqueId val="{0000000E-9EDC-4EB2-BBDA-B441B8DA39A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Solar</a:t>
            </a:r>
            <a:r>
              <a:rPr lang="en-US" baseline="0"/>
              <a:t> and Wind Capital Costs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'Initial Setup'!$B$47</c:f>
              <c:strCache>
                <c:ptCount val="1"/>
                <c:pt idx="0">
                  <c:v>solar pv</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Setup'!$B$48:$B$58</c:f>
              <c:numCache>
                <c:formatCode>0.000</c:formatCode>
                <c:ptCount val="11"/>
                <c:pt idx="0" formatCode="General">
                  <c:v>1.5625</c:v>
                </c:pt>
                <c:pt idx="1">
                  <c:v>1.40625</c:v>
                </c:pt>
                <c:pt idx="2">
                  <c:v>1.265625</c:v>
                </c:pt>
                <c:pt idx="3">
                  <c:v>1.1390625000000001</c:v>
                </c:pt>
                <c:pt idx="4">
                  <c:v>1.0251562500000002</c:v>
                </c:pt>
                <c:pt idx="5">
                  <c:v>0.92264062500000021</c:v>
                </c:pt>
                <c:pt idx="6">
                  <c:v>0.83037656250000025</c:v>
                </c:pt>
                <c:pt idx="7">
                  <c:v>0.74733890625000021</c:v>
                </c:pt>
                <c:pt idx="8">
                  <c:v>0.67260501562500019</c:v>
                </c:pt>
                <c:pt idx="9">
                  <c:v>0.60534451406250023</c:v>
                </c:pt>
                <c:pt idx="10">
                  <c:v>0.5448100626562502</c:v>
                </c:pt>
              </c:numCache>
            </c:numRef>
          </c:val>
          <c:smooth val="0"/>
          <c:extLst>
            <c:ext xmlns:c16="http://schemas.microsoft.com/office/drawing/2014/chart" uri="{C3380CC4-5D6E-409C-BE32-E72D297353CC}">
              <c16:uniqueId val="{00000000-FA96-45AA-85EA-BA89B9DF1617}"/>
            </c:ext>
          </c:extLst>
        </c:ser>
        <c:ser>
          <c:idx val="2"/>
          <c:order val="1"/>
          <c:tx>
            <c:strRef>
              <c:f>'Initial Setup'!$C$47</c:f>
              <c:strCache>
                <c:ptCount val="1"/>
                <c:pt idx="0">
                  <c:v>wind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'Initial Setup'!$A$48:$A$58</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'Initial Setup'!$C$48:$C$58</c:f>
              <c:numCache>
                <c:formatCode>0.000</c:formatCode>
                <c:ptCount val="11"/>
                <c:pt idx="0" formatCode="General">
                  <c:v>1.4750000000000001</c:v>
                </c:pt>
                <c:pt idx="1">
                  <c:v>1.43075</c:v>
                </c:pt>
                <c:pt idx="2">
                  <c:v>1.3878275</c:v>
                </c:pt>
                <c:pt idx="3">
                  <c:v>1.3461926749999999</c:v>
                </c:pt>
                <c:pt idx="4">
                  <c:v>1.3058068947499999</c:v>
                </c:pt>
                <c:pt idx="5">
                  <c:v>1.2666326879074998</c:v>
                </c:pt>
                <c:pt idx="6">
                  <c:v>1.2286337072702749</c:v>
                </c:pt>
                <c:pt idx="7">
                  <c:v>1.1917746960521667</c:v>
                </c:pt>
                <c:pt idx="8">
                  <c:v>1.1560214551706016</c:v>
                </c:pt>
                <c:pt idx="9">
                  <c:v>1.1213408115154835</c:v>
                </c:pt>
                <c:pt idx="10">
                  <c:v>1.0877005871700189</c:v>
                </c:pt>
              </c:numCache>
            </c:numRef>
          </c:val>
          <c:smooth val="0"/>
          <c:extLst>
            <c:ext xmlns:c16="http://schemas.microsoft.com/office/drawing/2014/chart" uri="{C3380CC4-5D6E-409C-BE32-E72D297353CC}">
              <c16:uniqueId val="{00000001-FA96-45AA-85EA-BA89B9DF1617}"/>
            </c:ext>
          </c:extLst>
        </c:ser>
        <c:dLbls>
          <c:showLegendKey val="0"/>
          <c:showVal val="0"/>
          <c:showCatName val="0"/>
          <c:showSerName val="0"/>
          <c:showPercent val="0"/>
          <c:showBubbleSize val="0"/>
        </c:dLbls>
        <c:marker val="1"/>
        <c:smooth val="0"/>
        <c:axId val="425570488"/>
        <c:axId val="425571272"/>
      </c:lineChart>
      <c:catAx>
        <c:axId val="425570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571272"/>
        <c:crosses val="autoZero"/>
        <c:auto val="1"/>
        <c:lblAlgn val="ctr"/>
        <c:lblOffset val="100"/>
        <c:noMultiLvlLbl val="0"/>
      </c:catAx>
      <c:valAx>
        <c:axId val="4255712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570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Growth of Customer-Sited DERs and EE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Distributed PV</c:v>
          </c:tx>
          <c:spPr>
            <a:ln w="28575" cap="rnd">
              <a:solidFill>
                <a:schemeClr val="accent1"/>
              </a:solidFill>
              <a:round/>
            </a:ln>
            <a:effectLst/>
          </c:spPr>
          <c:marker>
            <c:symbol val="none"/>
          </c:marker>
          <c:cat>
            <c:numRef>
              <c:f>'Resource Mix and Demand'!$B$1:$L$1</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Demand'!$B$32:$L$32</c:f>
              <c:numCache>
                <c:formatCode>#,##0</c:formatCode>
                <c:ptCount val="11"/>
                <c:pt idx="0">
                  <c:v>10</c:v>
                </c:pt>
                <c:pt idx="1">
                  <c:v>15</c:v>
                </c:pt>
                <c:pt idx="2">
                  <c:v>21</c:v>
                </c:pt>
                <c:pt idx="3">
                  <c:v>28</c:v>
                </c:pt>
                <c:pt idx="4">
                  <c:v>36</c:v>
                </c:pt>
                <c:pt idx="5">
                  <c:v>45</c:v>
                </c:pt>
                <c:pt idx="6">
                  <c:v>55</c:v>
                </c:pt>
                <c:pt idx="7">
                  <c:v>66</c:v>
                </c:pt>
                <c:pt idx="8">
                  <c:v>78</c:v>
                </c:pt>
                <c:pt idx="9">
                  <c:v>91</c:v>
                </c:pt>
                <c:pt idx="10">
                  <c:v>105</c:v>
                </c:pt>
              </c:numCache>
            </c:numRef>
          </c:val>
          <c:smooth val="0"/>
          <c:extLst>
            <c:ext xmlns:c16="http://schemas.microsoft.com/office/drawing/2014/chart" uri="{C3380CC4-5D6E-409C-BE32-E72D297353CC}">
              <c16:uniqueId val="{00000000-BE64-4F52-85CD-46DEC60573C2}"/>
            </c:ext>
          </c:extLst>
        </c:ser>
        <c:ser>
          <c:idx val="1"/>
          <c:order val="1"/>
          <c:tx>
            <c:v>Customer Energy Efficiency</c:v>
          </c:tx>
          <c:spPr>
            <a:ln w="28575" cap="rnd">
              <a:solidFill>
                <a:schemeClr val="accent2"/>
              </a:solidFill>
              <a:round/>
            </a:ln>
            <a:effectLst/>
          </c:spPr>
          <c:marker>
            <c:symbol val="none"/>
          </c:marker>
          <c:val>
            <c:numRef>
              <c:f>'Resource Mix and Demand'!$B$31:$L$31</c:f>
              <c:numCache>
                <c:formatCode>#,##0</c:formatCode>
                <c:ptCount val="11"/>
                <c:pt idx="0">
                  <c:v>10</c:v>
                </c:pt>
                <c:pt idx="1">
                  <c:v>16</c:v>
                </c:pt>
                <c:pt idx="2">
                  <c:v>23</c:v>
                </c:pt>
                <c:pt idx="3">
                  <c:v>31</c:v>
                </c:pt>
                <c:pt idx="4">
                  <c:v>40</c:v>
                </c:pt>
                <c:pt idx="5">
                  <c:v>50</c:v>
                </c:pt>
                <c:pt idx="6">
                  <c:v>61</c:v>
                </c:pt>
                <c:pt idx="7">
                  <c:v>73</c:v>
                </c:pt>
                <c:pt idx="8">
                  <c:v>86</c:v>
                </c:pt>
                <c:pt idx="9">
                  <c:v>100</c:v>
                </c:pt>
                <c:pt idx="10">
                  <c:v>115</c:v>
                </c:pt>
              </c:numCache>
            </c:numRef>
          </c:val>
          <c:smooth val="0"/>
          <c:extLst>
            <c:ext xmlns:c16="http://schemas.microsoft.com/office/drawing/2014/chart" uri="{C3380CC4-5D6E-409C-BE32-E72D297353CC}">
              <c16:uniqueId val="{00000001-BE64-4F52-85CD-46DEC60573C2}"/>
            </c:ext>
          </c:extLst>
        </c:ser>
        <c:dLbls>
          <c:showLegendKey val="0"/>
          <c:showVal val="0"/>
          <c:showCatName val="0"/>
          <c:showSerName val="0"/>
          <c:showPercent val="0"/>
          <c:showBubbleSize val="0"/>
        </c:dLbls>
        <c:smooth val="0"/>
        <c:axId val="200259896"/>
        <c:axId val="200260288"/>
      </c:lineChart>
      <c:catAx>
        <c:axId val="200259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60288"/>
        <c:crosses val="autoZero"/>
        <c:auto val="1"/>
        <c:lblAlgn val="ctr"/>
        <c:lblOffset val="100"/>
        <c:noMultiLvlLbl val="0"/>
      </c:catAx>
      <c:valAx>
        <c:axId val="200260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MW Capacity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259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74.262449500863767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8EF6-4EEA-8322-C9B0FF5BC9FE}"/>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74.262449500863767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8EF6-4EEA-8322-C9B0FF5BC9FE}"/>
            </c:ext>
          </c:extLst>
        </c:ser>
        <c:dLbls>
          <c:showLegendKey val="0"/>
          <c:showVal val="0"/>
          <c:showCatName val="0"/>
          <c:showSerName val="0"/>
          <c:showPercent val="0"/>
          <c:showBubbleSize val="0"/>
        </c:dLbls>
        <c:marker val="1"/>
        <c:smooth val="0"/>
        <c:axId val="511989592"/>
        <c:axId val="511995864"/>
      </c:lineChart>
      <c:catAx>
        <c:axId val="511989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95864"/>
        <c:crosses val="autoZero"/>
        <c:auto val="1"/>
        <c:lblAlgn val="ctr"/>
        <c:lblOffset val="100"/>
        <c:noMultiLvlLbl val="0"/>
      </c:catAx>
      <c:valAx>
        <c:axId val="51199586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89592"/>
        <c:crosses val="autoZero"/>
        <c:crossBetween val="between"/>
        <c:majorUnit val="2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699.94550408719351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D2B-4ED1-952A-9EC8785DF64B}"/>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699.94550408719351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D2B-4ED1-952A-9EC8785DF64B}"/>
            </c:ext>
          </c:extLst>
        </c:ser>
        <c:dLbls>
          <c:showLegendKey val="0"/>
          <c:showVal val="0"/>
          <c:showCatName val="0"/>
          <c:showSerName val="0"/>
          <c:showPercent val="0"/>
          <c:showBubbleSize val="0"/>
        </c:dLbls>
        <c:marker val="1"/>
        <c:smooth val="0"/>
        <c:axId val="511990768"/>
        <c:axId val="511988416"/>
      </c:lineChart>
      <c:catAx>
        <c:axId val="511990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88416"/>
        <c:crosses val="autoZero"/>
        <c:auto val="1"/>
        <c:lblAlgn val="ctr"/>
        <c:lblOffset val="100"/>
        <c:noMultiLvlLbl val="0"/>
      </c:catAx>
      <c:valAx>
        <c:axId val="5119884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9076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c:formatCode>
                <c:ptCount val="11"/>
                <c:pt idx="0">
                  <c:v>63649935.182007015</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B687-4469-8210-9436CB69E570}"/>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c:formatCode>
                <c:ptCount val="11"/>
                <c:pt idx="0">
                  <c:v>63649935.182007015</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B687-4469-8210-9436CB69E570}"/>
            </c:ext>
          </c:extLst>
        </c:ser>
        <c:dLbls>
          <c:showLegendKey val="0"/>
          <c:showVal val="0"/>
          <c:showCatName val="0"/>
          <c:showSerName val="0"/>
          <c:showPercent val="0"/>
          <c:showBubbleSize val="0"/>
        </c:dLbls>
        <c:marker val="1"/>
        <c:smooth val="0"/>
        <c:axId val="511991944"/>
        <c:axId val="511989984"/>
      </c:lineChart>
      <c:catAx>
        <c:axId val="511991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89984"/>
        <c:crosses val="autoZero"/>
        <c:auto val="1"/>
        <c:lblAlgn val="ctr"/>
        <c:lblOffset val="100"/>
        <c:noMultiLvlLbl val="0"/>
      </c:catAx>
      <c:valAx>
        <c:axId val="5119899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91944"/>
        <c:crosses val="autoZero"/>
        <c:crossBetween val="between"/>
        <c:majorUnit val="20000000"/>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352A-4F23-AFA3-F80113544C4D}"/>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352A-4F23-AFA3-F80113544C4D}"/>
            </c:ext>
          </c:extLst>
        </c:ser>
        <c:dLbls>
          <c:showLegendKey val="0"/>
          <c:showVal val="0"/>
          <c:showCatName val="0"/>
          <c:showSerName val="0"/>
          <c:showPercent val="0"/>
          <c:showBubbleSize val="0"/>
        </c:dLbls>
        <c:marker val="1"/>
        <c:smooth val="0"/>
        <c:axId val="511995080"/>
        <c:axId val="511988808"/>
      </c:lineChart>
      <c:catAx>
        <c:axId val="511995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88808"/>
        <c:crosses val="autoZero"/>
        <c:auto val="1"/>
        <c:lblAlgn val="ctr"/>
        <c:lblOffset val="100"/>
        <c:noMultiLvlLbl val="0"/>
      </c:catAx>
      <c:valAx>
        <c:axId val="51198880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51199508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sz="1100"/>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FCE-476F-A622-3B90F167D88F}"/>
              </c:ext>
            </c:extLst>
          </c:dPt>
          <c:val>
            <c:numRef>
              <c:f>'Resource Mix and Demand'!#REF!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'Resource Mix and Demand'!#REF!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'Resource Mix and Demand'!#REF!</c15:sqref>
                        </c15:formulaRef>
                      </c:ext>
                    </c:extLst>
                  </c:multiLvlStrRef>
                </c15:cat>
              </c15:filteredCategoryTitle>
            </c:ext>
            <c:ext xmlns:c16="http://schemas.microsoft.com/office/drawing/2014/chart" uri="{C3380CC4-5D6E-409C-BE32-E72D297353CC}">
              <c16:uniqueId val="{00000002-8FCE-476F-A622-3B90F167D88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Forecasted Load vs.</a:t>
            </a:r>
            <a:r>
              <a:rPr lang="en-US" baseline="0"/>
              <a:t> Actual Load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'Resource Mix and Demand'!$A$57</c:f>
              <c:strCache>
                <c:ptCount val="1"/>
                <c:pt idx="0">
                  <c:v>Forecast Demand (MWh)</c:v>
                </c:pt>
              </c:strCache>
            </c:strRef>
          </c:tx>
          <c:spPr>
            <a:ln w="28575" cap="rnd">
              <a:solidFill>
                <a:schemeClr val="accent1"/>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Demand'!$B$57:$L$57</c:f>
              <c:numCache>
                <c:formatCode>#,##0</c:formatCode>
                <c:ptCount val="11"/>
                <c:pt idx="0">
                  <c:v>8000000</c:v>
                </c:pt>
                <c:pt idx="1">
                  <c:v>7800000</c:v>
                </c:pt>
                <c:pt idx="2">
                  <c:v>7700000</c:v>
                </c:pt>
                <c:pt idx="3">
                  <c:v>7500000</c:v>
                </c:pt>
                <c:pt idx="4">
                  <c:v>7300000</c:v>
                </c:pt>
                <c:pt idx="5">
                  <c:v>7400000</c:v>
                </c:pt>
                <c:pt idx="6">
                  <c:v>7200000</c:v>
                </c:pt>
                <c:pt idx="7">
                  <c:v>7000000</c:v>
                </c:pt>
                <c:pt idx="8">
                  <c:v>7200000</c:v>
                </c:pt>
                <c:pt idx="9">
                  <c:v>7100000</c:v>
                </c:pt>
                <c:pt idx="10">
                  <c:v>7000000</c:v>
                </c:pt>
              </c:numCache>
            </c:numRef>
          </c:val>
          <c:smooth val="0"/>
          <c:extLst>
            <c:ext xmlns:c16="http://schemas.microsoft.com/office/drawing/2014/chart" uri="{C3380CC4-5D6E-409C-BE32-E72D297353CC}">
              <c16:uniqueId val="{00000000-917B-4B00-9460-4A67C52AC1D8}"/>
            </c:ext>
          </c:extLst>
        </c:ser>
        <c:ser>
          <c:idx val="1"/>
          <c:order val="1"/>
          <c:spPr>
            <a:ln w="28575" cap="rnd">
              <a:solidFill>
                <a:schemeClr val="accent2"/>
              </a:solidFill>
              <a:round/>
            </a:ln>
            <a:effectLst/>
          </c:spPr>
          <c:marker>
            <c:symbol val="none"/>
          </c:marker>
          <c:cat>
            <c:numRef>
              <c:f>'Resource Mix and Demand'!$B$45:$L$45</c:f>
              <c:numCache>
                <c:formatCode>General</c:formatCode>
                <c:ptCount val="11"/>
                <c:pt idx="0">
                  <c:v>0</c:v>
                </c:pt>
                <c:pt idx="1">
                  <c:v>1</c:v>
                </c:pt>
                <c:pt idx="2">
                  <c:v>2</c:v>
                </c:pt>
                <c:pt idx="3">
                  <c:v>3</c:v>
                </c:pt>
                <c:pt idx="4">
                  <c:v>4</c:v>
                </c:pt>
                <c:pt idx="5">
                  <c:v>5</c:v>
                </c:pt>
                <c:pt idx="6">
                  <c:v>6</c:v>
                </c:pt>
                <c:pt idx="7">
                  <c:v>7</c:v>
                </c:pt>
                <c:pt idx="8">
                  <c:v>8</c:v>
                </c:pt>
                <c:pt idx="9">
                  <c:v>9</c:v>
                </c:pt>
                <c:pt idx="10">
                  <c:v>10</c:v>
                </c:pt>
              </c:numCache>
            </c:numRef>
          </c:cat>
          <c:val>
            <c:numRef>
              <c:f>'Resource Mix and Demand'!$B$59:$L$59</c:f>
              <c:numCache>
                <c:formatCode>#,##0</c:formatCode>
                <c:ptCount val="11"/>
                <c:pt idx="0">
                  <c:v>8000000</c:v>
                </c:pt>
                <c:pt idx="1">
                  <c:v>7747582</c:v>
                </c:pt>
                <c:pt idx="2">
                  <c:v>7730469</c:v>
                </c:pt>
                <c:pt idx="3">
                  <c:v>7475115</c:v>
                </c:pt>
                <c:pt idx="4">
                  <c:v>7167039</c:v>
                </c:pt>
                <c:pt idx="5">
                  <c:v>7402949</c:v>
                </c:pt>
                <c:pt idx="6">
                  <c:v>7275788</c:v>
                </c:pt>
                <c:pt idx="7">
                  <c:v>6956440</c:v>
                </c:pt>
                <c:pt idx="8">
                  <c:v>7239683</c:v>
                </c:pt>
                <c:pt idx="9">
                  <c:v>6971947</c:v>
                </c:pt>
                <c:pt idx="10">
                  <c:v>7086529</c:v>
                </c:pt>
              </c:numCache>
            </c:numRef>
          </c:val>
          <c:smooth val="0"/>
          <c:extLst>
            <c:ext xmlns:c16="http://schemas.microsoft.com/office/drawing/2014/chart" uri="{C3380CC4-5D6E-409C-BE32-E72D297353CC}">
              <c16:uniqueId val="{00000001-917B-4B00-9460-4A67C52AC1D8}"/>
            </c:ext>
          </c:extLst>
        </c:ser>
        <c:dLbls>
          <c:showLegendKey val="0"/>
          <c:showVal val="0"/>
          <c:showCatName val="0"/>
          <c:showSerName val="0"/>
          <c:showPercent val="0"/>
          <c:showBubbleSize val="0"/>
        </c:dLbls>
        <c:smooth val="0"/>
        <c:axId val="511990376"/>
        <c:axId val="511991552"/>
      </c:lineChart>
      <c:catAx>
        <c:axId val="511990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91552"/>
        <c:crosses val="autoZero"/>
        <c:auto val="1"/>
        <c:lblAlgn val="ctr"/>
        <c:lblOffset val="100"/>
        <c:noMultiLvlLbl val="0"/>
      </c:catAx>
      <c:valAx>
        <c:axId val="51199155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90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Supply Curve</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Dispatch!$B$137:$B$150</c:f>
              <c:numCache>
                <c:formatCode>_(* #,##0_);_(* \(#,##0\);_(* "-"??_);_(@_)</c:formatCode>
                <c:ptCount val="14"/>
                <c:pt idx="0" formatCode="General">
                  <c:v>0</c:v>
                </c:pt>
                <c:pt idx="1">
                  <c:v>87600</c:v>
                </c:pt>
                <c:pt idx="2">
                  <c:v>87600</c:v>
                </c:pt>
                <c:pt idx="3">
                  <c:v>197100</c:v>
                </c:pt>
                <c:pt idx="4">
                  <c:v>197100</c:v>
                </c:pt>
                <c:pt idx="5">
                  <c:v>328500</c:v>
                </c:pt>
                <c:pt idx="6">
                  <c:v>328500</c:v>
                </c:pt>
                <c:pt idx="7">
                  <c:v>591300</c:v>
                </c:pt>
                <c:pt idx="8">
                  <c:v>591300</c:v>
                </c:pt>
                <c:pt idx="9">
                  <c:v>5321700</c:v>
                </c:pt>
                <c:pt idx="10">
                  <c:v>5321700</c:v>
                </c:pt>
                <c:pt idx="11">
                  <c:v>9000900</c:v>
                </c:pt>
                <c:pt idx="12">
                  <c:v>9000900</c:v>
                </c:pt>
                <c:pt idx="13">
                  <c:v>12504900</c:v>
                </c:pt>
              </c:numCache>
            </c:numRef>
          </c:xVal>
          <c:yVal>
            <c:numRef>
              <c:f>Dispatch!$C$137:$C$150</c:f>
              <c:numCache>
                <c:formatCode>_("$"* #,##0.00_);_("$"* \(#,##0.00\);_("$"* "-"??_);_(@_)</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0-C124-40D9-BC1A-FFCAF6313E92}"/>
            </c:ext>
          </c:extLst>
        </c:ser>
        <c:ser>
          <c:idx val="1"/>
          <c:order val="1"/>
          <c:tx>
            <c:v>Demand Curve</c:v>
          </c:tx>
          <c:spPr>
            <a:ln w="19050" cap="rnd">
              <a:solidFill>
                <a:schemeClr val="accent2"/>
              </a:solidFill>
              <a:round/>
            </a:ln>
            <a:effectLst/>
          </c:spPr>
          <c:marker>
            <c:symbol val="circle"/>
            <c:size val="5"/>
            <c:spPr>
              <a:noFill/>
              <a:ln w="9525">
                <a:noFill/>
              </a:ln>
              <a:effectLst/>
            </c:spPr>
          </c:marker>
          <c:xVal>
            <c:numRef>
              <c:f>Dispatch!$D$137:$D$150</c:f>
              <c:numCache>
                <c:formatCode>General</c:formatCode>
                <c:ptCount val="14"/>
                <c:pt idx="0">
                  <c:v>7890500</c:v>
                </c:pt>
                <c:pt idx="1">
                  <c:v>7890500</c:v>
                </c:pt>
                <c:pt idx="2">
                  <c:v>7890500</c:v>
                </c:pt>
                <c:pt idx="3">
                  <c:v>7890500</c:v>
                </c:pt>
                <c:pt idx="4">
                  <c:v>7890500</c:v>
                </c:pt>
                <c:pt idx="5">
                  <c:v>7890500</c:v>
                </c:pt>
                <c:pt idx="6">
                  <c:v>7890500</c:v>
                </c:pt>
                <c:pt idx="7">
                  <c:v>7890500</c:v>
                </c:pt>
                <c:pt idx="8">
                  <c:v>7890500</c:v>
                </c:pt>
                <c:pt idx="9">
                  <c:v>7890500</c:v>
                </c:pt>
                <c:pt idx="10">
                  <c:v>7890500</c:v>
                </c:pt>
                <c:pt idx="11">
                  <c:v>7890500</c:v>
                </c:pt>
                <c:pt idx="12">
                  <c:v>7890500</c:v>
                </c:pt>
                <c:pt idx="13">
                  <c:v>7890500</c:v>
                </c:pt>
              </c:numCache>
            </c:numRef>
          </c:xVal>
          <c:yVal>
            <c:numRef>
              <c:f>Dispatch!$E$137:$E$150</c:f>
              <c:numCache>
                <c:formatCode>General</c:formatCode>
                <c:ptCount val="14"/>
                <c:pt idx="0">
                  <c:v>0</c:v>
                </c:pt>
                <c:pt idx="1">
                  <c:v>0</c:v>
                </c:pt>
                <c:pt idx="2">
                  <c:v>0.01</c:v>
                </c:pt>
                <c:pt idx="3">
                  <c:v>0.01</c:v>
                </c:pt>
                <c:pt idx="4">
                  <c:v>0.02</c:v>
                </c:pt>
                <c:pt idx="5">
                  <c:v>0.02</c:v>
                </c:pt>
                <c:pt idx="6">
                  <c:v>7</c:v>
                </c:pt>
                <c:pt idx="7">
                  <c:v>7</c:v>
                </c:pt>
                <c:pt idx="8">
                  <c:v>11.022499999999999</c:v>
                </c:pt>
                <c:pt idx="9">
                  <c:v>11.022499999999999</c:v>
                </c:pt>
                <c:pt idx="10">
                  <c:v>28.747499999999999</c:v>
                </c:pt>
                <c:pt idx="11">
                  <c:v>28.747499999999999</c:v>
                </c:pt>
                <c:pt idx="12">
                  <c:v>36.550000000000004</c:v>
                </c:pt>
                <c:pt idx="13">
                  <c:v>36.550000000000004</c:v>
                </c:pt>
              </c:numCache>
            </c:numRef>
          </c:yVal>
          <c:smooth val="0"/>
          <c:extLst>
            <c:ext xmlns:c16="http://schemas.microsoft.com/office/drawing/2014/chart" uri="{C3380CC4-5D6E-409C-BE32-E72D297353CC}">
              <c16:uniqueId val="{00000001-C124-40D9-BC1A-FFCAF6313E92}"/>
            </c:ext>
          </c:extLst>
        </c:ser>
        <c:dLbls>
          <c:showLegendKey val="0"/>
          <c:showVal val="0"/>
          <c:showCatName val="0"/>
          <c:showSerName val="0"/>
          <c:showPercent val="0"/>
          <c:showBubbleSize val="0"/>
        </c:dLbls>
        <c:axId val="511993512"/>
        <c:axId val="511992728"/>
      </c:scatterChart>
      <c:valAx>
        <c:axId val="5119935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92728"/>
        <c:crosses val="autoZero"/>
        <c:crossBetween val="midCat"/>
      </c:valAx>
      <c:valAx>
        <c:axId val="511992728"/>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9935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552-45DA-9C47-EE5B1979306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552-45DA-9C47-EE5B1979306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552-45DA-9C47-EE5B1979306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552-45DA-9C47-EE5B1979306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552-45DA-9C47-EE5B1979306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552-45DA-9C47-EE5B1979306A}"/>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D552-45DA-9C47-EE5B1979306A}"/>
              </c:ext>
            </c:extLst>
          </c:dPt>
          <c:cat>
            <c:strRef>
              <c:f>Dispatch!$A$153:$A$159</c:f>
              <c:strCache>
                <c:ptCount val="7"/>
                <c:pt idx="0">
                  <c:v>coal</c:v>
                </c:pt>
                <c:pt idx="1">
                  <c:v>natural gas</c:v>
                </c:pt>
                <c:pt idx="2">
                  <c:v>nuclear</c:v>
                </c:pt>
                <c:pt idx="3">
                  <c:v>solar</c:v>
                </c:pt>
                <c:pt idx="4">
                  <c:v>wind</c:v>
                </c:pt>
                <c:pt idx="5">
                  <c:v>hydro</c:v>
                </c:pt>
                <c:pt idx="6">
                  <c:v>utility EE</c:v>
                </c:pt>
              </c:strCache>
            </c:strRef>
          </c:cat>
          <c:val>
            <c:numRef>
              <c:f>Dispatch!$B$153:$B$159</c:f>
              <c:numCache>
                <c:formatCode>_(* #,##0_);_(* \(#,##0\);_(* "-"??_);_(@_)</c:formatCode>
                <c:ptCount val="7"/>
                <c:pt idx="0">
                  <c:v>2568800</c:v>
                </c:pt>
                <c:pt idx="1">
                  <c:v>0</c:v>
                </c:pt>
                <c:pt idx="2">
                  <c:v>4730400</c:v>
                </c:pt>
                <c:pt idx="3">
                  <c:v>109500</c:v>
                </c:pt>
                <c:pt idx="4">
                  <c:v>131400</c:v>
                </c:pt>
                <c:pt idx="5">
                  <c:v>262800</c:v>
                </c:pt>
                <c:pt idx="6">
                  <c:v>87600</c:v>
                </c:pt>
              </c:numCache>
            </c:numRef>
          </c:val>
          <c:extLst>
            <c:ext xmlns:c16="http://schemas.microsoft.com/office/drawing/2014/chart" uri="{C3380CC4-5D6E-409C-BE32-E72D297353CC}">
              <c16:uniqueId val="{0000000E-D552-45DA-9C47-EE5B1979306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Graphs!$C$3:$C$13</c:f>
              <c:numCache>
                <c:formatCode>_("$"* #,##0.00_);_("$"* \(#,##0.00\);_("$"* "-"??_);_(@_)</c:formatCode>
                <c:ptCount val="11"/>
                <c:pt idx="0">
                  <c:v>74.262449500863767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1135-45EC-BC64-91837F4590F1}"/>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Graphs!$A$3:$A$13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Graphs!$D$3:$D$13</c:f>
              <c:numCache>
                <c:formatCode>_("$"* #,##0.00_);_("$"* \(#,##0.00\);_("$"* "-"??_);_(@_)</c:formatCode>
                <c:ptCount val="11"/>
                <c:pt idx="0">
                  <c:v>74.262449500863767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1135-45EC-BC64-91837F4590F1}"/>
            </c:ext>
          </c:extLst>
        </c:ser>
        <c:dLbls>
          <c:showLegendKey val="0"/>
          <c:showVal val="0"/>
          <c:showCatName val="0"/>
          <c:showSerName val="0"/>
          <c:showPercent val="0"/>
          <c:showBubbleSize val="0"/>
        </c:dLbls>
        <c:marker val="1"/>
        <c:smooth val="0"/>
        <c:axId val="428322056"/>
        <c:axId val="428316176"/>
      </c:lineChart>
      <c:catAx>
        <c:axId val="428322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16176"/>
        <c:crosses val="autoZero"/>
        <c:auto val="1"/>
        <c:lblAlgn val="ctr"/>
        <c:lblOffset val="100"/>
        <c:noMultiLvlLbl val="0"/>
      </c:catAx>
      <c:valAx>
        <c:axId val="428316176"/>
        <c:scaling>
          <c:orientation val="minMax"/>
          <c:max val="100"/>
          <c:min val="0"/>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8322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Graphs!$C$18:$C$28</c:f>
              <c:numCache>
                <c:formatCode>0.00</c:formatCode>
                <c:ptCount val="11"/>
                <c:pt idx="0">
                  <c:v>699.94550408719351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55C6-4B18-B24A-C961D11039D0}"/>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Graphs!$A$18:$A$28</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Graphs!$D$18:$D$28</c:f>
              <c:numCache>
                <c:formatCode>0.00</c:formatCode>
                <c:ptCount val="11"/>
                <c:pt idx="0">
                  <c:v>699.94550408719351</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55C6-4B18-B24A-C961D11039D0}"/>
            </c:ext>
          </c:extLst>
        </c:ser>
        <c:dLbls>
          <c:showLegendKey val="0"/>
          <c:showVal val="0"/>
          <c:showCatName val="0"/>
          <c:showSerName val="0"/>
          <c:showPercent val="0"/>
          <c:showBubbleSize val="0"/>
        </c:dLbls>
        <c:marker val="1"/>
        <c:smooth val="0"/>
        <c:axId val="425568920"/>
        <c:axId val="524669984"/>
      </c:lineChart>
      <c:catAx>
        <c:axId val="425568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9984"/>
        <c:crosses val="autoZero"/>
        <c:auto val="1"/>
        <c:lblAlgn val="ctr"/>
        <c:lblOffset val="100"/>
        <c:noMultiLvlLbl val="0"/>
      </c:catAx>
      <c:valAx>
        <c:axId val="524669984"/>
        <c:scaling>
          <c:orientation val="minMax"/>
          <c:max val="1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568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Graphs!$C$34:$C$44</c:f>
              <c:numCache>
                <c:formatCode>"$"#,##0</c:formatCode>
                <c:ptCount val="11"/>
                <c:pt idx="0">
                  <c:v>63649935.182007015</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EE48-4C32-A8D1-EE65149529AC}"/>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Graphs!$A$34:$A$44</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Graphs!$D$34:$D$44</c:f>
              <c:numCache>
                <c:formatCode>"$"#,##0</c:formatCode>
                <c:ptCount val="11"/>
                <c:pt idx="0">
                  <c:v>63649935.182007015</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EE48-4C32-A8D1-EE65149529AC}"/>
            </c:ext>
          </c:extLst>
        </c:ser>
        <c:dLbls>
          <c:showLegendKey val="0"/>
          <c:showVal val="0"/>
          <c:showCatName val="0"/>
          <c:showSerName val="0"/>
          <c:showPercent val="0"/>
          <c:showBubbleSize val="0"/>
        </c:dLbls>
        <c:marker val="1"/>
        <c:smooth val="0"/>
        <c:axId val="524662536"/>
        <c:axId val="524662928"/>
      </c:lineChart>
      <c:catAx>
        <c:axId val="52466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2928"/>
        <c:crosses val="autoZero"/>
        <c:auto val="1"/>
        <c:lblAlgn val="ctr"/>
        <c:lblOffset val="100"/>
        <c:noMultiLvlLbl val="0"/>
      </c:catAx>
      <c:valAx>
        <c:axId val="524662928"/>
        <c:scaling>
          <c:orientation val="minMax"/>
          <c:max val="100000000"/>
          <c:min val="0"/>
        </c:scaling>
        <c:delete val="0"/>
        <c:axPos val="l"/>
        <c:majorGridlines>
          <c:spPr>
            <a:ln w="9525" cap="flat" cmpd="sng" algn="ctr">
              <a:solidFill>
                <a:schemeClr val="tx1">
                  <a:lumMod val="15000"/>
                  <a:lumOff val="85000"/>
                </a:schemeClr>
              </a:solidFill>
              <a:round/>
            </a:ln>
            <a:effectLst/>
          </c:spPr>
        </c:majorGridlines>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2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Graphs!$C$51:$C$61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E40C-4608-BDE1-E634C3D36056}"/>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Graphs!$A$51:$A$61</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Graphs!$D$51:$D$61</c:f>
              <c:numCache>
                <c:formatCode>0</c:formatCode>
                <c:ptCount val="11"/>
                <c:pt idx="0">
                  <c:v>287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E40C-4608-BDE1-E634C3D36056}"/>
            </c:ext>
          </c:extLst>
        </c:ser>
        <c:dLbls>
          <c:showLegendKey val="0"/>
          <c:showVal val="0"/>
          <c:showCatName val="0"/>
          <c:showSerName val="0"/>
          <c:showPercent val="0"/>
          <c:showBubbleSize val="0"/>
        </c:dLbls>
        <c:marker val="1"/>
        <c:smooth val="0"/>
        <c:axId val="524666456"/>
        <c:axId val="524664496"/>
      </c:lineChart>
      <c:catAx>
        <c:axId val="524666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4496"/>
        <c:crosses val="autoZero"/>
        <c:auto val="1"/>
        <c:lblAlgn val="ctr"/>
        <c:lblOffset val="100"/>
        <c:noMultiLvlLbl val="0"/>
      </c:catAx>
      <c:valAx>
        <c:axId val="524664496"/>
        <c:scaling>
          <c:orientation val="minMax"/>
          <c:max val="500"/>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64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Generation Mix</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Graphs!$B$2</c:f>
              <c:strCache>
                <c:ptCount val="1"/>
                <c:pt idx="0">
                  <c:v>Round Number</c:v>
                </c:pt>
              </c:strCache>
            </c:strRef>
          </c:tx>
          <c:dPt>
            <c:idx val="0"/>
            <c:bubble3D val="0"/>
            <c:spPr>
              <a:solidFill>
                <a:schemeClr val="accent1"/>
              </a:solidFill>
              <a:ln>
                <a:noFill/>
              </a:ln>
              <a:effectLst/>
            </c:spPr>
            <c:extLst>
              <c:ext xmlns:c16="http://schemas.microsoft.com/office/drawing/2014/chart" uri="{C3380CC4-5D6E-409C-BE32-E72D297353CC}">
                <c16:uniqueId val="{00000001-2EB2-423E-8466-F72E2D97CA8F}"/>
              </c:ext>
            </c:extLst>
          </c:dPt>
          <c:dPt>
            <c:idx val="1"/>
            <c:bubble3D val="0"/>
            <c:spPr>
              <a:solidFill>
                <a:schemeClr val="accent2"/>
              </a:solidFill>
              <a:ln>
                <a:noFill/>
              </a:ln>
              <a:effectLst/>
            </c:spPr>
            <c:extLst>
              <c:ext xmlns:c16="http://schemas.microsoft.com/office/drawing/2014/chart" uri="{C3380CC4-5D6E-409C-BE32-E72D297353CC}">
                <c16:uniqueId val="{00000003-2EB2-423E-8466-F72E2D97CA8F}"/>
              </c:ext>
            </c:extLst>
          </c:dPt>
          <c:dPt>
            <c:idx val="2"/>
            <c:bubble3D val="0"/>
            <c:spPr>
              <a:solidFill>
                <a:schemeClr val="accent3"/>
              </a:solidFill>
              <a:ln>
                <a:noFill/>
              </a:ln>
              <a:effectLst/>
            </c:spPr>
            <c:extLst>
              <c:ext xmlns:c16="http://schemas.microsoft.com/office/drawing/2014/chart" uri="{C3380CC4-5D6E-409C-BE32-E72D297353CC}">
                <c16:uniqueId val="{00000005-2EB2-423E-8466-F72E2D97CA8F}"/>
              </c:ext>
            </c:extLst>
          </c:dPt>
          <c:dPt>
            <c:idx val="3"/>
            <c:bubble3D val="0"/>
            <c:spPr>
              <a:solidFill>
                <a:schemeClr val="accent4"/>
              </a:solidFill>
              <a:ln>
                <a:noFill/>
              </a:ln>
              <a:effectLst/>
            </c:spPr>
            <c:extLst>
              <c:ext xmlns:c16="http://schemas.microsoft.com/office/drawing/2014/chart" uri="{C3380CC4-5D6E-409C-BE32-E72D297353CC}">
                <c16:uniqueId val="{00000007-2EB2-423E-8466-F72E2D97CA8F}"/>
              </c:ext>
            </c:extLst>
          </c:dPt>
          <c:dPt>
            <c:idx val="4"/>
            <c:bubble3D val="0"/>
            <c:spPr>
              <a:solidFill>
                <a:schemeClr val="accent5"/>
              </a:solidFill>
              <a:ln>
                <a:noFill/>
              </a:ln>
              <a:effectLst/>
            </c:spPr>
            <c:extLst>
              <c:ext xmlns:c16="http://schemas.microsoft.com/office/drawing/2014/chart" uri="{C3380CC4-5D6E-409C-BE32-E72D297353CC}">
                <c16:uniqueId val="{00000009-2EB2-423E-8466-F72E2D97CA8F}"/>
              </c:ext>
            </c:extLst>
          </c:dPt>
          <c:dPt>
            <c:idx val="5"/>
            <c:bubble3D val="0"/>
            <c:spPr>
              <a:solidFill>
                <a:schemeClr val="accent6"/>
              </a:solidFill>
              <a:ln>
                <a:noFill/>
              </a:ln>
              <a:effectLst/>
            </c:spPr>
            <c:extLst>
              <c:ext xmlns:c16="http://schemas.microsoft.com/office/drawing/2014/chart" uri="{C3380CC4-5D6E-409C-BE32-E72D297353CC}">
                <c16:uniqueId val="{0000000B-2EB2-423E-8466-F72E2D97CA8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Graphs!$A$66:$A$71</c:f>
              <c:strCache>
                <c:ptCount val="6"/>
                <c:pt idx="0">
                  <c:v>coal</c:v>
                </c:pt>
                <c:pt idx="1">
                  <c:v>natural gas</c:v>
                </c:pt>
                <c:pt idx="2">
                  <c:v>nuclear</c:v>
                </c:pt>
                <c:pt idx="3">
                  <c:v>solar</c:v>
                </c:pt>
                <c:pt idx="4">
                  <c:v>wind</c:v>
                </c:pt>
                <c:pt idx="5">
                  <c:v>hydro</c:v>
                </c:pt>
              </c:strCache>
            </c:strRef>
          </c:cat>
          <c:val>
            <c:numRef>
              <c:f>Graphs!$B$66:$B$71</c:f>
              <c:numCache>
                <c:formatCode>General</c:formatCode>
                <c:ptCount val="6"/>
                <c:pt idx="0">
                  <c:v>2568800</c:v>
                </c:pt>
                <c:pt idx="1">
                  <c:v>0</c:v>
                </c:pt>
                <c:pt idx="2">
                  <c:v>4730400</c:v>
                </c:pt>
                <c:pt idx="3">
                  <c:v>109500</c:v>
                </c:pt>
                <c:pt idx="4">
                  <c:v>131400</c:v>
                </c:pt>
                <c:pt idx="5">
                  <c:v>262800</c:v>
                </c:pt>
              </c:numCache>
            </c:numRef>
          </c:val>
          <c:extLst>
            <c:ext xmlns:c16="http://schemas.microsoft.com/office/drawing/2014/chart" uri="{C3380CC4-5D6E-409C-BE32-E72D297353CC}">
              <c16:uniqueId val="{0000000C-2EB2-423E-8466-F72E2D97CA8F}"/>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Graphs!$C$2</c:f>
              <c:strCache>
                <c:ptCount val="1"/>
                <c:pt idx="0">
                  <c:v>Past Rounds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Graphs!$C$83:$C$93</c:f>
              <c:numCache>
                <c:formatCode>0%</c:formatCode>
                <c:ptCount val="11"/>
                <c:pt idx="0">
                  <c:v>0.16070000000000007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0-9BDA-471A-A7B5-9C3FF5F13438}"/>
            </c:ext>
          </c:extLst>
        </c:ser>
        <c:ser>
          <c:idx val="1"/>
          <c:order val="1"/>
          <c:tx>
            <c:strRef>
              <c:f>Graphs!$D$2</c:f>
              <c:strCache>
                <c:ptCount val="1"/>
                <c:pt idx="0">
                  <c:v>Current Round + Past Round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Graphs!$A$83:$A$93</c:f>
              <c:strCache>
                <c:ptCount val="11"/>
                <c:pt idx="0">
                  <c:v>Round 0</c:v>
                </c:pt>
                <c:pt idx="1">
                  <c:v>Round 1</c:v>
                </c:pt>
                <c:pt idx="2">
                  <c:v>Round 2</c:v>
                </c:pt>
                <c:pt idx="3">
                  <c:v>Round 3</c:v>
                </c:pt>
                <c:pt idx="4">
                  <c:v>Round 4</c:v>
                </c:pt>
                <c:pt idx="5">
                  <c:v>Round 5</c:v>
                </c:pt>
                <c:pt idx="6">
                  <c:v>Round 6</c:v>
                </c:pt>
                <c:pt idx="7">
                  <c:v>Round 7</c:v>
                </c:pt>
                <c:pt idx="8">
                  <c:v>Round 8</c:v>
                </c:pt>
                <c:pt idx="9">
                  <c:v>Round 9</c:v>
                </c:pt>
                <c:pt idx="10">
                  <c:v>Round 10</c:v>
                </c:pt>
              </c:strCache>
            </c:strRef>
          </c:cat>
          <c:val>
            <c:numRef>
              <c:f>Graphs!$D$83:$D$93</c:f>
              <c:numCache>
                <c:formatCode>0%</c:formatCode>
                <c:ptCount val="11"/>
                <c:pt idx="0">
                  <c:v>0.16070000000000007</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1-9BDA-471A-A7B5-9C3FF5F13438}"/>
            </c:ext>
          </c:extLst>
        </c:ser>
        <c:ser>
          <c:idx val="2"/>
          <c:order val="2"/>
          <c:tx>
            <c:strRef>
              <c:f>Graphs!$E$82</c:f>
              <c:strCache>
                <c:ptCount val="1"/>
                <c:pt idx="0">
                  <c:v>NERC Standard</c:v>
                </c:pt>
              </c:strCache>
            </c:strRef>
          </c:tx>
          <c:spPr>
            <a:ln w="28575" cap="rnd">
              <a:solidFill>
                <a:schemeClr val="tx1"/>
              </a:solidFill>
              <a:prstDash val="dash"/>
              <a:round/>
            </a:ln>
            <a:effectLst/>
          </c:spPr>
          <c:marker>
            <c:symbol val="none"/>
          </c:marker>
          <c:val>
            <c:numRef>
              <c:f>Graphs!$E$83:$E$93</c:f>
              <c:numCache>
                <c:formatCode>0%</c:formatCode>
                <c:ptCount val="11"/>
                <c:pt idx="0">
                  <c:v>0.15</c:v>
                </c:pt>
                <c:pt idx="1">
                  <c:v>0.15</c:v>
                </c:pt>
                <c:pt idx="2">
                  <c:v>0.15</c:v>
                </c:pt>
                <c:pt idx="3">
                  <c:v>0.15</c:v>
                </c:pt>
                <c:pt idx="4">
                  <c:v>0.15</c:v>
                </c:pt>
                <c:pt idx="5">
                  <c:v>0.15</c:v>
                </c:pt>
                <c:pt idx="6">
                  <c:v>0.15</c:v>
                </c:pt>
                <c:pt idx="7">
                  <c:v>0.15</c:v>
                </c:pt>
                <c:pt idx="8">
                  <c:v>0.15</c:v>
                </c:pt>
                <c:pt idx="9">
                  <c:v>0.15</c:v>
                </c:pt>
                <c:pt idx="10">
                  <c:v>0.15</c:v>
                </c:pt>
              </c:numCache>
            </c:numRef>
          </c:val>
          <c:smooth val="0"/>
          <c:extLst>
            <c:ext xmlns:c16="http://schemas.microsoft.com/office/drawing/2014/chart" uri="{C3380CC4-5D6E-409C-BE32-E72D297353CC}">
              <c16:uniqueId val="{00000002-9BDA-471A-A7B5-9C3FF5F13438}"/>
            </c:ext>
          </c:extLst>
        </c:ser>
        <c:dLbls>
          <c:showLegendKey val="0"/>
          <c:showVal val="0"/>
          <c:showCatName val="0"/>
          <c:showSerName val="0"/>
          <c:showPercent val="0"/>
          <c:showBubbleSize val="0"/>
        </c:dLbls>
        <c:marker val="1"/>
        <c:smooth val="0"/>
        <c:axId val="524663320"/>
        <c:axId val="524666064"/>
      </c:lineChart>
      <c:catAx>
        <c:axId val="524663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6064"/>
        <c:crosses val="autoZero"/>
        <c:auto val="1"/>
        <c:lblAlgn val="ctr"/>
        <c:lblOffset val="100"/>
        <c:noMultiLvlLbl val="0"/>
      </c:catAx>
      <c:valAx>
        <c:axId val="524666064"/>
        <c:scaling>
          <c:orientation val="minMax"/>
          <c:max val="0.300000000000000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4663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6" Type="http://schemas.openxmlformats.org/officeDocument/2006/relationships/chart" Target="../charts/chart19.xml"/><Relationship Id="rId5" Type="http://schemas.openxmlformats.org/officeDocument/2006/relationships/chart" Target="../charts/chart18.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95249</xdr:colOff>
      <xdr:row>10</xdr:row>
      <xdr:rowOff>157162</xdr:rowOff>
    </xdr:from>
    <xdr:to>
      <xdr:col>4</xdr:col>
      <xdr:colOff>1228724</xdr:colOff>
      <xdr:row>25</xdr:row>
      <xdr:rowOff>42862</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552450</xdr:colOff>
      <xdr:row>28</xdr:row>
      <xdr:rowOff>80962</xdr:rowOff>
    </xdr:from>
    <xdr:to>
      <xdr:col>6</xdr:col>
      <xdr:colOff>342900</xdr:colOff>
      <xdr:row>42</xdr:row>
      <xdr:rowOff>157162</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123825</xdr:colOff>
      <xdr:row>28</xdr:row>
      <xdr:rowOff>33337</xdr:rowOff>
    </xdr:from>
    <xdr:to>
      <xdr:col>3</xdr:col>
      <xdr:colOff>228600</xdr:colOff>
      <xdr:row>42</xdr:row>
      <xdr:rowOff>109537</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45</xdr:row>
      <xdr:rowOff>128587</xdr:rowOff>
    </xdr:from>
    <xdr:to>
      <xdr:col>3</xdr:col>
      <xdr:colOff>457200</xdr:colOff>
      <xdr:row>60</xdr:row>
      <xdr:rowOff>14287</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85725</xdr:colOff>
      <xdr:row>63</xdr:row>
      <xdr:rowOff>88900</xdr:rowOff>
    </xdr:from>
    <xdr:to>
      <xdr:col>3</xdr:col>
      <xdr:colOff>327025</xdr:colOff>
      <xdr:row>78</xdr:row>
      <xdr:rowOff>69850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387350</xdr:colOff>
      <xdr:row>80</xdr:row>
      <xdr:rowOff>69850</xdr:rowOff>
    </xdr:from>
    <xdr:to>
      <xdr:col>6</xdr:col>
      <xdr:colOff>298450</xdr:colOff>
      <xdr:row>85</xdr:row>
      <xdr:rowOff>133350</xdr:rowOff>
    </xdr:to>
    <xdr:sp macro="[0]!Get_Started.Get_Started" textlink="">
      <xdr:nvSpPr>
        <xdr:cNvPr id="7" name="Rounded Rectangle 6">
          <a:extLst>
            <a:ext uri="{FF2B5EF4-FFF2-40B4-BE49-F238E27FC236}">
              <a16:creationId xmlns:a16="http://schemas.microsoft.com/office/drawing/2014/main" id="{00000000-0008-0000-0000-000007000000}"/>
            </a:ext>
          </a:extLst>
        </xdr:cNvPr>
        <xdr:cNvSpPr/>
      </xdr:nvSpPr>
      <xdr:spPr>
        <a:xfrm>
          <a:off x="4718050" y="17659350"/>
          <a:ext cx="4921250" cy="9842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Get started!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1427949</xdr:colOff>
      <xdr:row>28</xdr:row>
      <xdr:rowOff>45535</xdr:rowOff>
    </xdr:from>
    <xdr:to>
      <xdr:col>9</xdr:col>
      <xdr:colOff>1271066</xdr:colOff>
      <xdr:row>31</xdr:row>
      <xdr:rowOff>341454</xdr:rowOff>
    </xdr:to>
    <xdr:sp macro="[0]!Advance_Round.Advance_Round" textlink="">
      <xdr:nvSpPr>
        <xdr:cNvPr id="2" name="Rounded Rectangle 1">
          <a:extLst>
            <a:ext uri="{FF2B5EF4-FFF2-40B4-BE49-F238E27FC236}">
              <a16:creationId xmlns:a16="http://schemas.microsoft.com/office/drawing/2014/main" id="{00000000-0008-0000-0100-000002000000}"/>
            </a:ext>
          </a:extLst>
        </xdr:cNvPr>
        <xdr:cNvSpPr/>
      </xdr:nvSpPr>
      <xdr:spPr>
        <a:xfrm>
          <a:off x="9292878" y="7184749"/>
          <a:ext cx="5748617" cy="91277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Advance to Next Round</a:t>
          </a:r>
        </a:p>
      </xdr:txBody>
    </xdr:sp>
    <xdr:clientData/>
  </xdr:twoCellAnchor>
  <xdr:twoCellAnchor>
    <xdr:from>
      <xdr:col>6</xdr:col>
      <xdr:colOff>1</xdr:colOff>
      <xdr:row>3</xdr:row>
      <xdr:rowOff>69849</xdr:rowOff>
    </xdr:from>
    <xdr:to>
      <xdr:col>6</xdr:col>
      <xdr:colOff>4000501</xdr:colOff>
      <xdr:row>12</xdr:row>
      <xdr:rowOff>172357</xdr:rowOff>
    </xdr:to>
    <xdr:graphicFrame macro="">
      <xdr:nvGraphicFramePr>
        <xdr:cNvPr id="12" name="Chart 11">
          <a:extLst>
            <a:ext uri="{FF2B5EF4-FFF2-40B4-BE49-F238E27FC236}">
              <a16:creationId xmlns:a16="http://schemas.microsoft.com/office/drawing/2014/main" id="{00000000-0008-0000-0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100895</xdr:colOff>
      <xdr:row>15</xdr:row>
      <xdr:rowOff>72572</xdr:rowOff>
    </xdr:from>
    <xdr:to>
      <xdr:col>6</xdr:col>
      <xdr:colOff>4000500</xdr:colOff>
      <xdr:row>26</xdr:row>
      <xdr:rowOff>171098</xdr:rowOff>
    </xdr:to>
    <xdr:graphicFrame macro="">
      <xdr:nvGraphicFramePr>
        <xdr:cNvPr id="13" name="Chart 12">
          <a:extLst>
            <a:ext uri="{FF2B5EF4-FFF2-40B4-BE49-F238E27FC236}">
              <a16:creationId xmlns:a16="http://schemas.microsoft.com/office/drawing/2014/main" id="{00000000-0008-0000-0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1768930</xdr:colOff>
      <xdr:row>3</xdr:row>
      <xdr:rowOff>69850</xdr:rowOff>
    </xdr:from>
    <xdr:to>
      <xdr:col>9</xdr:col>
      <xdr:colOff>3592286</xdr:colOff>
      <xdr:row>12</xdr:row>
      <xdr:rowOff>158750</xdr:rowOff>
    </xdr:to>
    <xdr:graphicFrame macro="">
      <xdr:nvGraphicFramePr>
        <xdr:cNvPr id="14" name="Chart 13">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9071</xdr:colOff>
      <xdr:row>15</xdr:row>
      <xdr:rowOff>54429</xdr:rowOff>
    </xdr:from>
    <xdr:to>
      <xdr:col>9</xdr:col>
      <xdr:colOff>3605892</xdr:colOff>
      <xdr:row>26</xdr:row>
      <xdr:rowOff>149678</xdr:rowOff>
    </xdr:to>
    <xdr:graphicFrame macro="">
      <xdr:nvGraphicFramePr>
        <xdr:cNvPr id="15" name="Chart 14">
          <a:extLst>
            <a:ext uri="{FF2B5EF4-FFF2-40B4-BE49-F238E27FC236}">
              <a16:creationId xmlns:a16="http://schemas.microsoft.com/office/drawing/2014/main" id="{00000000-0008-0000-0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215900</xdr:colOff>
      <xdr:row>3</xdr:row>
      <xdr:rowOff>76200</xdr:rowOff>
    </xdr:from>
    <xdr:to>
      <xdr:col>17</xdr:col>
      <xdr:colOff>533400</xdr:colOff>
      <xdr:row>9</xdr:row>
      <xdr:rowOff>31750</xdr:rowOff>
    </xdr:to>
    <xdr:sp macro="[0]!Reset_All.Reset_All" textlink="">
      <xdr:nvSpPr>
        <xdr:cNvPr id="2" name="Rounded Rectangle 1">
          <a:extLst>
            <a:ext uri="{FF2B5EF4-FFF2-40B4-BE49-F238E27FC236}">
              <a16:creationId xmlns:a16="http://schemas.microsoft.com/office/drawing/2014/main" id="{00000000-0008-0000-0200-000002000000}"/>
            </a:ext>
          </a:extLst>
        </xdr:cNvPr>
        <xdr:cNvSpPr/>
      </xdr:nvSpPr>
      <xdr:spPr>
        <a:xfrm>
          <a:off x="9886950" y="635000"/>
          <a:ext cx="2552700" cy="1060450"/>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000"/>
            <a:t>Reset</a:t>
          </a:r>
          <a:r>
            <a:rPr lang="en-US" sz="2000" baseline="0"/>
            <a:t> All</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1133475</xdr:colOff>
      <xdr:row>69</xdr:row>
      <xdr:rowOff>157162</xdr:rowOff>
    </xdr:from>
    <xdr:to>
      <xdr:col>8</xdr:col>
      <xdr:colOff>47625</xdr:colOff>
      <xdr:row>84</xdr:row>
      <xdr:rowOff>42862</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219075</xdr:colOff>
      <xdr:row>69</xdr:row>
      <xdr:rowOff>157162</xdr:rowOff>
    </xdr:from>
    <xdr:to>
      <xdr:col>4</xdr:col>
      <xdr:colOff>552450</xdr:colOff>
      <xdr:row>84</xdr:row>
      <xdr:rowOff>42862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304558</xdr:colOff>
      <xdr:row>135</xdr:row>
      <xdr:rowOff>59522</xdr:rowOff>
    </xdr:from>
    <xdr:to>
      <xdr:col>8</xdr:col>
      <xdr:colOff>981982</xdr:colOff>
      <xdr:row>149</xdr:row>
      <xdr:rowOff>135722</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22703</xdr:colOff>
      <xdr:row>135</xdr:row>
      <xdr:rowOff>67180</xdr:rowOff>
    </xdr:from>
    <xdr:to>
      <xdr:col>14</xdr:col>
      <xdr:colOff>637720</xdr:colOff>
      <xdr:row>149</xdr:row>
      <xdr:rowOff>134308</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66675</xdr:colOff>
      <xdr:row>1</xdr:row>
      <xdr:rowOff>66675</xdr:rowOff>
    </xdr:from>
    <xdr:to>
      <xdr:col>10</xdr:col>
      <xdr:colOff>400050</xdr:colOff>
      <xdr:row>13</xdr:row>
      <xdr:rowOff>95250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53975</xdr:colOff>
      <xdr:row>16</xdr:row>
      <xdr:rowOff>155575</xdr:rowOff>
    </xdr:from>
    <xdr:to>
      <xdr:col>10</xdr:col>
      <xdr:colOff>387350</xdr:colOff>
      <xdr:row>28</xdr:row>
      <xdr:rowOff>177800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53975</xdr:colOff>
      <xdr:row>32</xdr:row>
      <xdr:rowOff>155575</xdr:rowOff>
    </xdr:from>
    <xdr:to>
      <xdr:col>10</xdr:col>
      <xdr:colOff>387350</xdr:colOff>
      <xdr:row>44</xdr:row>
      <xdr:rowOff>177800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53975</xdr:colOff>
      <xdr:row>49</xdr:row>
      <xdr:rowOff>155575</xdr:rowOff>
    </xdr:from>
    <xdr:to>
      <xdr:col>10</xdr:col>
      <xdr:colOff>387350</xdr:colOff>
      <xdr:row>61</xdr:row>
      <xdr:rowOff>177800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568325</xdr:colOff>
      <xdr:row>65</xdr:row>
      <xdr:rowOff>47625</xdr:rowOff>
    </xdr:from>
    <xdr:to>
      <xdr:col>10</xdr:col>
      <xdr:colOff>292100</xdr:colOff>
      <xdr:row>77</xdr:row>
      <xdr:rowOff>69850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53975</xdr:colOff>
      <xdr:row>81</xdr:row>
      <xdr:rowOff>155575</xdr:rowOff>
    </xdr:from>
    <xdr:to>
      <xdr:col>10</xdr:col>
      <xdr:colOff>387350</xdr:colOff>
      <xdr:row>93</xdr:row>
      <xdr:rowOff>177800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Rainbow">
      <a:dk1>
        <a:sysClr val="windowText" lastClr="000000"/>
      </a:dk1>
      <a:lt1>
        <a:sysClr val="window" lastClr="FFFFFF"/>
      </a:lt1>
      <a:dk2>
        <a:srgbClr val="44546A"/>
      </a:dk2>
      <a:lt2>
        <a:srgbClr val="E7E6E6"/>
      </a:lt2>
      <a:accent1>
        <a:srgbClr val="8496B0"/>
      </a:accent1>
      <a:accent2>
        <a:srgbClr val="C01B00"/>
      </a:accent2>
      <a:accent3>
        <a:srgbClr val="F593E0"/>
      </a:accent3>
      <a:accent4>
        <a:srgbClr val="FFFF00"/>
      </a:accent4>
      <a:accent5>
        <a:srgbClr val="C2DFFD"/>
      </a:accent5>
      <a:accent6>
        <a:srgbClr val="0563C1"/>
      </a:accent6>
      <a:hlink>
        <a:srgbClr val="00B050"/>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8" Type="http://schemas.openxmlformats.org/officeDocument/2006/relationships/hyperlink" Target="http://www.nrel.gov/docs/fy03osti/32500.pdf,%20Table%206" TargetMode="External"/><Relationship Id="rId3" Type="http://schemas.openxmlformats.org/officeDocument/2006/relationships/hyperlink" Target="http://www3.sce.com/sscc/law/dis/dbattach5e.nsf/0/BACF374E1EFE27CE88257C2100811E3D/$FILE/SCE-03%20Vol.%2008.pdf,%20p.2" TargetMode="External"/><Relationship Id="rId7" Type="http://schemas.openxmlformats.org/officeDocument/2006/relationships/hyperlink" Target="http://www.nrel.gov/docs/fy03osti/32500.pdf,%20Table%205" TargetMode="External"/><Relationship Id="rId2" Type="http://schemas.openxmlformats.org/officeDocument/2006/relationships/hyperlink" Target="http://energyenvironment.pnnl.gov/ei/pdf/NWPP%20report.pdf" TargetMode="External"/><Relationship Id="rId1" Type="http://schemas.openxmlformats.org/officeDocument/2006/relationships/hyperlink" Target="http://energyenvironment.pnnl.gov/ei/pdf/NWPP%20report.pdf" TargetMode="External"/><Relationship Id="rId6" Type="http://schemas.openxmlformats.org/officeDocument/2006/relationships/hyperlink" Target="http://www.nrel.gov/docs/fy03osti/32500.pdf,%20Table%208" TargetMode="External"/><Relationship Id="rId11" Type="http://schemas.openxmlformats.org/officeDocument/2006/relationships/printerSettings" Target="../printerSettings/printerSettings6.bin"/><Relationship Id="rId5" Type="http://schemas.openxmlformats.org/officeDocument/2006/relationships/hyperlink" Target="http://www.nrel.gov/docs/fy03osti/32500.pdf,%20Table%207" TargetMode="External"/><Relationship Id="rId10" Type="http://schemas.openxmlformats.org/officeDocument/2006/relationships/hyperlink" Target="http://www.nrel.gov/docs/fy03osti/32500.pdf,%20Table%204" TargetMode="External"/><Relationship Id="rId4" Type="http://schemas.openxmlformats.org/officeDocument/2006/relationships/hyperlink" Target="https://www.smartgrid.gov/files/SMUD-CBS_Final_Evaluation_Submitted_DOE_9_9_2014.pdf,%20Table%204-1,%20Default%20TOU,%20IHD-Offer,%20average" TargetMode="External"/><Relationship Id="rId9" Type="http://schemas.openxmlformats.org/officeDocument/2006/relationships/hyperlink" Target="http://www.nrel.gov/docs/fy03osti/32500.pdf,%20Table%203"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91"/>
  <sheetViews>
    <sheetView tabSelected="1" zoomScaleNormal="100" workbookViewId="0">
      <selection activeCell="B2" sqref="B2:F2"/>
    </sheetView>
  </sheetViews>
  <sheetFormatPr defaultRowHeight="15" x14ac:dyDescent="0.25"/>
  <cols>
    <col min="1" max="1" width="27.28515625" customWidth="1"/>
    <col min="2" max="2" width="21.140625" customWidth="1"/>
    <col min="3" max="3" width="13.5703125" bestFit="1" customWidth="1"/>
    <col min="4" max="4" width="30.28515625" bestFit="1" customWidth="1"/>
    <col min="5" max="6" width="20.7109375" bestFit="1" customWidth="1"/>
    <col min="7" max="7" width="34" bestFit="1" customWidth="1"/>
  </cols>
  <sheetData>
    <row r="1" spans="1:18" ht="27" thickBot="1" x14ac:dyDescent="0.45">
      <c r="A1" s="159" t="s">
        <v>315</v>
      </c>
      <c r="B1" s="159"/>
      <c r="C1" s="159"/>
      <c r="D1" s="159"/>
      <c r="E1" s="159"/>
      <c r="F1" s="159"/>
      <c r="G1" s="159"/>
      <c r="H1" s="159"/>
      <c r="I1" s="159"/>
      <c r="J1" s="159"/>
      <c r="K1" s="159"/>
      <c r="L1" s="159"/>
      <c r="M1" s="159"/>
      <c r="N1" s="159"/>
      <c r="O1" s="104"/>
      <c r="P1" s="104"/>
      <c r="Q1" s="104"/>
      <c r="R1" s="104"/>
    </row>
    <row r="2" spans="1:18" ht="27" thickBot="1" x14ac:dyDescent="0.45">
      <c r="A2" s="113" t="s">
        <v>326</v>
      </c>
      <c r="B2" s="162" t="s">
        <v>438</v>
      </c>
      <c r="C2" s="163"/>
      <c r="D2" s="163"/>
      <c r="E2" s="163"/>
      <c r="F2" s="164"/>
      <c r="G2" s="104"/>
      <c r="H2" s="104"/>
      <c r="I2" s="104"/>
      <c r="J2" s="104"/>
      <c r="K2" s="104"/>
      <c r="L2" s="104"/>
      <c r="M2" s="104"/>
      <c r="N2" s="104"/>
      <c r="O2" s="104"/>
      <c r="P2" s="104"/>
      <c r="Q2" s="104"/>
      <c r="R2" s="104"/>
    </row>
    <row r="3" spans="1:18" ht="27" thickBot="1" x14ac:dyDescent="0.45">
      <c r="A3" s="113" t="s">
        <v>322</v>
      </c>
      <c r="B3" s="162" t="s">
        <v>40</v>
      </c>
      <c r="C3" s="163"/>
      <c r="D3" s="163"/>
      <c r="E3" s="163"/>
      <c r="F3" s="164"/>
      <c r="G3" s="104"/>
      <c r="H3" s="104"/>
      <c r="I3" s="104"/>
      <c r="J3" s="104"/>
      <c r="K3" s="104"/>
      <c r="L3" s="104"/>
      <c r="M3" s="104"/>
      <c r="N3" s="104"/>
      <c r="O3" s="104"/>
      <c r="P3" s="104"/>
      <c r="Q3" s="104"/>
      <c r="R3" s="104"/>
    </row>
    <row r="4" spans="1:18" x14ac:dyDescent="0.25">
      <c r="A4" s="104"/>
      <c r="B4" s="104"/>
      <c r="C4" s="104"/>
      <c r="D4" s="104"/>
      <c r="E4" s="104"/>
      <c r="F4" s="104"/>
      <c r="G4" s="104"/>
      <c r="H4" s="104"/>
      <c r="I4" s="104"/>
      <c r="J4" s="104"/>
      <c r="K4" s="104"/>
      <c r="L4" s="104"/>
      <c r="M4" s="104"/>
      <c r="N4" s="104"/>
      <c r="O4" s="104"/>
      <c r="P4" s="104"/>
      <c r="Q4" s="104"/>
      <c r="R4" s="104"/>
    </row>
    <row r="5" spans="1:18" ht="26.25" x14ac:dyDescent="0.4">
      <c r="A5" s="159" t="s">
        <v>370</v>
      </c>
      <c r="B5" s="159"/>
      <c r="C5" s="159"/>
      <c r="D5" s="159"/>
      <c r="E5" s="159"/>
      <c r="F5" s="159"/>
      <c r="G5" s="159"/>
      <c r="H5" s="159"/>
      <c r="I5" s="159"/>
      <c r="J5" s="159"/>
      <c r="K5" s="159"/>
      <c r="L5" s="159"/>
      <c r="M5" s="159"/>
      <c r="N5" s="159"/>
      <c r="O5" s="117"/>
      <c r="P5" s="104"/>
      <c r="Q5" s="104"/>
      <c r="R5" s="104"/>
    </row>
    <row r="6" spans="1:18" ht="132" customHeight="1" x14ac:dyDescent="0.3">
      <c r="A6" s="160" t="s">
        <v>401</v>
      </c>
      <c r="B6" s="160"/>
      <c r="C6" s="160"/>
      <c r="D6" s="160"/>
      <c r="E6" s="160"/>
      <c r="F6" s="160"/>
      <c r="G6" s="104"/>
      <c r="H6" s="104"/>
      <c r="I6" s="104"/>
      <c r="J6" s="104"/>
      <c r="K6" s="104"/>
      <c r="L6" s="104"/>
      <c r="M6" s="104"/>
      <c r="N6" s="104"/>
      <c r="O6" s="104"/>
      <c r="P6" s="104"/>
      <c r="Q6" s="104"/>
      <c r="R6" s="104"/>
    </row>
    <row r="7" spans="1:18" x14ac:dyDescent="0.25">
      <c r="A7" s="104"/>
      <c r="B7" s="104"/>
      <c r="C7" s="104"/>
      <c r="D7" s="104"/>
      <c r="E7" s="104"/>
      <c r="F7" s="104"/>
      <c r="G7" s="104"/>
      <c r="H7" s="104"/>
      <c r="I7" s="104"/>
      <c r="J7" s="104"/>
      <c r="K7" s="104"/>
      <c r="L7" s="104"/>
      <c r="M7" s="104"/>
      <c r="N7" s="104"/>
      <c r="O7" s="104"/>
      <c r="P7" s="104"/>
      <c r="Q7" s="104"/>
      <c r="R7" s="104"/>
    </row>
    <row r="8" spans="1:18" ht="18.75" x14ac:dyDescent="0.3">
      <c r="A8" s="114" t="s">
        <v>371</v>
      </c>
      <c r="B8" s="104"/>
      <c r="C8" s="104"/>
      <c r="D8" s="104"/>
      <c r="E8" s="104"/>
      <c r="F8" s="104"/>
      <c r="G8" s="104"/>
      <c r="H8" s="104"/>
      <c r="I8" s="104"/>
      <c r="J8" s="104"/>
      <c r="K8" s="104"/>
      <c r="L8" s="104"/>
      <c r="M8" s="104"/>
      <c r="N8" s="104"/>
      <c r="O8" s="104"/>
      <c r="P8" s="104"/>
      <c r="Q8" s="104"/>
      <c r="R8" s="104"/>
    </row>
    <row r="9" spans="1:18" x14ac:dyDescent="0.25">
      <c r="A9" s="104"/>
      <c r="B9" s="104"/>
      <c r="C9" s="104"/>
      <c r="D9" s="104"/>
      <c r="E9" s="104"/>
      <c r="F9" s="104"/>
      <c r="G9" s="104"/>
      <c r="H9" s="104"/>
      <c r="I9" s="104"/>
      <c r="J9" s="104"/>
      <c r="K9" s="104"/>
      <c r="L9" s="104"/>
      <c r="M9" s="104"/>
      <c r="N9" s="104"/>
      <c r="O9" s="104"/>
      <c r="P9" s="104"/>
      <c r="Q9" s="104"/>
      <c r="R9" s="104"/>
    </row>
    <row r="10" spans="1:18" ht="18.75" x14ac:dyDescent="0.3">
      <c r="A10" s="115" t="s">
        <v>373</v>
      </c>
      <c r="B10" s="104"/>
      <c r="C10" s="104"/>
      <c r="D10" s="104"/>
      <c r="E10" s="104"/>
      <c r="F10" s="104"/>
      <c r="G10" s="104"/>
      <c r="H10" s="104"/>
      <c r="I10" s="104"/>
      <c r="J10" s="104"/>
      <c r="K10" s="104"/>
      <c r="L10" s="104"/>
      <c r="M10" s="104"/>
      <c r="N10" s="104"/>
      <c r="O10" s="104"/>
      <c r="P10" s="104"/>
      <c r="Q10" s="104"/>
      <c r="R10" s="104"/>
    </row>
    <row r="11" spans="1:18" x14ac:dyDescent="0.25">
      <c r="A11" s="104"/>
      <c r="B11" s="104"/>
      <c r="C11" s="104"/>
      <c r="D11" s="104"/>
      <c r="E11" s="104"/>
      <c r="F11" s="104"/>
      <c r="G11" s="104"/>
      <c r="H11" s="104"/>
      <c r="I11" s="104"/>
      <c r="J11" s="104"/>
      <c r="K11" s="104"/>
      <c r="L11" s="104"/>
      <c r="M11" s="104"/>
      <c r="N11" s="104"/>
      <c r="O11" s="104"/>
      <c r="P11" s="104"/>
      <c r="Q11" s="104"/>
      <c r="R11" s="104"/>
    </row>
    <row r="12" spans="1:18" x14ac:dyDescent="0.25">
      <c r="A12" s="104"/>
      <c r="B12" s="104"/>
      <c r="C12" s="104"/>
      <c r="D12" s="104"/>
      <c r="E12" s="104"/>
      <c r="F12" s="104"/>
      <c r="G12" s="104"/>
      <c r="H12" s="104"/>
      <c r="I12" s="104"/>
      <c r="J12" s="104"/>
      <c r="K12" s="104"/>
      <c r="L12" s="104"/>
      <c r="M12" s="104"/>
      <c r="N12" s="104"/>
      <c r="O12" s="104"/>
      <c r="P12" s="104"/>
      <c r="Q12" s="104"/>
      <c r="R12" s="104"/>
    </row>
    <row r="13" spans="1:18" x14ac:dyDescent="0.25">
      <c r="A13" s="104"/>
      <c r="B13" s="104"/>
      <c r="C13" s="104"/>
      <c r="D13" s="104"/>
      <c r="E13" s="104"/>
      <c r="F13" s="104"/>
      <c r="G13" s="104"/>
      <c r="H13" s="104"/>
      <c r="I13" s="104"/>
      <c r="J13" s="104"/>
      <c r="K13" s="104"/>
      <c r="L13" s="104"/>
      <c r="M13" s="104"/>
      <c r="N13" s="104"/>
      <c r="O13" s="104"/>
      <c r="P13" s="104"/>
      <c r="Q13" s="104"/>
      <c r="R13" s="104"/>
    </row>
    <row r="14" spans="1:18" x14ac:dyDescent="0.25">
      <c r="A14" s="104"/>
      <c r="B14" s="104"/>
      <c r="C14" s="104"/>
      <c r="D14" s="104"/>
      <c r="E14" s="104"/>
      <c r="F14" s="104"/>
      <c r="G14" s="104"/>
      <c r="H14" s="104"/>
      <c r="I14" s="104"/>
      <c r="J14" s="104"/>
      <c r="K14" s="104"/>
      <c r="L14" s="104"/>
      <c r="M14" s="104"/>
      <c r="N14" s="104"/>
      <c r="O14" s="104"/>
      <c r="P14" s="104"/>
      <c r="Q14" s="104"/>
      <c r="R14" s="104"/>
    </row>
    <row r="15" spans="1:18" x14ac:dyDescent="0.25">
      <c r="A15" s="104"/>
      <c r="B15" s="104"/>
      <c r="C15" s="104"/>
      <c r="D15" s="104"/>
      <c r="E15" s="104"/>
      <c r="F15" s="104"/>
      <c r="G15" s="104"/>
      <c r="H15" s="104"/>
      <c r="I15" s="104"/>
      <c r="J15" s="104"/>
      <c r="K15" s="104"/>
      <c r="L15" s="104"/>
      <c r="M15" s="104"/>
      <c r="N15" s="104"/>
      <c r="O15" s="104"/>
      <c r="P15" s="104"/>
      <c r="Q15" s="104"/>
      <c r="R15" s="104"/>
    </row>
    <row r="16" spans="1:18" x14ac:dyDescent="0.25">
      <c r="A16" s="104"/>
      <c r="B16" s="104"/>
      <c r="C16" s="104"/>
      <c r="D16" s="104"/>
      <c r="E16" s="104"/>
      <c r="F16" s="104"/>
      <c r="G16" s="104"/>
      <c r="H16" s="104"/>
      <c r="I16" s="104"/>
      <c r="J16" s="104"/>
      <c r="K16" s="104"/>
      <c r="L16" s="104"/>
      <c r="M16" s="104"/>
      <c r="N16" s="104"/>
      <c r="O16" s="104"/>
      <c r="P16" s="104"/>
      <c r="Q16" s="104"/>
      <c r="R16" s="104"/>
    </row>
    <row r="17" spans="1:18" x14ac:dyDescent="0.25">
      <c r="A17" s="104"/>
      <c r="B17" s="104"/>
      <c r="C17" s="104"/>
      <c r="D17" s="104"/>
      <c r="E17" s="104"/>
      <c r="F17" s="104"/>
      <c r="G17" s="104"/>
      <c r="H17" s="104"/>
      <c r="I17" s="104"/>
      <c r="J17" s="104"/>
      <c r="K17" s="104"/>
      <c r="L17" s="104"/>
      <c r="M17" s="104"/>
      <c r="N17" s="104"/>
      <c r="O17" s="104"/>
      <c r="P17" s="104"/>
      <c r="Q17" s="104"/>
      <c r="R17" s="104"/>
    </row>
    <row r="18" spans="1:18" x14ac:dyDescent="0.25">
      <c r="A18" s="104"/>
      <c r="B18" s="104"/>
      <c r="C18" s="104"/>
      <c r="D18" s="104"/>
      <c r="E18" s="104"/>
      <c r="F18" s="104"/>
      <c r="G18" s="104"/>
      <c r="H18" s="104"/>
      <c r="I18" s="104"/>
      <c r="J18" s="104"/>
      <c r="K18" s="104"/>
      <c r="L18" s="104"/>
      <c r="M18" s="104"/>
      <c r="N18" s="104"/>
      <c r="O18" s="104"/>
      <c r="P18" s="104"/>
      <c r="Q18" s="104"/>
      <c r="R18" s="104"/>
    </row>
    <row r="19" spans="1:18" x14ac:dyDescent="0.25">
      <c r="A19" s="104"/>
      <c r="B19" s="104"/>
      <c r="C19" s="104"/>
      <c r="D19" s="104"/>
      <c r="E19" s="104"/>
      <c r="F19" s="104"/>
      <c r="G19" s="104"/>
      <c r="H19" s="104"/>
      <c r="I19" s="104"/>
      <c r="J19" s="104"/>
      <c r="K19" s="104"/>
      <c r="L19" s="104"/>
      <c r="M19" s="104"/>
      <c r="N19" s="104"/>
      <c r="O19" s="104"/>
      <c r="P19" s="104"/>
      <c r="Q19" s="104"/>
      <c r="R19" s="104"/>
    </row>
    <row r="20" spans="1:18" x14ac:dyDescent="0.25">
      <c r="A20" s="104"/>
      <c r="B20" s="104"/>
      <c r="C20" s="104"/>
      <c r="D20" s="104"/>
      <c r="E20" s="104"/>
      <c r="F20" s="104"/>
      <c r="G20" s="104"/>
      <c r="H20" s="104"/>
      <c r="I20" s="104"/>
      <c r="J20" s="104"/>
      <c r="K20" s="104"/>
      <c r="L20" s="104"/>
      <c r="M20" s="104"/>
      <c r="N20" s="104"/>
      <c r="O20" s="104"/>
      <c r="P20" s="104"/>
      <c r="Q20" s="104"/>
      <c r="R20" s="104"/>
    </row>
    <row r="21" spans="1:18" x14ac:dyDescent="0.25">
      <c r="A21" s="104"/>
      <c r="B21" s="104"/>
      <c r="C21" s="104"/>
      <c r="D21" s="104"/>
      <c r="E21" s="104"/>
      <c r="F21" s="104"/>
      <c r="G21" s="104"/>
      <c r="H21" s="104"/>
      <c r="I21" s="104"/>
      <c r="J21" s="104"/>
      <c r="K21" s="104"/>
      <c r="L21" s="104"/>
      <c r="M21" s="104"/>
      <c r="N21" s="104"/>
      <c r="O21" s="104"/>
      <c r="P21" s="104"/>
      <c r="Q21" s="104"/>
      <c r="R21" s="104"/>
    </row>
    <row r="22" spans="1:18" x14ac:dyDescent="0.25">
      <c r="A22" s="104"/>
      <c r="B22" s="104"/>
      <c r="C22" s="104"/>
      <c r="D22" s="104"/>
      <c r="E22" s="104"/>
      <c r="F22" s="104"/>
      <c r="G22" s="104"/>
      <c r="H22" s="104"/>
      <c r="I22" s="104"/>
      <c r="J22" s="104"/>
      <c r="K22" s="104"/>
      <c r="L22" s="104"/>
      <c r="M22" s="104"/>
      <c r="N22" s="104"/>
      <c r="O22" s="104"/>
      <c r="P22" s="104"/>
      <c r="Q22" s="104"/>
      <c r="R22" s="104"/>
    </row>
    <row r="23" spans="1:18" x14ac:dyDescent="0.25">
      <c r="A23" s="104"/>
      <c r="B23" s="104"/>
      <c r="C23" s="104"/>
      <c r="D23" s="104"/>
      <c r="E23" s="104"/>
      <c r="F23" s="104"/>
      <c r="G23" s="104"/>
      <c r="H23" s="104"/>
      <c r="I23" s="104"/>
      <c r="J23" s="104"/>
      <c r="K23" s="104"/>
      <c r="L23" s="104"/>
      <c r="M23" s="104"/>
      <c r="N23" s="104"/>
      <c r="O23" s="104"/>
      <c r="P23" s="104"/>
      <c r="Q23" s="104"/>
      <c r="R23" s="104"/>
    </row>
    <row r="24" spans="1:18" x14ac:dyDescent="0.25">
      <c r="A24" s="104"/>
      <c r="B24" s="104"/>
      <c r="C24" s="104"/>
      <c r="D24" s="104"/>
      <c r="E24" s="104"/>
      <c r="F24" s="104"/>
      <c r="G24" s="104"/>
      <c r="H24" s="104"/>
      <c r="I24" s="104"/>
      <c r="J24" s="104"/>
      <c r="K24" s="104"/>
      <c r="L24" s="104"/>
      <c r="M24" s="104"/>
      <c r="N24" s="104"/>
      <c r="O24" s="104"/>
      <c r="P24" s="104"/>
      <c r="Q24" s="104"/>
      <c r="R24" s="104"/>
    </row>
    <row r="25" spans="1:18" x14ac:dyDescent="0.25">
      <c r="A25" s="104"/>
      <c r="B25" s="104"/>
      <c r="C25" s="104"/>
      <c r="D25" s="104"/>
      <c r="E25" s="104"/>
      <c r="F25" s="104"/>
      <c r="G25" s="104"/>
      <c r="H25" s="104"/>
      <c r="I25" s="104"/>
      <c r="J25" s="104"/>
      <c r="K25" s="104"/>
      <c r="L25" s="104"/>
      <c r="M25" s="104"/>
      <c r="N25" s="104"/>
      <c r="O25" s="104"/>
      <c r="P25" s="104"/>
      <c r="Q25" s="104"/>
      <c r="R25" s="104"/>
    </row>
    <row r="26" spans="1:18" x14ac:dyDescent="0.25">
      <c r="A26" s="104"/>
      <c r="B26" s="104"/>
      <c r="C26" s="104"/>
      <c r="D26" s="104"/>
      <c r="E26" s="104"/>
      <c r="F26" s="104"/>
      <c r="G26" s="104"/>
      <c r="H26" s="104"/>
      <c r="I26" s="104"/>
      <c r="J26" s="104"/>
      <c r="K26" s="104"/>
      <c r="L26" s="104"/>
      <c r="M26" s="104"/>
      <c r="N26" s="104"/>
      <c r="O26" s="104"/>
      <c r="P26" s="104"/>
      <c r="Q26" s="104"/>
      <c r="R26" s="104"/>
    </row>
    <row r="27" spans="1:18" ht="18.75" x14ac:dyDescent="0.3">
      <c r="A27" s="115" t="s">
        <v>372</v>
      </c>
      <c r="B27" s="104"/>
      <c r="C27" s="104"/>
      <c r="D27" s="104"/>
      <c r="E27" s="104"/>
      <c r="F27" s="104"/>
      <c r="G27" s="104"/>
      <c r="H27" s="104"/>
      <c r="I27" s="104"/>
      <c r="J27" s="104"/>
      <c r="K27" s="104"/>
      <c r="L27" s="104"/>
      <c r="M27" s="104"/>
      <c r="N27" s="104"/>
      <c r="O27" s="104"/>
      <c r="P27" s="104"/>
      <c r="Q27" s="104"/>
      <c r="R27" s="104"/>
    </row>
    <row r="28" spans="1:18" x14ac:dyDescent="0.25">
      <c r="A28" s="104"/>
      <c r="B28" s="104"/>
      <c r="C28" s="104"/>
      <c r="D28" s="104"/>
      <c r="E28" s="104"/>
      <c r="F28" s="104"/>
      <c r="G28" s="104"/>
      <c r="H28" s="104"/>
      <c r="I28" s="104"/>
      <c r="J28" s="104"/>
      <c r="K28" s="104"/>
      <c r="L28" s="104"/>
      <c r="M28" s="104"/>
      <c r="N28" s="104"/>
      <c r="O28" s="104"/>
      <c r="P28" s="104"/>
      <c r="Q28" s="104"/>
      <c r="R28" s="104"/>
    </row>
    <row r="29" spans="1:18" x14ac:dyDescent="0.25">
      <c r="A29" s="104"/>
      <c r="B29" s="104"/>
      <c r="C29" s="104"/>
      <c r="D29" s="104"/>
      <c r="E29" s="104"/>
      <c r="F29" s="104"/>
      <c r="G29" s="104"/>
      <c r="H29" s="104"/>
      <c r="I29" s="104"/>
      <c r="J29" s="104"/>
      <c r="K29" s="104"/>
      <c r="L29" s="104"/>
      <c r="M29" s="104"/>
      <c r="N29" s="104"/>
      <c r="O29" s="104"/>
      <c r="P29" s="104"/>
      <c r="Q29" s="104"/>
      <c r="R29" s="104"/>
    </row>
    <row r="30" spans="1:18" x14ac:dyDescent="0.25">
      <c r="A30" s="104"/>
      <c r="B30" s="104"/>
      <c r="C30" s="104"/>
      <c r="D30" s="104"/>
      <c r="E30" s="104"/>
      <c r="F30" s="104"/>
      <c r="G30" s="104"/>
      <c r="H30" s="104"/>
      <c r="I30" s="104"/>
      <c r="J30" s="104"/>
      <c r="K30" s="104"/>
      <c r="L30" s="104"/>
      <c r="M30" s="104"/>
      <c r="N30" s="104"/>
      <c r="O30" s="104"/>
      <c r="P30" s="104"/>
      <c r="Q30" s="104"/>
      <c r="R30" s="104"/>
    </row>
    <row r="31" spans="1:18" x14ac:dyDescent="0.25">
      <c r="A31" s="104"/>
      <c r="B31" s="104"/>
      <c r="C31" s="104"/>
      <c r="D31" s="104"/>
      <c r="E31" s="104"/>
      <c r="F31" s="104"/>
      <c r="G31" s="104"/>
      <c r="H31" s="104"/>
      <c r="I31" s="104"/>
      <c r="J31" s="104"/>
      <c r="K31" s="104"/>
      <c r="L31" s="104"/>
      <c r="M31" s="104"/>
      <c r="N31" s="104"/>
      <c r="O31" s="104"/>
      <c r="P31" s="104"/>
      <c r="Q31" s="104"/>
      <c r="R31" s="104"/>
    </row>
    <row r="32" spans="1:18" x14ac:dyDescent="0.25">
      <c r="A32" s="104"/>
      <c r="B32" s="104"/>
      <c r="C32" s="104"/>
      <c r="D32" s="104"/>
      <c r="E32" s="104"/>
      <c r="F32" s="104"/>
      <c r="G32" s="104"/>
      <c r="H32" s="104"/>
      <c r="I32" s="104"/>
      <c r="J32" s="104"/>
      <c r="K32" s="104"/>
      <c r="L32" s="104"/>
      <c r="M32" s="104"/>
      <c r="N32" s="104"/>
      <c r="O32" s="104"/>
      <c r="P32" s="104"/>
      <c r="Q32" s="104"/>
      <c r="R32" s="104"/>
    </row>
    <row r="33" spans="1:18" x14ac:dyDescent="0.25">
      <c r="A33" s="104"/>
      <c r="B33" s="104"/>
      <c r="C33" s="104"/>
      <c r="D33" s="104"/>
      <c r="E33" s="104"/>
      <c r="F33" s="104"/>
      <c r="G33" s="104"/>
      <c r="H33" s="104"/>
      <c r="I33" s="104"/>
      <c r="J33" s="104"/>
      <c r="K33" s="104"/>
      <c r="L33" s="104"/>
      <c r="M33" s="104"/>
      <c r="N33" s="104"/>
      <c r="O33" s="104"/>
      <c r="P33" s="104"/>
      <c r="Q33" s="104"/>
      <c r="R33" s="104"/>
    </row>
    <row r="34" spans="1:18" x14ac:dyDescent="0.25">
      <c r="A34" s="104"/>
      <c r="B34" s="104"/>
      <c r="C34" s="104"/>
      <c r="D34" s="104"/>
      <c r="E34" s="104"/>
      <c r="F34" s="104"/>
      <c r="G34" s="104"/>
      <c r="H34" s="104"/>
      <c r="I34" s="104"/>
      <c r="J34" s="104"/>
      <c r="K34" s="104"/>
      <c r="L34" s="104"/>
      <c r="M34" s="104"/>
      <c r="N34" s="104"/>
      <c r="O34" s="104"/>
      <c r="P34" s="104"/>
      <c r="Q34" s="104"/>
      <c r="R34" s="104"/>
    </row>
    <row r="35" spans="1:18" x14ac:dyDescent="0.25">
      <c r="A35" s="104"/>
      <c r="B35" s="104"/>
      <c r="C35" s="104"/>
      <c r="D35" s="104"/>
      <c r="E35" s="104"/>
      <c r="F35" s="104"/>
      <c r="G35" s="104"/>
      <c r="H35" s="104"/>
      <c r="I35" s="104"/>
      <c r="J35" s="104"/>
      <c r="K35" s="104"/>
      <c r="L35" s="104"/>
      <c r="M35" s="104"/>
      <c r="N35" s="104"/>
      <c r="O35" s="104"/>
      <c r="P35" s="104"/>
      <c r="Q35" s="104"/>
      <c r="R35" s="104"/>
    </row>
    <row r="36" spans="1:18" x14ac:dyDescent="0.25">
      <c r="A36" s="104"/>
      <c r="B36" s="104"/>
      <c r="C36" s="104"/>
      <c r="D36" s="104"/>
      <c r="E36" s="104"/>
      <c r="F36" s="104"/>
      <c r="G36" s="104"/>
      <c r="H36" s="104"/>
      <c r="I36" s="104"/>
      <c r="J36" s="104"/>
      <c r="K36" s="104"/>
      <c r="L36" s="104"/>
      <c r="M36" s="104"/>
      <c r="N36" s="104"/>
      <c r="O36" s="104"/>
      <c r="P36" s="104"/>
      <c r="Q36" s="104"/>
      <c r="R36" s="104"/>
    </row>
    <row r="37" spans="1:18" x14ac:dyDescent="0.25">
      <c r="A37" s="104"/>
      <c r="B37" s="104"/>
      <c r="C37" s="104"/>
      <c r="D37" s="104"/>
      <c r="E37" s="104"/>
      <c r="F37" s="104"/>
      <c r="G37" s="104"/>
      <c r="H37" s="104"/>
      <c r="I37" s="104"/>
      <c r="J37" s="104"/>
      <c r="K37" s="104"/>
      <c r="L37" s="104"/>
      <c r="M37" s="104"/>
      <c r="N37" s="104"/>
      <c r="O37" s="104"/>
      <c r="P37" s="104"/>
      <c r="Q37" s="104"/>
      <c r="R37" s="104"/>
    </row>
    <row r="38" spans="1:18" x14ac:dyDescent="0.25">
      <c r="A38" s="104"/>
      <c r="B38" s="104"/>
      <c r="C38" s="104"/>
      <c r="D38" s="104"/>
      <c r="E38" s="104"/>
      <c r="F38" s="104"/>
      <c r="G38" s="104"/>
      <c r="H38" s="104"/>
      <c r="I38" s="104"/>
      <c r="J38" s="104"/>
      <c r="K38" s="104"/>
      <c r="L38" s="104"/>
      <c r="M38" s="104"/>
      <c r="N38" s="104"/>
      <c r="O38" s="104"/>
      <c r="P38" s="104"/>
      <c r="Q38" s="104"/>
      <c r="R38" s="104"/>
    </row>
    <row r="39" spans="1:18" x14ac:dyDescent="0.25">
      <c r="A39" s="104"/>
      <c r="B39" s="104"/>
      <c r="C39" s="104"/>
      <c r="D39" s="104"/>
      <c r="E39" s="104"/>
      <c r="F39" s="104"/>
      <c r="G39" s="104"/>
      <c r="H39" s="104"/>
      <c r="I39" s="104"/>
      <c r="J39" s="104"/>
      <c r="K39" s="104"/>
      <c r="L39" s="104"/>
      <c r="M39" s="104"/>
      <c r="N39" s="104"/>
      <c r="O39" s="104"/>
      <c r="P39" s="104"/>
      <c r="Q39" s="104"/>
      <c r="R39" s="104"/>
    </row>
    <row r="40" spans="1:18" x14ac:dyDescent="0.25">
      <c r="A40" s="104"/>
      <c r="B40" s="104"/>
      <c r="C40" s="104"/>
      <c r="D40" s="104"/>
      <c r="E40" s="104"/>
      <c r="F40" s="104"/>
      <c r="G40" s="104"/>
      <c r="H40" s="104"/>
      <c r="I40" s="104"/>
      <c r="J40" s="104"/>
      <c r="K40" s="104"/>
      <c r="L40" s="104"/>
      <c r="M40" s="104"/>
      <c r="N40" s="104"/>
      <c r="O40" s="104"/>
      <c r="P40" s="104"/>
      <c r="Q40" s="104"/>
      <c r="R40" s="104"/>
    </row>
    <row r="41" spans="1:18" x14ac:dyDescent="0.25">
      <c r="A41" s="104"/>
      <c r="B41" s="104"/>
      <c r="C41" s="104"/>
      <c r="D41" s="104"/>
      <c r="E41" s="104"/>
      <c r="F41" s="104"/>
      <c r="G41" s="104"/>
      <c r="H41" s="104"/>
      <c r="I41" s="104"/>
      <c r="J41" s="104"/>
      <c r="K41" s="104"/>
      <c r="L41" s="104"/>
      <c r="M41" s="104"/>
      <c r="N41" s="104"/>
      <c r="O41" s="104"/>
      <c r="P41" s="104"/>
      <c r="Q41" s="104"/>
      <c r="R41" s="104"/>
    </row>
    <row r="42" spans="1:18" x14ac:dyDescent="0.25">
      <c r="A42" s="104"/>
      <c r="B42" s="104"/>
      <c r="C42" s="104"/>
      <c r="D42" s="104"/>
      <c r="E42" s="104"/>
      <c r="F42" s="104"/>
      <c r="G42" s="104"/>
      <c r="H42" s="104"/>
      <c r="I42" s="104"/>
      <c r="J42" s="104"/>
      <c r="K42" s="104"/>
      <c r="L42" s="104"/>
      <c r="M42" s="104"/>
      <c r="N42" s="104"/>
      <c r="O42" s="104"/>
      <c r="P42" s="104"/>
      <c r="Q42" s="104"/>
      <c r="R42" s="104"/>
    </row>
    <row r="43" spans="1:18" x14ac:dyDescent="0.25">
      <c r="A43" s="104"/>
      <c r="B43" s="104"/>
      <c r="C43" s="104"/>
      <c r="D43" s="104"/>
      <c r="E43" s="104"/>
      <c r="F43" s="104"/>
      <c r="G43" s="104"/>
      <c r="H43" s="104"/>
      <c r="I43" s="104"/>
      <c r="J43" s="104"/>
      <c r="K43" s="104"/>
      <c r="L43" s="104"/>
      <c r="M43" s="104"/>
      <c r="N43" s="104"/>
      <c r="O43" s="104"/>
      <c r="P43" s="104"/>
      <c r="Q43" s="104"/>
      <c r="R43" s="104"/>
    </row>
    <row r="44" spans="1:18" x14ac:dyDescent="0.25">
      <c r="A44" s="104"/>
      <c r="B44" s="104"/>
      <c r="C44" s="104"/>
      <c r="D44" s="104"/>
      <c r="E44" s="104"/>
      <c r="F44" s="104"/>
      <c r="G44" s="104"/>
      <c r="H44" s="104"/>
      <c r="I44" s="104"/>
      <c r="J44" s="104"/>
      <c r="K44" s="104"/>
      <c r="L44" s="104"/>
      <c r="M44" s="104"/>
      <c r="N44" s="104"/>
      <c r="O44" s="104"/>
      <c r="P44" s="104"/>
      <c r="Q44" s="104"/>
      <c r="R44" s="104"/>
    </row>
    <row r="45" spans="1:18" ht="58.5" customHeight="1" x14ac:dyDescent="0.3">
      <c r="A45" s="161" t="s">
        <v>377</v>
      </c>
      <c r="B45" s="161"/>
      <c r="C45" s="161"/>
      <c r="D45" s="161"/>
      <c r="E45" s="161"/>
      <c r="F45" s="161"/>
      <c r="G45" s="107"/>
      <c r="H45" s="104"/>
      <c r="I45" s="104"/>
      <c r="J45" s="104"/>
      <c r="K45" s="104"/>
      <c r="L45" s="104"/>
      <c r="M45" s="104"/>
      <c r="N45" s="104"/>
      <c r="O45" s="104"/>
      <c r="P45" s="104"/>
      <c r="Q45" s="104"/>
      <c r="R45" s="104"/>
    </row>
    <row r="46" spans="1:18" x14ac:dyDescent="0.25">
      <c r="A46" s="104"/>
      <c r="B46" s="104"/>
      <c r="C46" s="104"/>
      <c r="D46" s="104"/>
      <c r="E46" s="104"/>
      <c r="F46" s="104"/>
      <c r="G46" s="104"/>
      <c r="H46" s="104"/>
      <c r="I46" s="104"/>
      <c r="J46" s="104"/>
      <c r="K46" s="104"/>
      <c r="L46" s="104"/>
      <c r="M46" s="104"/>
      <c r="N46" s="104"/>
      <c r="O46" s="104"/>
      <c r="P46" s="104"/>
      <c r="Q46" s="104"/>
      <c r="R46" s="104"/>
    </row>
    <row r="47" spans="1:18" x14ac:dyDescent="0.25">
      <c r="A47" s="104" t="s">
        <v>15</v>
      </c>
      <c r="B47" s="104" t="s">
        <v>376</v>
      </c>
      <c r="C47" s="104" t="s">
        <v>10</v>
      </c>
      <c r="D47" s="104"/>
      <c r="E47" s="104"/>
      <c r="F47" s="104"/>
      <c r="G47" s="104"/>
      <c r="H47" s="104"/>
      <c r="I47" s="104"/>
      <c r="J47" s="104"/>
      <c r="K47" s="104"/>
      <c r="L47" s="104"/>
      <c r="M47" s="104"/>
      <c r="N47" s="104"/>
      <c r="O47" s="104"/>
      <c r="P47" s="104"/>
      <c r="Q47" s="104"/>
      <c r="R47" s="104"/>
    </row>
    <row r="48" spans="1:18" x14ac:dyDescent="0.25">
      <c r="A48" s="104">
        <v>0</v>
      </c>
      <c r="B48" s="104">
        <f>('Game Assumptions'!G29)/(10^6)</f>
        <v>1.5625</v>
      </c>
      <c r="C48" s="104">
        <f>('Game Assumptions'!G30)/(10^6)</f>
        <v>1.4750000000000001</v>
      </c>
      <c r="D48" s="104"/>
      <c r="E48" s="104"/>
      <c r="F48" s="104"/>
      <c r="G48" s="104"/>
      <c r="H48" s="104"/>
      <c r="I48" s="104"/>
      <c r="J48" s="104"/>
      <c r="K48" s="104"/>
      <c r="L48" s="104"/>
      <c r="M48" s="104"/>
      <c r="N48" s="104"/>
      <c r="O48" s="104"/>
      <c r="P48" s="104"/>
      <c r="Q48" s="104"/>
      <c r="R48" s="104"/>
    </row>
    <row r="49" spans="1:18" x14ac:dyDescent="0.25">
      <c r="A49" s="104">
        <v>1</v>
      </c>
      <c r="B49" s="116">
        <f>B48*(1-'Game Assumptions'!$B$15)</f>
        <v>1.40625</v>
      </c>
      <c r="C49" s="116">
        <f>C48*(1-'Game Assumptions'!$B$16)</f>
        <v>1.43075</v>
      </c>
      <c r="D49" s="104"/>
      <c r="E49" s="104"/>
      <c r="F49" s="104"/>
      <c r="G49" s="104"/>
      <c r="H49" s="104"/>
      <c r="I49" s="104"/>
      <c r="J49" s="104"/>
      <c r="K49" s="104"/>
      <c r="L49" s="104"/>
      <c r="M49" s="104"/>
      <c r="N49" s="104"/>
      <c r="O49" s="104"/>
      <c r="P49" s="104"/>
      <c r="Q49" s="104"/>
      <c r="R49" s="104"/>
    </row>
    <row r="50" spans="1:18" x14ac:dyDescent="0.25">
      <c r="A50" s="104">
        <v>2</v>
      </c>
      <c r="B50" s="116">
        <f>B49*(1-'Game Assumptions'!$B$15)</f>
        <v>1.265625</v>
      </c>
      <c r="C50" s="116">
        <f>C49*(1-'Game Assumptions'!$B$16)</f>
        <v>1.3878275</v>
      </c>
      <c r="D50" s="104"/>
      <c r="E50" s="104"/>
      <c r="F50" s="104"/>
      <c r="G50" s="104"/>
      <c r="H50" s="104"/>
      <c r="I50" s="104"/>
      <c r="J50" s="104"/>
      <c r="K50" s="104"/>
      <c r="L50" s="104"/>
      <c r="M50" s="104"/>
      <c r="N50" s="104"/>
      <c r="O50" s="104"/>
      <c r="P50" s="104"/>
      <c r="Q50" s="104"/>
      <c r="R50" s="104"/>
    </row>
    <row r="51" spans="1:18" x14ac:dyDescent="0.25">
      <c r="A51" s="104">
        <v>3</v>
      </c>
      <c r="B51" s="116">
        <f>B50*(1-'Game Assumptions'!$B$15)</f>
        <v>1.1390625000000001</v>
      </c>
      <c r="C51" s="116">
        <f>C50*(1-'Game Assumptions'!$B$16)</f>
        <v>1.3461926749999999</v>
      </c>
      <c r="D51" s="104"/>
      <c r="E51" s="104"/>
      <c r="F51" s="104"/>
      <c r="G51" s="104"/>
      <c r="H51" s="104"/>
      <c r="I51" s="104"/>
      <c r="J51" s="104"/>
      <c r="K51" s="104"/>
      <c r="L51" s="104"/>
      <c r="M51" s="104"/>
      <c r="N51" s="104"/>
      <c r="O51" s="104"/>
      <c r="P51" s="104"/>
      <c r="Q51" s="104"/>
      <c r="R51" s="104"/>
    </row>
    <row r="52" spans="1:18" x14ac:dyDescent="0.25">
      <c r="A52" s="104">
        <v>4</v>
      </c>
      <c r="B52" s="116">
        <f>B51*(1-'Game Assumptions'!$B$15)</f>
        <v>1.0251562500000002</v>
      </c>
      <c r="C52" s="116">
        <f>C51*(1-'Game Assumptions'!$B$16)</f>
        <v>1.3058068947499999</v>
      </c>
      <c r="D52" s="104"/>
      <c r="E52" s="104"/>
      <c r="F52" s="104"/>
      <c r="G52" s="104"/>
      <c r="H52" s="104"/>
      <c r="I52" s="104"/>
      <c r="J52" s="104"/>
      <c r="K52" s="104"/>
      <c r="L52" s="104"/>
      <c r="M52" s="104"/>
      <c r="N52" s="104"/>
      <c r="O52" s="104"/>
      <c r="P52" s="104"/>
      <c r="Q52" s="104"/>
      <c r="R52" s="104"/>
    </row>
    <row r="53" spans="1:18" x14ac:dyDescent="0.25">
      <c r="A53" s="104">
        <v>5</v>
      </c>
      <c r="B53" s="116">
        <f>B52*(1-'Game Assumptions'!$B$15)</f>
        <v>0.92264062500000021</v>
      </c>
      <c r="C53" s="116">
        <f>C52*(1-'Game Assumptions'!$B$16)</f>
        <v>1.2666326879074998</v>
      </c>
      <c r="D53" s="104"/>
      <c r="E53" s="104"/>
      <c r="F53" s="104"/>
      <c r="G53" s="104"/>
      <c r="H53" s="104"/>
      <c r="I53" s="104"/>
      <c r="J53" s="104"/>
      <c r="K53" s="104"/>
      <c r="L53" s="104"/>
      <c r="M53" s="104"/>
      <c r="N53" s="104"/>
      <c r="O53" s="104"/>
      <c r="P53" s="104"/>
      <c r="Q53" s="104"/>
      <c r="R53" s="104"/>
    </row>
    <row r="54" spans="1:18" x14ac:dyDescent="0.25">
      <c r="A54" s="104">
        <v>6</v>
      </c>
      <c r="B54" s="116">
        <f>B53*(1-'Game Assumptions'!$B$15)</f>
        <v>0.83037656250000025</v>
      </c>
      <c r="C54" s="116">
        <f>C53*(1-'Game Assumptions'!$B$16)</f>
        <v>1.2286337072702749</v>
      </c>
      <c r="D54" s="104"/>
      <c r="E54" s="104"/>
      <c r="F54" s="104"/>
      <c r="G54" s="104"/>
      <c r="H54" s="104"/>
      <c r="I54" s="104"/>
      <c r="J54" s="104"/>
      <c r="K54" s="104"/>
      <c r="L54" s="104"/>
      <c r="M54" s="104"/>
      <c r="N54" s="104"/>
      <c r="O54" s="104"/>
      <c r="P54" s="104"/>
      <c r="Q54" s="104"/>
      <c r="R54" s="104"/>
    </row>
    <row r="55" spans="1:18" x14ac:dyDescent="0.25">
      <c r="A55" s="104">
        <v>7</v>
      </c>
      <c r="B55" s="116">
        <f>B54*(1-'Game Assumptions'!$B$15)</f>
        <v>0.74733890625000021</v>
      </c>
      <c r="C55" s="116">
        <f>C54*(1-'Game Assumptions'!$B$16)</f>
        <v>1.1917746960521667</v>
      </c>
      <c r="D55" s="104"/>
      <c r="E55" s="104"/>
      <c r="F55" s="104"/>
      <c r="G55" s="104"/>
      <c r="H55" s="104"/>
      <c r="I55" s="104"/>
      <c r="J55" s="104"/>
      <c r="K55" s="104"/>
      <c r="L55" s="104"/>
      <c r="M55" s="104"/>
      <c r="N55" s="104"/>
      <c r="O55" s="104"/>
      <c r="P55" s="104"/>
      <c r="Q55" s="104"/>
      <c r="R55" s="104"/>
    </row>
    <row r="56" spans="1:18" x14ac:dyDescent="0.25">
      <c r="A56" s="104">
        <v>8</v>
      </c>
      <c r="B56" s="116">
        <f>B55*(1-'Game Assumptions'!$B$15)</f>
        <v>0.67260501562500019</v>
      </c>
      <c r="C56" s="116">
        <f>C55*(1-'Game Assumptions'!$B$16)</f>
        <v>1.1560214551706016</v>
      </c>
      <c r="D56" s="104"/>
      <c r="E56" s="104"/>
      <c r="F56" s="104"/>
      <c r="G56" s="104"/>
      <c r="H56" s="104"/>
      <c r="I56" s="104"/>
      <c r="J56" s="104"/>
      <c r="K56" s="104"/>
      <c r="L56" s="104"/>
      <c r="M56" s="104"/>
      <c r="N56" s="104"/>
      <c r="O56" s="104"/>
      <c r="P56" s="104"/>
      <c r="Q56" s="104"/>
      <c r="R56" s="104"/>
    </row>
    <row r="57" spans="1:18" x14ac:dyDescent="0.25">
      <c r="A57" s="104">
        <v>9</v>
      </c>
      <c r="B57" s="116">
        <f>B56*(1-'Game Assumptions'!$B$15)</f>
        <v>0.60534451406250023</v>
      </c>
      <c r="C57" s="116">
        <f>C56*(1-'Game Assumptions'!$B$16)</f>
        <v>1.1213408115154835</v>
      </c>
      <c r="D57" s="104"/>
      <c r="E57" s="104"/>
      <c r="F57" s="104"/>
      <c r="G57" s="104"/>
      <c r="H57" s="104"/>
      <c r="I57" s="104"/>
      <c r="J57" s="104"/>
      <c r="K57" s="104"/>
      <c r="L57" s="104"/>
      <c r="M57" s="104"/>
      <c r="N57" s="104"/>
      <c r="O57" s="104"/>
      <c r="P57" s="104"/>
      <c r="Q57" s="104"/>
      <c r="R57" s="104"/>
    </row>
    <row r="58" spans="1:18" x14ac:dyDescent="0.25">
      <c r="A58" s="104">
        <v>10</v>
      </c>
      <c r="B58" s="116">
        <f>B57*(1-'Game Assumptions'!$B$15)</f>
        <v>0.5448100626562502</v>
      </c>
      <c r="C58" s="116">
        <f>C57*(1-'Game Assumptions'!$B$16)</f>
        <v>1.0877005871700189</v>
      </c>
      <c r="D58" s="104"/>
      <c r="E58" s="104"/>
      <c r="F58" s="104"/>
      <c r="G58" s="104"/>
      <c r="H58" s="104"/>
      <c r="I58" s="104"/>
      <c r="J58" s="104"/>
      <c r="K58" s="104"/>
      <c r="L58" s="104"/>
      <c r="M58" s="104"/>
      <c r="N58" s="104"/>
      <c r="O58" s="104"/>
      <c r="P58" s="104"/>
      <c r="Q58" s="104"/>
      <c r="R58" s="104"/>
    </row>
    <row r="59" spans="1:18" x14ac:dyDescent="0.25">
      <c r="A59" s="104"/>
      <c r="B59" s="104"/>
      <c r="C59" s="104"/>
      <c r="D59" s="104"/>
      <c r="E59" s="104"/>
      <c r="F59" s="104"/>
      <c r="G59" s="104"/>
      <c r="H59" s="104"/>
      <c r="I59" s="104"/>
      <c r="J59" s="104"/>
      <c r="K59" s="104"/>
      <c r="L59" s="104"/>
      <c r="M59" s="104"/>
      <c r="N59" s="104"/>
      <c r="O59" s="104"/>
      <c r="P59" s="104"/>
      <c r="Q59" s="104"/>
      <c r="R59" s="104"/>
    </row>
    <row r="60" spans="1:18" x14ac:dyDescent="0.25">
      <c r="A60" s="104"/>
      <c r="B60" s="104"/>
      <c r="C60" s="104"/>
      <c r="D60" s="104"/>
      <c r="E60" s="104"/>
      <c r="F60" s="104"/>
      <c r="G60" s="104"/>
      <c r="H60" s="104"/>
      <c r="I60" s="104"/>
      <c r="J60" s="104"/>
      <c r="K60" s="104"/>
      <c r="L60" s="104"/>
      <c r="M60" s="104"/>
      <c r="N60" s="104"/>
      <c r="O60" s="104"/>
      <c r="P60" s="104"/>
      <c r="Q60" s="104"/>
      <c r="R60" s="104"/>
    </row>
    <row r="61" spans="1:18" x14ac:dyDescent="0.25">
      <c r="A61" s="104"/>
      <c r="B61" s="104"/>
      <c r="C61" s="104"/>
      <c r="D61" s="104"/>
      <c r="E61" s="104"/>
      <c r="F61" s="104"/>
      <c r="G61" s="104"/>
      <c r="H61" s="104"/>
      <c r="I61" s="104"/>
      <c r="J61" s="104"/>
      <c r="K61" s="104"/>
      <c r="L61" s="104"/>
      <c r="M61" s="104"/>
      <c r="N61" s="104"/>
      <c r="O61" s="104"/>
      <c r="P61" s="104"/>
      <c r="Q61" s="104"/>
      <c r="R61" s="104"/>
    </row>
    <row r="62" spans="1:18" x14ac:dyDescent="0.25">
      <c r="A62" s="104"/>
      <c r="B62" s="104"/>
      <c r="C62" s="104"/>
      <c r="D62" s="104"/>
      <c r="E62" s="104"/>
      <c r="F62" s="104"/>
      <c r="G62" s="104"/>
      <c r="H62" s="104"/>
      <c r="I62" s="104"/>
      <c r="J62" s="104"/>
      <c r="K62" s="104"/>
      <c r="L62" s="104"/>
      <c r="M62" s="104"/>
      <c r="N62" s="104"/>
      <c r="O62" s="104"/>
      <c r="P62" s="104"/>
      <c r="Q62" s="104"/>
      <c r="R62" s="104"/>
    </row>
    <row r="63" spans="1:18" ht="18.75" x14ac:dyDescent="0.3">
      <c r="A63" s="115" t="s">
        <v>380</v>
      </c>
      <c r="C63" s="104"/>
      <c r="D63" s="104"/>
      <c r="E63" s="104"/>
      <c r="F63" s="104"/>
      <c r="G63" s="104"/>
      <c r="H63" s="104"/>
      <c r="I63" s="104"/>
      <c r="J63" s="104"/>
      <c r="K63" s="104"/>
      <c r="L63" s="104"/>
      <c r="M63" s="104"/>
      <c r="N63" s="104"/>
      <c r="O63" s="104"/>
      <c r="P63" s="104"/>
      <c r="Q63" s="104"/>
      <c r="R63" s="104"/>
    </row>
    <row r="64" spans="1:18" x14ac:dyDescent="0.25">
      <c r="A64" s="104"/>
      <c r="B64" s="104"/>
      <c r="C64" s="104"/>
      <c r="D64" s="104"/>
      <c r="E64" s="104"/>
      <c r="F64" s="104"/>
      <c r="G64" s="104"/>
      <c r="H64" s="104"/>
      <c r="I64" s="104"/>
      <c r="J64" s="104"/>
      <c r="K64" s="104"/>
      <c r="L64" s="104"/>
      <c r="M64" s="104"/>
      <c r="N64" s="104"/>
      <c r="O64" s="104"/>
      <c r="P64" s="104"/>
      <c r="Q64" s="104"/>
      <c r="R64" s="104"/>
    </row>
    <row r="65" spans="1:18" x14ac:dyDescent="0.25">
      <c r="A65" s="104"/>
      <c r="B65" s="104"/>
      <c r="C65" s="104"/>
      <c r="D65" s="104"/>
      <c r="E65" s="104"/>
      <c r="F65" s="104"/>
      <c r="G65" s="104"/>
      <c r="H65" s="104"/>
      <c r="I65" s="104"/>
      <c r="J65" s="104"/>
      <c r="K65" s="104"/>
      <c r="L65" s="104"/>
      <c r="M65" s="104"/>
      <c r="N65" s="104"/>
      <c r="O65" s="104"/>
      <c r="P65" s="104"/>
      <c r="Q65" s="104"/>
      <c r="R65" s="104"/>
    </row>
    <row r="66" spans="1:18" x14ac:dyDescent="0.25">
      <c r="A66" s="104"/>
      <c r="B66" s="104"/>
      <c r="C66" s="104"/>
      <c r="D66" s="104"/>
      <c r="E66" s="104"/>
      <c r="F66" s="104"/>
      <c r="G66" s="104"/>
      <c r="H66" s="104"/>
      <c r="I66" s="104"/>
      <c r="J66" s="104"/>
      <c r="K66" s="104"/>
      <c r="L66" s="104"/>
      <c r="M66" s="104"/>
      <c r="N66" s="104"/>
      <c r="O66" s="104"/>
      <c r="P66" s="104"/>
      <c r="Q66" s="104"/>
      <c r="R66" s="104"/>
    </row>
    <row r="67" spans="1:18" x14ac:dyDescent="0.25">
      <c r="A67" s="104"/>
      <c r="B67" s="104"/>
      <c r="C67" s="104"/>
      <c r="D67" s="104"/>
      <c r="E67" s="104"/>
      <c r="F67" s="104"/>
      <c r="G67" s="104"/>
      <c r="H67" s="104"/>
      <c r="I67" s="104"/>
      <c r="J67" s="104"/>
      <c r="K67" s="104"/>
      <c r="L67" s="104"/>
      <c r="M67" s="104"/>
      <c r="N67" s="104"/>
      <c r="O67" s="104"/>
      <c r="P67" s="104"/>
      <c r="Q67" s="104"/>
      <c r="R67" s="104"/>
    </row>
    <row r="68" spans="1:18" x14ac:dyDescent="0.25">
      <c r="A68" s="104"/>
      <c r="B68" s="104"/>
      <c r="C68" s="104"/>
      <c r="D68" s="104"/>
      <c r="E68" s="104"/>
      <c r="F68" s="104"/>
      <c r="G68" s="104"/>
      <c r="H68" s="104"/>
      <c r="I68" s="104"/>
      <c r="J68" s="104"/>
      <c r="K68" s="104"/>
      <c r="L68" s="104"/>
      <c r="M68" s="104"/>
      <c r="N68" s="104"/>
      <c r="O68" s="104"/>
      <c r="P68" s="104"/>
      <c r="Q68" s="104"/>
      <c r="R68" s="104"/>
    </row>
    <row r="69" spans="1:18" x14ac:dyDescent="0.25">
      <c r="A69" s="104"/>
      <c r="B69" s="104"/>
      <c r="C69" s="104"/>
      <c r="D69" s="104"/>
      <c r="E69" s="104"/>
      <c r="F69" s="104"/>
      <c r="G69" s="104"/>
      <c r="H69" s="104"/>
      <c r="I69" s="104"/>
      <c r="J69" s="104"/>
      <c r="K69" s="104"/>
      <c r="L69" s="104"/>
      <c r="M69" s="104"/>
      <c r="N69" s="104"/>
      <c r="O69" s="104"/>
      <c r="P69" s="104"/>
      <c r="Q69" s="104"/>
      <c r="R69" s="104"/>
    </row>
    <row r="70" spans="1:18" x14ac:dyDescent="0.25">
      <c r="A70" s="104"/>
      <c r="B70" s="104"/>
      <c r="C70" s="104"/>
      <c r="D70" s="104"/>
      <c r="E70" s="104"/>
      <c r="F70" s="104"/>
      <c r="G70" s="104"/>
      <c r="H70" s="104"/>
      <c r="I70" s="104"/>
      <c r="J70" s="104"/>
      <c r="K70" s="104"/>
      <c r="L70" s="104"/>
      <c r="M70" s="104"/>
      <c r="N70" s="104"/>
      <c r="O70" s="104"/>
      <c r="P70" s="104"/>
      <c r="Q70" s="104"/>
      <c r="R70" s="104"/>
    </row>
    <row r="71" spans="1:18" x14ac:dyDescent="0.25">
      <c r="A71" s="104"/>
      <c r="B71" s="104"/>
      <c r="C71" s="104"/>
      <c r="D71" s="104"/>
      <c r="E71" s="104"/>
      <c r="F71" s="104"/>
      <c r="G71" s="104"/>
      <c r="H71" s="104"/>
      <c r="I71" s="104"/>
      <c r="J71" s="104"/>
      <c r="K71" s="104"/>
      <c r="L71" s="104"/>
      <c r="M71" s="104"/>
      <c r="N71" s="104"/>
      <c r="O71" s="104"/>
      <c r="P71" s="104"/>
      <c r="Q71" s="104"/>
      <c r="R71" s="104"/>
    </row>
    <row r="72" spans="1:18" x14ac:dyDescent="0.25">
      <c r="A72" s="104"/>
      <c r="B72" s="104"/>
      <c r="C72" s="104"/>
      <c r="D72" s="104"/>
      <c r="E72" s="104"/>
      <c r="F72" s="104"/>
      <c r="G72" s="104"/>
      <c r="H72" s="104"/>
      <c r="I72" s="104"/>
      <c r="J72" s="104"/>
      <c r="K72" s="104"/>
      <c r="L72" s="104"/>
      <c r="M72" s="104"/>
      <c r="N72" s="104"/>
      <c r="O72" s="104"/>
      <c r="P72" s="104"/>
      <c r="Q72" s="104"/>
      <c r="R72" s="104"/>
    </row>
    <row r="73" spans="1:18" x14ac:dyDescent="0.25">
      <c r="A73" s="104"/>
      <c r="B73" s="104"/>
      <c r="C73" s="104"/>
      <c r="D73" s="104"/>
      <c r="E73" s="104"/>
      <c r="F73" s="104"/>
      <c r="G73" s="104"/>
      <c r="H73" s="104"/>
      <c r="I73" s="104"/>
      <c r="J73" s="104"/>
      <c r="K73" s="104"/>
      <c r="L73" s="104"/>
      <c r="M73" s="104"/>
      <c r="N73" s="104"/>
      <c r="O73" s="104"/>
      <c r="P73" s="104"/>
      <c r="Q73" s="104"/>
      <c r="R73" s="104"/>
    </row>
    <row r="74" spans="1:18" x14ac:dyDescent="0.25">
      <c r="A74" s="104"/>
      <c r="B74" s="104"/>
      <c r="C74" s="104"/>
      <c r="D74" s="104"/>
      <c r="E74" s="104"/>
      <c r="F74" s="104"/>
      <c r="G74" s="104"/>
      <c r="H74" s="104"/>
      <c r="I74" s="104"/>
      <c r="J74" s="104"/>
      <c r="K74" s="104"/>
      <c r="L74" s="104"/>
      <c r="M74" s="104"/>
      <c r="N74" s="104"/>
      <c r="O74" s="104"/>
      <c r="P74" s="104"/>
      <c r="Q74" s="104"/>
      <c r="R74" s="104"/>
    </row>
    <row r="75" spans="1:18" x14ac:dyDescent="0.25">
      <c r="A75" s="104"/>
      <c r="B75" s="104"/>
      <c r="C75" s="104"/>
      <c r="D75" s="104"/>
      <c r="E75" s="104"/>
      <c r="F75" s="104"/>
      <c r="G75" s="104"/>
      <c r="H75" s="104"/>
      <c r="I75" s="104"/>
      <c r="J75" s="104"/>
      <c r="K75" s="104"/>
      <c r="L75" s="104"/>
      <c r="M75" s="104"/>
      <c r="N75" s="104"/>
      <c r="O75" s="104"/>
      <c r="P75" s="104"/>
      <c r="Q75" s="104"/>
      <c r="R75" s="104"/>
    </row>
    <row r="76" spans="1:18" x14ac:dyDescent="0.25">
      <c r="A76" s="104"/>
      <c r="B76" s="104"/>
      <c r="C76" s="104"/>
      <c r="D76" s="104"/>
      <c r="E76" s="104"/>
      <c r="F76" s="104"/>
      <c r="G76" s="104"/>
      <c r="H76" s="104"/>
      <c r="I76" s="104"/>
      <c r="J76" s="104"/>
      <c r="K76" s="104"/>
      <c r="L76" s="104"/>
      <c r="M76" s="104"/>
      <c r="N76" s="104"/>
      <c r="O76" s="104"/>
      <c r="P76" s="104"/>
      <c r="Q76" s="104"/>
      <c r="R76" s="104"/>
    </row>
    <row r="77" spans="1:18" x14ac:dyDescent="0.25">
      <c r="A77" s="104"/>
      <c r="B77" s="104"/>
      <c r="C77" s="104"/>
      <c r="D77" s="104"/>
      <c r="E77" s="104"/>
      <c r="F77" s="104"/>
      <c r="G77" s="104"/>
      <c r="H77" s="104"/>
      <c r="I77" s="104"/>
      <c r="J77" s="104"/>
      <c r="K77" s="104"/>
      <c r="L77" s="104"/>
      <c r="M77" s="104"/>
      <c r="N77" s="104"/>
      <c r="O77" s="104"/>
      <c r="P77" s="104"/>
      <c r="Q77" s="104"/>
      <c r="R77" s="104"/>
    </row>
    <row r="78" spans="1:18" x14ac:dyDescent="0.25">
      <c r="A78" s="104"/>
      <c r="B78" s="104"/>
      <c r="C78" s="104"/>
      <c r="D78" s="104"/>
      <c r="E78" s="104"/>
      <c r="F78" s="104"/>
      <c r="G78" s="104"/>
      <c r="H78" s="104"/>
      <c r="I78" s="104"/>
      <c r="J78" s="104"/>
      <c r="K78" s="104"/>
      <c r="L78" s="104"/>
      <c r="M78" s="104"/>
      <c r="N78" s="104"/>
      <c r="O78" s="104"/>
      <c r="P78" s="104"/>
      <c r="Q78" s="104"/>
      <c r="R78" s="104"/>
    </row>
    <row r="79" spans="1:18" x14ac:dyDescent="0.25">
      <c r="A79" s="104"/>
      <c r="B79" s="104"/>
      <c r="C79" s="104"/>
      <c r="D79" s="104"/>
      <c r="E79" s="104"/>
      <c r="F79" s="104"/>
      <c r="G79" s="104"/>
      <c r="H79" s="104"/>
      <c r="I79" s="104"/>
      <c r="J79" s="104"/>
      <c r="K79" s="104"/>
      <c r="L79" s="104"/>
      <c r="M79" s="104"/>
      <c r="N79" s="104"/>
      <c r="O79" s="104"/>
      <c r="P79" s="104"/>
      <c r="Q79" s="104"/>
      <c r="R79" s="104"/>
    </row>
    <row r="80" spans="1:18" x14ac:dyDescent="0.25">
      <c r="A80" s="104"/>
      <c r="B80" s="104"/>
      <c r="C80" s="104"/>
      <c r="D80" s="104"/>
      <c r="E80" s="104"/>
      <c r="F80" s="104"/>
      <c r="G80" s="104"/>
      <c r="H80" s="104"/>
      <c r="I80" s="104"/>
      <c r="J80" s="104"/>
      <c r="K80" s="104"/>
      <c r="L80" s="104"/>
      <c r="M80" s="104"/>
      <c r="N80" s="104"/>
      <c r="O80" s="104"/>
      <c r="P80" s="104"/>
      <c r="Q80" s="104"/>
      <c r="R80" s="104"/>
    </row>
    <row r="81" spans="1:18" x14ac:dyDescent="0.25">
      <c r="A81" s="104"/>
      <c r="B81" s="104"/>
      <c r="C81" s="104"/>
      <c r="D81" s="104"/>
      <c r="E81" s="104"/>
      <c r="F81" s="104"/>
      <c r="G81" s="104"/>
      <c r="H81" s="104"/>
      <c r="I81" s="104"/>
      <c r="J81" s="104"/>
      <c r="K81" s="104"/>
      <c r="L81" s="104"/>
      <c r="M81" s="104"/>
      <c r="N81" s="104"/>
      <c r="O81" s="104"/>
      <c r="P81" s="104"/>
      <c r="Q81" s="104"/>
      <c r="R81" s="104"/>
    </row>
    <row r="82" spans="1:18" x14ac:dyDescent="0.25">
      <c r="A82" s="104"/>
      <c r="B82" s="104"/>
      <c r="C82" s="104"/>
      <c r="D82" s="104"/>
      <c r="E82" s="104"/>
      <c r="F82" s="104"/>
      <c r="G82" s="104"/>
      <c r="H82" s="104"/>
      <c r="I82" s="104"/>
      <c r="J82" s="104"/>
      <c r="K82" s="104"/>
      <c r="L82" s="104"/>
      <c r="M82" s="104"/>
      <c r="N82" s="104"/>
      <c r="O82" s="104"/>
      <c r="P82" s="104"/>
      <c r="Q82" s="104"/>
      <c r="R82" s="104"/>
    </row>
    <row r="83" spans="1:18" x14ac:dyDescent="0.25">
      <c r="A83" s="104"/>
      <c r="B83" s="104"/>
      <c r="C83" s="104"/>
      <c r="D83" s="104"/>
      <c r="E83" s="104"/>
      <c r="F83" s="104"/>
      <c r="G83" s="104"/>
      <c r="H83" s="104"/>
      <c r="I83" s="104"/>
      <c r="J83" s="104"/>
      <c r="K83" s="104"/>
      <c r="L83" s="104"/>
      <c r="M83" s="104"/>
      <c r="N83" s="104"/>
      <c r="O83" s="104"/>
      <c r="P83" s="104"/>
      <c r="Q83" s="104"/>
      <c r="R83" s="104"/>
    </row>
    <row r="84" spans="1:18" x14ac:dyDescent="0.25">
      <c r="A84" s="104"/>
      <c r="B84" s="104"/>
      <c r="C84" s="104"/>
      <c r="D84" s="104"/>
      <c r="E84" s="104"/>
      <c r="F84" s="104"/>
      <c r="G84" s="104"/>
      <c r="H84" s="104"/>
      <c r="I84" s="104"/>
      <c r="J84" s="104"/>
      <c r="K84" s="104"/>
      <c r="L84" s="104"/>
      <c r="M84" s="104"/>
      <c r="N84" s="104"/>
      <c r="O84" s="104"/>
      <c r="P84" s="104"/>
      <c r="Q84" s="104"/>
      <c r="R84" s="104"/>
    </row>
    <row r="85" spans="1:18" x14ac:dyDescent="0.25">
      <c r="A85" s="104"/>
      <c r="B85" s="104"/>
      <c r="C85" s="104"/>
      <c r="D85" s="104"/>
      <c r="E85" s="104"/>
      <c r="F85" s="104"/>
      <c r="G85" s="104"/>
      <c r="H85" s="104"/>
      <c r="I85" s="104"/>
      <c r="J85" s="104"/>
      <c r="K85" s="104"/>
      <c r="L85" s="104"/>
      <c r="M85" s="104"/>
      <c r="N85" s="104"/>
      <c r="O85" s="104"/>
      <c r="P85" s="104"/>
      <c r="Q85" s="104"/>
      <c r="R85" s="104"/>
    </row>
    <row r="86" spans="1:18" x14ac:dyDescent="0.25">
      <c r="A86" s="104"/>
      <c r="B86" s="104"/>
      <c r="C86" s="104"/>
      <c r="D86" s="104"/>
      <c r="E86" s="104"/>
      <c r="F86" s="104"/>
      <c r="G86" s="104"/>
      <c r="H86" s="104"/>
      <c r="I86" s="104"/>
      <c r="J86" s="104"/>
      <c r="K86" s="104"/>
      <c r="L86" s="104"/>
      <c r="M86" s="104"/>
      <c r="N86" s="104"/>
      <c r="O86" s="104"/>
      <c r="P86" s="104"/>
      <c r="Q86" s="104"/>
      <c r="R86" s="104"/>
    </row>
    <row r="87" spans="1:18" x14ac:dyDescent="0.25">
      <c r="A87" s="104"/>
      <c r="B87" s="104"/>
      <c r="C87" s="104"/>
      <c r="D87" s="104"/>
      <c r="E87" s="104"/>
      <c r="F87" s="104"/>
      <c r="G87" s="104"/>
      <c r="H87" s="104"/>
      <c r="I87" s="104"/>
      <c r="J87" s="104"/>
      <c r="K87" s="104"/>
      <c r="L87" s="104"/>
      <c r="M87" s="104"/>
      <c r="N87" s="104"/>
      <c r="O87" s="104"/>
      <c r="P87" s="104"/>
      <c r="Q87" s="104"/>
      <c r="R87" s="104"/>
    </row>
    <row r="88" spans="1:18" x14ac:dyDescent="0.25">
      <c r="A88" s="104"/>
      <c r="B88" s="104"/>
      <c r="C88" s="104"/>
      <c r="D88" s="104"/>
      <c r="E88" s="104"/>
      <c r="F88" s="104"/>
      <c r="G88" s="104"/>
      <c r="H88" s="104"/>
      <c r="I88" s="104"/>
      <c r="J88" s="104"/>
      <c r="K88" s="104"/>
      <c r="L88" s="104"/>
      <c r="M88" s="104"/>
      <c r="N88" s="104"/>
      <c r="O88" s="104"/>
      <c r="P88" s="104"/>
      <c r="Q88" s="104"/>
      <c r="R88" s="104"/>
    </row>
    <row r="89" spans="1:18" x14ac:dyDescent="0.25">
      <c r="A89" s="104"/>
      <c r="B89" s="104"/>
      <c r="C89" s="104"/>
      <c r="D89" s="104"/>
      <c r="E89" s="104"/>
      <c r="F89" s="104"/>
      <c r="G89" s="104"/>
      <c r="H89" s="104"/>
      <c r="I89" s="104"/>
      <c r="J89" s="104"/>
      <c r="K89" s="104"/>
      <c r="L89" s="104"/>
      <c r="M89" s="104"/>
      <c r="N89" s="104"/>
      <c r="O89" s="104"/>
      <c r="P89" s="104"/>
      <c r="Q89" s="104"/>
      <c r="R89" s="104"/>
    </row>
    <row r="90" spans="1:18" x14ac:dyDescent="0.25">
      <c r="A90" s="104"/>
      <c r="B90" s="104"/>
      <c r="C90" s="104"/>
      <c r="D90" s="104"/>
      <c r="E90" s="104"/>
      <c r="F90" s="104"/>
      <c r="G90" s="104"/>
      <c r="H90" s="104"/>
      <c r="I90" s="104"/>
      <c r="J90" s="104"/>
      <c r="K90" s="104"/>
      <c r="L90" s="104"/>
      <c r="M90" s="104"/>
      <c r="N90" s="104"/>
      <c r="O90" s="104"/>
      <c r="P90" s="104"/>
      <c r="Q90" s="104"/>
      <c r="R90" s="104"/>
    </row>
    <row r="91" spans="1:18" x14ac:dyDescent="0.25">
      <c r="A91" s="104"/>
      <c r="B91" s="104"/>
      <c r="C91" s="104"/>
      <c r="D91" s="104"/>
      <c r="E91" s="104"/>
      <c r="F91" s="104"/>
      <c r="G91" s="104"/>
      <c r="H91" s="104"/>
      <c r="I91" s="104"/>
      <c r="J91" s="104"/>
      <c r="K91" s="104"/>
      <c r="L91" s="104"/>
      <c r="M91" s="104"/>
      <c r="N91" s="104"/>
      <c r="O91" s="104"/>
      <c r="P91" s="104"/>
      <c r="Q91" s="104"/>
      <c r="R91" s="104"/>
    </row>
  </sheetData>
  <mergeCells count="6">
    <mergeCell ref="A1:N1"/>
    <mergeCell ref="A5:N5"/>
    <mergeCell ref="A6:F6"/>
    <mergeCell ref="A45:F45"/>
    <mergeCell ref="B2:F2"/>
    <mergeCell ref="B3:F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0000000}">
          <x14:formula1>
            <xm:f>'Game Properties'!$A$2:$A$4</xm:f>
          </x14:formula1>
          <xm:sqref>B3</xm:sqref>
        </x14:dataValidation>
        <x14:dataValidation type="list" allowBlank="1" showInputMessage="1" showErrorMessage="1" xr:uid="{00000000-0002-0000-0000-000001000000}">
          <x14:formula1>
            <xm:f>Gameplay!$D$3:$D$3</xm:f>
          </x14:formula1>
          <xm:sqref>B38 B28 B18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B050"/>
  </sheetPr>
  <dimension ref="A1:AB61"/>
  <sheetViews>
    <sheetView zoomScale="70" zoomScaleNormal="70" workbookViewId="0">
      <selection activeCell="D27" sqref="D27"/>
    </sheetView>
  </sheetViews>
  <sheetFormatPr defaultRowHeight="15" x14ac:dyDescent="0.25"/>
  <cols>
    <col min="1" max="1" width="40.7109375" customWidth="1"/>
    <col min="2" max="2" width="25.85546875" customWidth="1"/>
    <col min="3" max="3" width="13.28515625" customWidth="1"/>
    <col min="4" max="4" width="23.42578125" customWidth="1"/>
    <col min="5" max="5" width="2.140625" customWidth="1"/>
    <col min="6" max="6" width="18.28515625" customWidth="1"/>
    <col min="7" max="7" width="61.42578125" customWidth="1"/>
    <col min="8" max="8" width="1.42578125" customWidth="1"/>
    <col min="9" max="9" width="28.85546875" customWidth="1"/>
    <col min="10" max="10" width="55.5703125" customWidth="1"/>
  </cols>
  <sheetData>
    <row r="1" spans="1:28" ht="18.600000000000001" customHeight="1" x14ac:dyDescent="0.3">
      <c r="A1" s="179" t="str">
        <f>IF('Initial Setup'!B2="","",CONCATENATE('Initial Setup'!B2,"'s"," Metrics and Options"))</f>
        <v>[Insert Utility Name Here]'s Metrics and Options</v>
      </c>
      <c r="B1" s="179"/>
      <c r="C1" s="179"/>
      <c r="D1" s="179"/>
      <c r="E1" s="179"/>
      <c r="F1" s="179"/>
      <c r="G1" s="179"/>
      <c r="H1" s="179"/>
      <c r="I1" s="179"/>
      <c r="J1" s="179"/>
      <c r="K1" s="104"/>
      <c r="L1" s="104"/>
      <c r="M1" s="104"/>
      <c r="N1" s="104"/>
      <c r="O1" s="104"/>
      <c r="P1" s="104"/>
      <c r="Q1" s="104"/>
      <c r="R1" s="104"/>
      <c r="S1" s="104"/>
      <c r="T1" s="104"/>
      <c r="U1" s="104"/>
      <c r="V1" s="104"/>
      <c r="W1" s="104"/>
      <c r="X1" s="104"/>
      <c r="Y1" s="104"/>
      <c r="Z1" s="104"/>
      <c r="AA1" s="104"/>
      <c r="AB1" s="104"/>
    </row>
    <row r="2" spans="1:28" ht="18.95" customHeight="1" thickBot="1" x14ac:dyDescent="0.35">
      <c r="A2" s="179" t="str">
        <f>CONCATENATE("Round ",'Event Tracker'!P1)</f>
        <v>Round 0</v>
      </c>
      <c r="B2" s="179"/>
      <c r="C2" s="179"/>
      <c r="D2" s="179"/>
      <c r="E2" s="179"/>
      <c r="F2" s="179"/>
      <c r="G2" s="179"/>
      <c r="H2" s="179"/>
      <c r="I2" s="179"/>
      <c r="J2" s="179"/>
      <c r="K2" s="104"/>
      <c r="L2" s="104"/>
      <c r="M2" s="104"/>
      <c r="N2" s="104"/>
      <c r="O2" s="104"/>
      <c r="P2" s="104"/>
      <c r="Q2" s="104"/>
      <c r="R2" s="104"/>
      <c r="S2" s="104"/>
      <c r="T2" s="104"/>
      <c r="U2" s="104"/>
      <c r="V2" s="104"/>
      <c r="W2" s="104"/>
      <c r="X2" s="104"/>
      <c r="Y2" s="104"/>
      <c r="Z2" s="104"/>
      <c r="AA2" s="104"/>
      <c r="AB2" s="104"/>
    </row>
    <row r="3" spans="1:28" ht="25.5" customHeight="1" x14ac:dyDescent="0.25">
      <c r="A3" s="174" t="s">
        <v>329</v>
      </c>
      <c r="B3" s="175"/>
      <c r="C3" s="175"/>
      <c r="D3" s="176"/>
      <c r="E3" s="134"/>
      <c r="F3" s="165" t="s">
        <v>403</v>
      </c>
      <c r="G3" s="166"/>
      <c r="H3" s="134"/>
      <c r="I3" s="165" t="s">
        <v>414</v>
      </c>
      <c r="J3" s="166"/>
      <c r="K3" s="104"/>
      <c r="L3" s="104"/>
      <c r="M3" s="104"/>
      <c r="N3" s="104"/>
      <c r="O3" s="104"/>
      <c r="P3" s="104"/>
      <c r="Q3" s="104"/>
      <c r="R3" s="104"/>
      <c r="S3" s="104"/>
      <c r="T3" s="104"/>
      <c r="U3" s="104"/>
      <c r="V3" s="104"/>
      <c r="W3" s="104"/>
      <c r="X3" s="104"/>
      <c r="Y3" s="104"/>
      <c r="Z3" s="104"/>
      <c r="AA3" s="104"/>
      <c r="AB3" s="104"/>
    </row>
    <row r="4" spans="1:28" s="66" customFormat="1" ht="40.5" customHeight="1" x14ac:dyDescent="0.25">
      <c r="A4" s="135" t="s">
        <v>332</v>
      </c>
      <c r="B4" s="136" t="s">
        <v>328</v>
      </c>
      <c r="C4" s="136" t="s">
        <v>331</v>
      </c>
      <c r="D4" s="137" t="s">
        <v>330</v>
      </c>
      <c r="E4" s="107"/>
      <c r="F4" s="186">
        <f>INDEX('Customer Bills'!$C$12:$L$12,1,Current_Round)</f>
        <v>66.340367513766708</v>
      </c>
      <c r="G4" s="126"/>
      <c r="H4" s="107"/>
      <c r="I4" s="177">
        <f>INDEX('Utility Revenue'!$C$142:$L$142,1,Current_Round)</f>
        <v>38826612.321649313</v>
      </c>
      <c r="J4" s="129"/>
      <c r="K4" s="107"/>
      <c r="L4" s="107"/>
      <c r="M4" s="107"/>
      <c r="N4" s="107"/>
      <c r="O4" s="107"/>
      <c r="P4" s="107"/>
      <c r="Q4" s="107"/>
      <c r="R4" s="107"/>
      <c r="S4" s="107"/>
      <c r="T4" s="107"/>
      <c r="U4" s="107"/>
      <c r="V4" s="107"/>
      <c r="W4" s="107"/>
      <c r="X4" s="107"/>
      <c r="Y4" s="107"/>
      <c r="Z4" s="107"/>
      <c r="AA4" s="107"/>
      <c r="AB4" s="107"/>
    </row>
    <row r="5" spans="1:28" ht="18.600000000000001" customHeight="1" x14ac:dyDescent="0.3">
      <c r="A5" s="139" t="s">
        <v>7</v>
      </c>
      <c r="B5" s="142" t="e">
        <f>INDEX('Resource Mix and Demand'!$B$24:$L$32,MATCH(Gameplay!A5,'Resource Mix and Demand'!$A$24:$A$32,0),MATCH('Event Tracker'!$P$1-1,'Resource Mix and Demand'!$B$23:$L$23,0))</f>
        <v>#N/A</v>
      </c>
      <c r="C5" s="142">
        <f>INDEX('Resource Mix and Demand'!$B$13:$L$21,MATCH(A5,'Resource Mix and Demand'!$A$13:$A$21,0),MATCH('Event Tracker'!$P$1,'Resource Mix and Demand'!$B$12:$L$12,0))</f>
        <v>0</v>
      </c>
      <c r="D5" s="140">
        <v>0</v>
      </c>
      <c r="E5" s="104"/>
      <c r="F5" s="186"/>
      <c r="G5" s="127"/>
      <c r="H5" s="104"/>
      <c r="I5" s="177"/>
      <c r="J5" s="129"/>
      <c r="K5" s="104"/>
      <c r="L5" s="104"/>
      <c r="M5" s="104"/>
      <c r="N5" s="104"/>
      <c r="O5" s="104"/>
      <c r="P5" s="104"/>
      <c r="Q5" s="104"/>
      <c r="R5" s="104"/>
      <c r="S5" s="104"/>
      <c r="T5" s="104"/>
      <c r="U5" s="104"/>
      <c r="V5" s="104"/>
      <c r="W5" s="104"/>
      <c r="X5" s="104"/>
      <c r="Y5" s="104"/>
      <c r="Z5" s="104"/>
      <c r="AA5" s="104"/>
      <c r="AB5" s="104"/>
    </row>
    <row r="6" spans="1:28" ht="18.600000000000001" customHeight="1" x14ac:dyDescent="0.3">
      <c r="A6" s="139" t="s">
        <v>8</v>
      </c>
      <c r="B6" s="142" t="e">
        <f>INDEX('Resource Mix and Demand'!$B$24:$L$32,MATCH(Gameplay!A6,'Resource Mix and Demand'!$A$24:$A$32,0),MATCH('Event Tracker'!$P$1-1,'Resource Mix and Demand'!$B$23:$L$23,0))</f>
        <v>#N/A</v>
      </c>
      <c r="C6" s="142">
        <f>INDEX('Resource Mix and Demand'!$B$13:$L$21,MATCH(A6,'Resource Mix and Demand'!$A$13:$A$21,0),MATCH('Event Tracker'!$P$1,'Resource Mix and Demand'!$B$12:$L$12,0))</f>
        <v>0</v>
      </c>
      <c r="D6" s="140">
        <v>0</v>
      </c>
      <c r="E6" s="104"/>
      <c r="F6" s="186"/>
      <c r="G6" s="127"/>
      <c r="H6" s="104"/>
      <c r="I6" s="177"/>
      <c r="J6" s="129"/>
      <c r="K6" s="104"/>
      <c r="L6" s="104"/>
      <c r="M6" s="104"/>
      <c r="N6" s="104"/>
      <c r="O6" s="104"/>
      <c r="P6" s="104"/>
      <c r="Q6" s="104"/>
      <c r="R6" s="104"/>
      <c r="S6" s="104"/>
      <c r="T6" s="104"/>
      <c r="U6" s="104"/>
      <c r="V6" s="104"/>
      <c r="W6" s="104"/>
      <c r="X6" s="104"/>
      <c r="Y6" s="104"/>
      <c r="Z6" s="104"/>
      <c r="AA6" s="104"/>
      <c r="AB6" s="104"/>
    </row>
    <row r="7" spans="1:28" ht="18.600000000000001" customHeight="1" x14ac:dyDescent="0.3">
      <c r="A7" s="139" t="s">
        <v>13</v>
      </c>
      <c r="B7" s="142" t="e">
        <f>INDEX('Resource Mix and Demand'!$B$24:$L$32,MATCH(Gameplay!A7,'Resource Mix and Demand'!$A$24:$A$32,0),MATCH('Event Tracker'!$P$1-1,'Resource Mix and Demand'!$B$23:$L$23,0))</f>
        <v>#N/A</v>
      </c>
      <c r="C7" s="142">
        <f>INDEX('Resource Mix and Demand'!$B$13:$L$21,MATCH(A7,'Resource Mix and Demand'!$A$13:$A$21,0),MATCH('Event Tracker'!$P$1,'Resource Mix and Demand'!$B$12:$L$12,0))</f>
        <v>0</v>
      </c>
      <c r="D7" s="140">
        <v>0</v>
      </c>
      <c r="E7" s="104"/>
      <c r="F7" s="186"/>
      <c r="G7" s="127"/>
      <c r="H7" s="104"/>
      <c r="I7" s="177"/>
      <c r="J7" s="129"/>
      <c r="K7" s="104"/>
      <c r="L7" s="104"/>
      <c r="M7" s="104"/>
      <c r="N7" s="104"/>
      <c r="O7" s="104"/>
      <c r="P7" s="104"/>
      <c r="Q7" s="104"/>
      <c r="R7" s="104"/>
      <c r="S7" s="104"/>
      <c r="T7" s="104"/>
      <c r="U7" s="104"/>
      <c r="V7" s="104"/>
      <c r="W7" s="104"/>
      <c r="X7" s="104"/>
      <c r="Y7" s="104"/>
      <c r="Z7" s="104"/>
      <c r="AA7" s="104"/>
      <c r="AB7" s="104"/>
    </row>
    <row r="8" spans="1:28" ht="18.600000000000001" customHeight="1" x14ac:dyDescent="0.3">
      <c r="A8" s="139" t="s">
        <v>9</v>
      </c>
      <c r="B8" s="142" t="e">
        <f>INDEX('Resource Mix and Demand'!$B$24:$L$32,MATCH(Gameplay!A8,'Resource Mix and Demand'!$A$24:$A$32,0),MATCH('Event Tracker'!$P$1-1,'Resource Mix and Demand'!$B$23:$L$23,0))</f>
        <v>#N/A</v>
      </c>
      <c r="C8" s="142">
        <f>INDEX('Resource Mix and Demand'!$B$13:$L$21,MATCH(A8,'Resource Mix and Demand'!$A$13:$A$21,0),MATCH('Event Tracker'!$P$1,'Resource Mix and Demand'!$B$12:$L$12,0))</f>
        <v>0</v>
      </c>
      <c r="D8" s="140">
        <v>0</v>
      </c>
      <c r="E8" s="104"/>
      <c r="F8" s="186"/>
      <c r="G8" s="127"/>
      <c r="H8" s="104"/>
      <c r="I8" s="177"/>
      <c r="J8" s="129"/>
      <c r="K8" s="104"/>
      <c r="L8" s="104"/>
      <c r="M8" s="104"/>
      <c r="N8" s="104"/>
      <c r="O8" s="104"/>
      <c r="P8" s="104"/>
      <c r="Q8" s="104"/>
      <c r="R8" s="104"/>
      <c r="S8" s="104"/>
      <c r="T8" s="104"/>
      <c r="U8" s="104"/>
      <c r="V8" s="104"/>
      <c r="W8" s="104"/>
      <c r="X8" s="104"/>
      <c r="Y8" s="104"/>
      <c r="Z8" s="104"/>
      <c r="AA8" s="104"/>
      <c r="AB8" s="104"/>
    </row>
    <row r="9" spans="1:28" ht="18.600000000000001" customHeight="1" x14ac:dyDescent="0.3">
      <c r="A9" s="139" t="s">
        <v>10</v>
      </c>
      <c r="B9" s="142" t="e">
        <f>INDEX('Resource Mix and Demand'!$B$24:$L$32,MATCH(Gameplay!A9,'Resource Mix and Demand'!$A$24:$A$32,0),MATCH('Event Tracker'!$P$1-1,'Resource Mix and Demand'!$B$23:$L$23,0))</f>
        <v>#N/A</v>
      </c>
      <c r="C9" s="142">
        <f>INDEX('Resource Mix and Demand'!$B$13:$L$21,MATCH(A9,'Resource Mix and Demand'!$A$13:$A$21,0),MATCH('Event Tracker'!$P$1,'Resource Mix and Demand'!$B$12:$L$12,0))</f>
        <v>0</v>
      </c>
      <c r="D9" s="140">
        <v>0</v>
      </c>
      <c r="E9" s="104"/>
      <c r="F9" s="186"/>
      <c r="G9" s="127"/>
      <c r="H9" s="104"/>
      <c r="I9" s="177"/>
      <c r="J9" s="129"/>
      <c r="K9" s="104"/>
      <c r="L9" s="104"/>
      <c r="M9" s="104"/>
      <c r="N9" s="104"/>
      <c r="O9" s="104"/>
      <c r="P9" s="104"/>
      <c r="Q9" s="104"/>
      <c r="R9" s="104"/>
      <c r="S9" s="104"/>
      <c r="T9" s="104"/>
      <c r="U9" s="104"/>
      <c r="V9" s="104"/>
      <c r="W9" s="104"/>
      <c r="X9" s="104"/>
      <c r="Y9" s="104"/>
      <c r="Z9" s="104"/>
      <c r="AA9" s="104"/>
      <c r="AB9" s="104"/>
    </row>
    <row r="10" spans="1:28" ht="18.600000000000001" customHeight="1" x14ac:dyDescent="0.3">
      <c r="A10" s="139" t="s">
        <v>11</v>
      </c>
      <c r="B10" s="142" t="e">
        <f>INDEX('Resource Mix and Demand'!$B$24:$L$32,MATCH(Gameplay!A10,'Resource Mix and Demand'!$A$24:$A$32,0),MATCH('Event Tracker'!$P$1-1,'Resource Mix and Demand'!$B$23:$L$23,0))</f>
        <v>#N/A</v>
      </c>
      <c r="C10" s="142">
        <f>INDEX('Resource Mix and Demand'!$B$13:$L$21,MATCH(A10,'Resource Mix and Demand'!$A$13:$A$21,0),MATCH('Event Tracker'!$P$1,'Resource Mix and Demand'!$B$12:$L$12,0))</f>
        <v>0</v>
      </c>
      <c r="D10" s="140">
        <v>0</v>
      </c>
      <c r="E10" s="104"/>
      <c r="F10" s="186"/>
      <c r="G10" s="127"/>
      <c r="H10" s="104"/>
      <c r="I10" s="177"/>
      <c r="J10" s="129"/>
      <c r="K10" s="104"/>
      <c r="L10" s="104"/>
      <c r="M10" s="104"/>
      <c r="N10" s="104"/>
      <c r="O10" s="104"/>
      <c r="P10" s="104"/>
      <c r="Q10" s="104"/>
      <c r="R10" s="104"/>
      <c r="S10" s="104"/>
      <c r="T10" s="104"/>
      <c r="U10" s="104"/>
      <c r="V10" s="104"/>
      <c r="W10" s="104"/>
      <c r="X10" s="104"/>
      <c r="Y10" s="104"/>
      <c r="Z10" s="104"/>
      <c r="AA10" s="104"/>
      <c r="AB10" s="104"/>
    </row>
    <row r="11" spans="1:28" ht="18.600000000000001" customHeight="1" x14ac:dyDescent="0.3">
      <c r="A11" s="139" t="s">
        <v>300</v>
      </c>
      <c r="B11" s="142" t="e">
        <f>INDEX('Resource Mix and Demand'!$B$24:$L$32,MATCH(Gameplay!A11,'Resource Mix and Demand'!$A$24:$A$32,0),MATCH('Event Tracker'!$P$1-1,'Resource Mix and Demand'!$B$23:$L$23,0))</f>
        <v>#N/A</v>
      </c>
      <c r="C11" s="142">
        <f>INDEX('Resource Mix and Demand'!$B$13:$L$21,MATCH(A11,'Resource Mix and Demand'!$A$13:$A$21,0),MATCH('Event Tracker'!$P$1,'Resource Mix and Demand'!$B$12:$L$12,0))</f>
        <v>0</v>
      </c>
      <c r="D11" s="140">
        <v>0</v>
      </c>
      <c r="E11" s="104"/>
      <c r="F11" s="186"/>
      <c r="G11" s="127"/>
      <c r="H11" s="104"/>
      <c r="I11" s="177"/>
      <c r="J11" s="129"/>
      <c r="K11" s="104"/>
      <c r="L11" s="104"/>
      <c r="M11" s="104"/>
      <c r="N11" s="104"/>
      <c r="O11" s="104"/>
      <c r="P11" s="104"/>
      <c r="Q11" s="104"/>
      <c r="R11" s="104"/>
      <c r="S11" s="104"/>
      <c r="T11" s="104"/>
      <c r="U11" s="104"/>
      <c r="V11" s="104"/>
      <c r="W11" s="104"/>
      <c r="X11" s="104"/>
      <c r="Y11" s="104"/>
      <c r="Z11" s="104"/>
      <c r="AA11" s="104"/>
      <c r="AB11" s="104"/>
    </row>
    <row r="12" spans="1:28" ht="18.600000000000001" customHeight="1" x14ac:dyDescent="0.3">
      <c r="A12" s="139" t="s">
        <v>301</v>
      </c>
      <c r="B12" s="142" t="e">
        <f>INDEX('Resource Mix and Demand'!$B$24:$L$32,MATCH(Gameplay!A12,'Resource Mix and Demand'!$A$24:$A$32,0),MATCH('Event Tracker'!$P$1-1,'Resource Mix and Demand'!$B$23:$L$23,0))</f>
        <v>#N/A</v>
      </c>
      <c r="C12" s="142">
        <f>INDEX('Resource Mix and Demand'!$B$13:$L$21,MATCH(A12,'Resource Mix and Demand'!$A$13:$A$21,0),MATCH('Event Tracker'!$P$1,'Resource Mix and Demand'!$B$12:$L$12,0))</f>
        <v>0</v>
      </c>
      <c r="D12" s="143"/>
      <c r="E12" s="104"/>
      <c r="F12" s="186"/>
      <c r="G12" s="127"/>
      <c r="H12" s="104"/>
      <c r="I12" s="177"/>
      <c r="J12" s="129"/>
      <c r="K12" s="104"/>
      <c r="L12" s="104"/>
      <c r="M12" s="104"/>
      <c r="N12" s="104"/>
      <c r="O12" s="104"/>
      <c r="P12" s="104"/>
      <c r="Q12" s="104"/>
      <c r="R12" s="104"/>
      <c r="S12" s="104"/>
      <c r="T12" s="104"/>
      <c r="U12" s="104"/>
      <c r="V12" s="104"/>
      <c r="W12" s="104"/>
      <c r="X12" s="104"/>
      <c r="Y12" s="104"/>
      <c r="Z12" s="104"/>
      <c r="AA12" s="104"/>
      <c r="AB12" s="104"/>
    </row>
    <row r="13" spans="1:28" ht="18.600000000000001" customHeight="1" thickBot="1" x14ac:dyDescent="0.35">
      <c r="A13" s="141" t="s">
        <v>302</v>
      </c>
      <c r="B13" s="144" t="e">
        <f>INDEX('Resource Mix and Demand'!$B$24:$L$32,MATCH(Gameplay!A13,'Resource Mix and Demand'!$A$24:$A$32,0),MATCH('Event Tracker'!$P$1-1,'Resource Mix and Demand'!$B$23:$L$23,0))</f>
        <v>#N/A</v>
      </c>
      <c r="C13" s="144">
        <f>INDEX('Resource Mix and Demand'!$B$13:$L$21,MATCH(A13,'Resource Mix and Demand'!$A$13:$A$21,0),MATCH('Event Tracker'!$P$1,'Resource Mix and Demand'!$B$12:$L$12,0))</f>
        <v>0</v>
      </c>
      <c r="D13" s="145"/>
      <c r="E13" s="104"/>
      <c r="F13" s="187"/>
      <c r="G13" s="128"/>
      <c r="H13" s="104"/>
      <c r="I13" s="178"/>
      <c r="J13" s="130"/>
      <c r="K13" s="104"/>
      <c r="L13" s="104"/>
      <c r="M13" s="104"/>
      <c r="N13" s="104"/>
      <c r="O13" s="104"/>
      <c r="P13" s="104"/>
      <c r="Q13" s="104"/>
      <c r="R13" s="104"/>
      <c r="S13" s="104"/>
      <c r="T13" s="104"/>
      <c r="U13" s="104"/>
      <c r="V13" s="104"/>
      <c r="W13" s="104"/>
      <c r="X13" s="104"/>
      <c r="Y13" s="104"/>
      <c r="Z13" s="104"/>
      <c r="AA13" s="104"/>
      <c r="AB13" s="104"/>
    </row>
    <row r="14" spans="1:28" ht="14.45" customHeight="1" thickBot="1" x14ac:dyDescent="0.3">
      <c r="A14" s="104"/>
      <c r="B14" s="104"/>
      <c r="C14" s="104"/>
      <c r="D14" s="104"/>
      <c r="E14" s="104"/>
      <c r="F14" s="104"/>
      <c r="G14" s="104"/>
      <c r="H14" s="104"/>
      <c r="I14" s="104"/>
      <c r="J14" s="104"/>
      <c r="K14" s="104"/>
      <c r="L14" s="104"/>
      <c r="M14" s="104"/>
      <c r="N14" s="104"/>
      <c r="O14" s="104"/>
      <c r="P14" s="104"/>
      <c r="Q14" s="104"/>
      <c r="R14" s="104"/>
      <c r="S14" s="104"/>
      <c r="T14" s="104"/>
      <c r="U14" s="104"/>
      <c r="V14" s="104"/>
      <c r="W14" s="104"/>
      <c r="X14" s="104"/>
      <c r="Y14" s="104"/>
      <c r="Z14" s="104"/>
      <c r="AA14" s="104"/>
      <c r="AB14" s="104"/>
    </row>
    <row r="15" spans="1:28" ht="29.1" customHeight="1" x14ac:dyDescent="0.25">
      <c r="A15" s="174" t="s">
        <v>442</v>
      </c>
      <c r="B15" s="175"/>
      <c r="C15" s="175"/>
      <c r="D15" s="176"/>
      <c r="E15" s="134"/>
      <c r="F15" s="165" t="s">
        <v>398</v>
      </c>
      <c r="G15" s="166"/>
      <c r="H15" s="134"/>
      <c r="I15" s="165" t="s">
        <v>437</v>
      </c>
      <c r="J15" s="166"/>
      <c r="K15" s="104"/>
      <c r="L15" s="104"/>
      <c r="M15" s="104"/>
      <c r="N15" s="104"/>
      <c r="O15" s="104"/>
      <c r="P15" s="104"/>
      <c r="Q15" s="104"/>
      <c r="R15" s="104"/>
      <c r="S15" s="104"/>
      <c r="T15" s="104"/>
      <c r="U15" s="104"/>
      <c r="V15" s="104"/>
      <c r="W15" s="104"/>
      <c r="X15" s="104"/>
      <c r="Y15" s="104"/>
      <c r="Z15" s="104"/>
      <c r="AA15" s="104"/>
      <c r="AB15" s="104"/>
    </row>
    <row r="16" spans="1:28" ht="27.6" customHeight="1" x14ac:dyDescent="0.25">
      <c r="A16" s="138" t="s">
        <v>345</v>
      </c>
      <c r="B16" s="171" t="s">
        <v>328</v>
      </c>
      <c r="C16" s="171"/>
      <c r="D16" s="137" t="s">
        <v>327</v>
      </c>
      <c r="E16" s="104"/>
      <c r="F16" s="169">
        <f>INDEX('Environmental Performance'!$C$3:$L$3,1,Current_Round)</f>
        <v>1255.5369772829374</v>
      </c>
      <c r="G16" s="127"/>
      <c r="H16" s="104"/>
      <c r="I16" s="169">
        <f>INDEX(Reliability!C97:L97,1,Current_Round)</f>
        <v>298.12374213625213</v>
      </c>
      <c r="J16" s="131"/>
      <c r="K16" s="104"/>
      <c r="L16" s="104"/>
      <c r="M16" s="104"/>
      <c r="N16" s="104"/>
      <c r="O16" s="104"/>
      <c r="P16" s="104"/>
      <c r="Q16" s="104"/>
      <c r="R16" s="104"/>
      <c r="S16" s="104"/>
      <c r="T16" s="104"/>
      <c r="U16" s="104"/>
      <c r="V16" s="104"/>
      <c r="W16" s="104"/>
      <c r="X16" s="104"/>
      <c r="Y16" s="104"/>
      <c r="Z16" s="104"/>
      <c r="AA16" s="104"/>
      <c r="AB16" s="104"/>
    </row>
    <row r="17" spans="1:28" ht="18.600000000000001" customHeight="1" x14ac:dyDescent="0.3">
      <c r="A17" s="139" t="s">
        <v>213</v>
      </c>
      <c r="B17" s="172">
        <f>INDEX(Reliability!$B$19:$L$22,MATCH(Gameplay!A17,Reliability!$A$19:$A$22,0),MATCH('Event Tracker'!$P$1,Reliability!$B$18:$L$18,0)-1)</f>
        <v>100</v>
      </c>
      <c r="C17" s="172"/>
      <c r="D17" s="140">
        <v>0</v>
      </c>
      <c r="E17" s="104"/>
      <c r="F17" s="169"/>
      <c r="G17" s="127"/>
      <c r="H17" s="104"/>
      <c r="I17" s="169"/>
      <c r="J17" s="132"/>
      <c r="K17" s="104"/>
      <c r="L17" s="104"/>
      <c r="M17" s="104"/>
      <c r="N17" s="104"/>
      <c r="O17" s="104"/>
      <c r="P17" s="104"/>
      <c r="Q17" s="104"/>
      <c r="R17" s="104"/>
      <c r="S17" s="104"/>
      <c r="T17" s="104"/>
      <c r="U17" s="104"/>
      <c r="V17" s="104"/>
      <c r="W17" s="104"/>
      <c r="X17" s="104"/>
      <c r="Y17" s="104"/>
      <c r="Z17" s="104"/>
      <c r="AA17" s="104"/>
      <c r="AB17" s="104"/>
    </row>
    <row r="18" spans="1:28" ht="18.600000000000001" customHeight="1" x14ac:dyDescent="0.3">
      <c r="A18" s="139" t="s">
        <v>187</v>
      </c>
      <c r="B18" s="172">
        <f>INDEX(Reliability!$B$19:$L$22,MATCH(Gameplay!A18,Reliability!$A$19:$A$22,0),MATCH('Event Tracker'!$P$1,Reliability!$B$18:$L$18,0)-1)</f>
        <v>10</v>
      </c>
      <c r="C18" s="172"/>
      <c r="D18" s="140">
        <v>0</v>
      </c>
      <c r="E18" s="104"/>
      <c r="F18" s="169"/>
      <c r="G18" s="127"/>
      <c r="H18" s="104"/>
      <c r="I18" s="169"/>
      <c r="J18" s="132"/>
      <c r="K18" s="104"/>
      <c r="L18" s="104"/>
      <c r="M18" s="104"/>
      <c r="N18" s="104"/>
      <c r="O18" s="104"/>
      <c r="P18" s="104"/>
      <c r="Q18" s="104"/>
      <c r="R18" s="104"/>
      <c r="S18" s="104"/>
      <c r="T18" s="104"/>
      <c r="U18" s="104"/>
      <c r="V18" s="104"/>
      <c r="W18" s="104"/>
      <c r="X18" s="104"/>
      <c r="Y18" s="104"/>
      <c r="Z18" s="104"/>
      <c r="AA18" s="104"/>
      <c r="AB18" s="104"/>
    </row>
    <row r="19" spans="1:28" ht="18.600000000000001" customHeight="1" x14ac:dyDescent="0.3">
      <c r="A19" s="139" t="s">
        <v>186</v>
      </c>
      <c r="B19" s="172">
        <f>INDEX(Reliability!$B$19:$L$22,MATCH(Gameplay!A19,Reliability!$A$19:$A$22,0),MATCH('Event Tracker'!$P$1,Reliability!$B$18:$L$18,0)-1)</f>
        <v>35</v>
      </c>
      <c r="C19" s="172"/>
      <c r="D19" s="140">
        <v>0</v>
      </c>
      <c r="E19" s="104"/>
      <c r="F19" s="169"/>
      <c r="G19" s="127"/>
      <c r="H19" s="104"/>
      <c r="I19" s="169"/>
      <c r="J19" s="126"/>
      <c r="K19" s="104"/>
      <c r="L19" s="104"/>
      <c r="M19" s="104"/>
      <c r="N19" s="104"/>
      <c r="O19" s="104"/>
      <c r="P19" s="104"/>
      <c r="Q19" s="104"/>
      <c r="R19" s="104"/>
      <c r="S19" s="104"/>
      <c r="T19" s="104"/>
      <c r="U19" s="104"/>
      <c r="V19" s="104"/>
      <c r="W19" s="104"/>
      <c r="X19" s="104"/>
      <c r="Y19" s="104"/>
      <c r="Z19" s="104"/>
      <c r="AA19" s="104"/>
      <c r="AB19" s="104"/>
    </row>
    <row r="20" spans="1:28" ht="18.600000000000001" customHeight="1" x14ac:dyDescent="0.3">
      <c r="A20" s="139" t="s">
        <v>41</v>
      </c>
      <c r="B20" s="172">
        <f>INDEX(Reliability!$B$19:$L$22,MATCH(Gameplay!A20,Reliability!$A$19:$A$22,0),MATCH('Event Tracker'!$P$1,Reliability!$B$18:$L$18,0)-1)</f>
        <v>35</v>
      </c>
      <c r="C20" s="172"/>
      <c r="D20" s="140">
        <v>0</v>
      </c>
      <c r="E20" s="104"/>
      <c r="F20" s="169"/>
      <c r="G20" s="127"/>
      <c r="H20" s="104"/>
      <c r="I20" s="169"/>
      <c r="J20" s="127"/>
      <c r="K20" s="104"/>
      <c r="L20" s="104"/>
      <c r="M20" s="104"/>
      <c r="N20" s="104"/>
      <c r="O20" s="104"/>
      <c r="P20" s="104"/>
      <c r="Q20" s="104"/>
      <c r="R20" s="104"/>
      <c r="S20" s="104"/>
      <c r="T20" s="104"/>
      <c r="U20" s="104"/>
      <c r="V20" s="104"/>
      <c r="W20" s="104"/>
      <c r="X20" s="104"/>
      <c r="Y20" s="104"/>
      <c r="Z20" s="104"/>
      <c r="AA20" s="104"/>
      <c r="AB20" s="104"/>
    </row>
    <row r="21" spans="1:28" ht="18.600000000000001" customHeight="1" x14ac:dyDescent="0.25">
      <c r="A21" s="151" t="s">
        <v>430</v>
      </c>
      <c r="B21" s="173" t="e">
        <f>INDEX(Reliability!$B$41:$L$41,1,MATCH(Current_Round-1,Reliability!$B$40:$L$40,0))</f>
        <v>#N/A</v>
      </c>
      <c r="C21" s="173"/>
      <c r="D21" s="150">
        <v>0</v>
      </c>
      <c r="E21" s="104"/>
      <c r="F21" s="169"/>
      <c r="G21" s="127"/>
      <c r="H21" s="104"/>
      <c r="I21" s="169"/>
      <c r="J21" s="127"/>
      <c r="K21" s="104"/>
      <c r="L21" s="104"/>
      <c r="M21" s="104"/>
      <c r="N21" s="104"/>
      <c r="O21" s="104"/>
      <c r="P21" s="104"/>
      <c r="Q21" s="104"/>
      <c r="R21" s="104"/>
      <c r="S21" s="104"/>
      <c r="T21" s="104"/>
      <c r="U21" s="104"/>
      <c r="V21" s="104"/>
      <c r="W21" s="104"/>
      <c r="X21" s="104"/>
      <c r="Y21" s="104"/>
      <c r="Z21" s="104"/>
      <c r="AA21" s="104"/>
      <c r="AB21" s="104"/>
    </row>
    <row r="22" spans="1:28" ht="18.600000000000001" customHeight="1" x14ac:dyDescent="0.25">
      <c r="A22" s="180" t="s">
        <v>443</v>
      </c>
      <c r="B22" s="184" t="e">
        <f>INDEX(Reliability!$B$23:$L$23,1,MATCH(Current_Round-1,Reliability!$B$18:$L$18,0))</f>
        <v>#N/A</v>
      </c>
      <c r="C22" s="184"/>
      <c r="D22" s="182">
        <v>0</v>
      </c>
      <c r="E22" s="104"/>
      <c r="F22" s="169"/>
      <c r="G22" s="127"/>
      <c r="H22" s="104"/>
      <c r="I22" s="169"/>
      <c r="J22" s="132"/>
      <c r="K22" s="104"/>
      <c r="L22" s="104"/>
      <c r="M22" s="104"/>
      <c r="N22" s="104"/>
      <c r="O22" s="104"/>
      <c r="P22" s="104"/>
      <c r="Q22" s="104"/>
      <c r="R22" s="104"/>
      <c r="S22" s="104"/>
      <c r="T22" s="104"/>
      <c r="U22" s="104"/>
      <c r="V22" s="104"/>
      <c r="W22" s="104"/>
      <c r="X22" s="104"/>
      <c r="Y22" s="104"/>
      <c r="Z22" s="104"/>
      <c r="AA22" s="104"/>
      <c r="AB22" s="104"/>
    </row>
    <row r="23" spans="1:28" ht="18.600000000000001" customHeight="1" thickBot="1" x14ac:dyDescent="0.3">
      <c r="A23" s="181"/>
      <c r="B23" s="185"/>
      <c r="C23" s="185"/>
      <c r="D23" s="183"/>
      <c r="E23" s="104"/>
      <c r="F23" s="169"/>
      <c r="G23" s="127"/>
      <c r="H23" s="104"/>
      <c r="I23" s="169"/>
      <c r="J23" s="132"/>
      <c r="K23" s="104"/>
      <c r="L23" s="104"/>
      <c r="M23" s="104"/>
      <c r="N23" s="104"/>
      <c r="O23" s="104"/>
      <c r="P23" s="104"/>
      <c r="Q23" s="104"/>
      <c r="R23" s="104"/>
      <c r="S23" s="104"/>
      <c r="T23" s="104"/>
      <c r="U23" s="104"/>
      <c r="V23" s="104"/>
      <c r="W23" s="104"/>
      <c r="X23" s="104"/>
      <c r="Y23" s="104"/>
      <c r="Z23" s="104"/>
      <c r="AA23" s="104"/>
      <c r="AB23" s="104"/>
    </row>
    <row r="24" spans="1:28" ht="14.45" customHeight="1" thickBot="1" x14ac:dyDescent="0.3">
      <c r="A24" s="104"/>
      <c r="C24" s="104"/>
      <c r="D24" s="104"/>
      <c r="E24" s="104"/>
      <c r="F24" s="169"/>
      <c r="G24" s="127"/>
      <c r="H24" s="104"/>
      <c r="I24" s="169"/>
      <c r="J24" s="132"/>
      <c r="K24" s="104"/>
      <c r="L24" s="104"/>
      <c r="M24" s="104"/>
      <c r="N24" s="104"/>
      <c r="O24" s="104"/>
      <c r="P24" s="104"/>
      <c r="Q24" s="104"/>
      <c r="R24" s="104"/>
      <c r="S24" s="104"/>
      <c r="T24" s="104"/>
      <c r="U24" s="104"/>
      <c r="V24" s="104"/>
      <c r="W24" s="104"/>
      <c r="X24" s="104"/>
      <c r="Y24" s="104"/>
      <c r="Z24" s="104"/>
      <c r="AA24" s="104"/>
      <c r="AB24" s="104"/>
    </row>
    <row r="25" spans="1:28" ht="18.95" customHeight="1" thickBot="1" x14ac:dyDescent="0.35">
      <c r="A25" s="167" t="s">
        <v>342</v>
      </c>
      <c r="B25" s="168"/>
      <c r="C25" s="104"/>
      <c r="D25" s="125" t="s">
        <v>333</v>
      </c>
      <c r="E25" s="104"/>
      <c r="F25" s="169"/>
      <c r="G25" s="127"/>
      <c r="H25" s="104"/>
      <c r="I25" s="169"/>
      <c r="J25" s="132"/>
      <c r="K25" s="104"/>
      <c r="L25" s="104"/>
      <c r="M25" s="104"/>
      <c r="N25" s="104"/>
      <c r="O25" s="104"/>
      <c r="P25" s="104"/>
      <c r="Q25" s="104"/>
      <c r="R25" s="104"/>
      <c r="S25" s="104"/>
      <c r="T25" s="104"/>
      <c r="U25" s="104"/>
      <c r="V25" s="104"/>
      <c r="W25" s="104"/>
      <c r="X25" s="104"/>
      <c r="Y25" s="104"/>
      <c r="Z25" s="104"/>
      <c r="AA25" s="104"/>
      <c r="AB25" s="104"/>
    </row>
    <row r="26" spans="1:28" ht="18.600000000000001" customHeight="1" thickBot="1" x14ac:dyDescent="0.35">
      <c r="A26" s="139" t="str">
        <f>CONCATENATE("Renewables Generation: ",ROUND(INDEX(Dispatch!$B$164:$L$164,1,MATCH('Event Tracker'!$P$1,Dispatch!$B$162:$L$162,0))*100,1),"%")</f>
        <v>Renewables Generation: 3.1%</v>
      </c>
      <c r="B26" s="146"/>
      <c r="C26" s="104"/>
      <c r="D26" s="149" t="s">
        <v>415</v>
      </c>
      <c r="E26" s="104"/>
      <c r="F26" s="169"/>
      <c r="G26" s="127"/>
      <c r="H26" s="104"/>
      <c r="I26" s="169"/>
      <c r="J26" s="132"/>
      <c r="K26" s="104"/>
      <c r="L26" s="104"/>
      <c r="M26" s="104"/>
      <c r="N26" s="104"/>
      <c r="O26" s="104"/>
      <c r="P26" s="104"/>
      <c r="Q26" s="104"/>
      <c r="R26" s="104"/>
      <c r="S26" s="104"/>
      <c r="T26" s="104"/>
      <c r="U26" s="104"/>
      <c r="V26" s="104"/>
      <c r="W26" s="104"/>
      <c r="X26" s="104"/>
      <c r="Y26" s="104"/>
      <c r="Z26" s="104"/>
      <c r="AA26" s="104"/>
      <c r="AB26" s="104"/>
    </row>
    <row r="27" spans="1:28" ht="18.600000000000001" customHeight="1" thickBot="1" x14ac:dyDescent="0.35">
      <c r="A27" s="139" t="str">
        <f>CONCATENATE("Next Year Renewable Requirement: ",ROUND(INDEX(Dispatch!$B$165:$L$165,1,MATCH('Event Tracker'!$P$1,Dispatch!$B$162:$L$162,0)+1)*100,1),"%")</f>
        <v>Next Year Renewable Requirement: 0%</v>
      </c>
      <c r="B27" s="147"/>
      <c r="C27" s="104"/>
      <c r="D27" s="149" t="s">
        <v>416</v>
      </c>
      <c r="E27" s="104"/>
      <c r="F27" s="170"/>
      <c r="G27" s="128"/>
      <c r="H27" s="104"/>
      <c r="I27" s="170"/>
      <c r="J27" s="133"/>
      <c r="K27" s="104"/>
      <c r="L27" s="104"/>
      <c r="M27" s="104"/>
      <c r="N27" s="104"/>
      <c r="O27" s="104"/>
      <c r="P27" s="104"/>
      <c r="Q27" s="104"/>
      <c r="R27" s="104"/>
      <c r="S27" s="104"/>
      <c r="T27" s="104"/>
      <c r="U27" s="104"/>
      <c r="V27" s="104"/>
      <c r="W27" s="104"/>
      <c r="X27" s="104"/>
      <c r="Y27" s="104"/>
      <c r="Z27" s="104"/>
      <c r="AA27" s="104"/>
      <c r="AB27" s="104"/>
    </row>
    <row r="28" spans="1:28" ht="18.600000000000001" customHeight="1" x14ac:dyDescent="0.3">
      <c r="A28" s="139" t="str">
        <f>CONCATENATE("Carbon Price This Year: $",ROUND(INDEX(Dispatch!$B$11:$L$11,1,MATCH('Event Tracker'!$P$1,Dispatch!$B$10:$L$10,0))*100, 2))</f>
        <v>Carbon Price This Year: $0</v>
      </c>
      <c r="B28" s="147"/>
      <c r="C28" s="104"/>
      <c r="D28" s="104"/>
      <c r="E28" s="104"/>
      <c r="F28" s="104"/>
      <c r="G28" s="104"/>
      <c r="H28" s="104"/>
      <c r="I28" s="104"/>
      <c r="J28" s="104"/>
      <c r="K28" s="104"/>
      <c r="L28" s="104"/>
      <c r="M28" s="104"/>
      <c r="N28" s="104"/>
      <c r="O28" s="104"/>
      <c r="P28" s="104"/>
      <c r="Q28" s="104"/>
      <c r="R28" s="104"/>
      <c r="S28" s="104"/>
      <c r="T28" s="104"/>
      <c r="U28" s="104"/>
      <c r="V28" s="104"/>
      <c r="W28" s="104"/>
      <c r="X28" s="104"/>
      <c r="Y28" s="104"/>
      <c r="Z28" s="104"/>
      <c r="AA28" s="104"/>
      <c r="AB28" s="104"/>
    </row>
    <row r="29" spans="1:28" ht="18.600000000000001" customHeight="1" thickBot="1" x14ac:dyDescent="0.35">
      <c r="A29" s="141" t="str">
        <f>CONCATENATE("Carbon Price Next Year: $",ROUND(INDEX(Dispatch!$B$11:$L$11,1,MATCH('Event Tracker'!$P$1,Dispatch!$B$10:$L$10,0)+1)*100,2))</f>
        <v>Carbon Price Next Year: $0</v>
      </c>
      <c r="B29" s="148"/>
      <c r="C29" s="104"/>
      <c r="D29" s="104"/>
      <c r="E29" s="104"/>
      <c r="F29" s="104"/>
      <c r="G29" s="104"/>
      <c r="H29" s="104"/>
      <c r="I29" s="104"/>
      <c r="J29" s="104"/>
      <c r="K29" s="104"/>
      <c r="L29" s="104"/>
      <c r="M29" s="104"/>
      <c r="N29" s="104"/>
      <c r="O29" s="104"/>
      <c r="P29" s="104"/>
      <c r="Q29" s="104"/>
      <c r="R29" s="104"/>
      <c r="S29" s="104"/>
      <c r="T29" s="104"/>
      <c r="U29" s="104"/>
      <c r="V29" s="104"/>
      <c r="W29" s="104"/>
      <c r="X29" s="104"/>
      <c r="Y29" s="104"/>
      <c r="Z29" s="104"/>
      <c r="AA29" s="104"/>
      <c r="AB29" s="104"/>
    </row>
    <row r="30" spans="1:28" ht="15.95" customHeight="1" x14ac:dyDescent="0.25">
      <c r="A30" s="104"/>
      <c r="B30" s="104"/>
      <c r="C30" s="104"/>
      <c r="D30" s="104"/>
      <c r="E30" s="104"/>
      <c r="F30" s="104"/>
      <c r="G30" s="104"/>
      <c r="H30" s="104"/>
      <c r="I30" s="104"/>
      <c r="J30" s="104"/>
      <c r="K30" s="104"/>
      <c r="L30" s="104"/>
      <c r="M30" s="104"/>
      <c r="N30" s="104"/>
      <c r="O30" s="104"/>
      <c r="P30" s="104"/>
      <c r="Q30" s="104"/>
      <c r="R30" s="104"/>
      <c r="S30" s="104"/>
      <c r="T30" s="104"/>
      <c r="U30" s="104"/>
      <c r="V30" s="104"/>
      <c r="W30" s="104"/>
      <c r="X30" s="104"/>
      <c r="Y30" s="104"/>
      <c r="Z30" s="104"/>
      <c r="AA30" s="104"/>
      <c r="AB30" s="104"/>
    </row>
    <row r="31" spans="1:28" ht="14.45" customHeight="1" x14ac:dyDescent="0.25">
      <c r="A31" s="104"/>
      <c r="B31" s="104"/>
      <c r="C31" s="104"/>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c r="AB31" s="104"/>
    </row>
    <row r="32" spans="1:28" ht="29.1" customHeight="1" x14ac:dyDescent="0.25">
      <c r="A32" s="104"/>
      <c r="B32" s="104"/>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c r="AB32" s="104"/>
    </row>
    <row r="33" spans="1:28" ht="14.45" customHeight="1" x14ac:dyDescent="0.25">
      <c r="A33" s="104"/>
      <c r="B33" s="104"/>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c r="AB33" s="104"/>
    </row>
    <row r="34" spans="1:28" s="104" customFormat="1" ht="14.45" customHeight="1" x14ac:dyDescent="0.25"/>
    <row r="35" spans="1:28" s="104" customFormat="1" ht="14.45" customHeight="1" x14ac:dyDescent="0.25"/>
    <row r="36" spans="1:28" s="104" customFormat="1" ht="14.45" customHeight="1" x14ac:dyDescent="0.25"/>
    <row r="37" spans="1:28" s="104" customFormat="1" ht="14.45" customHeight="1" x14ac:dyDescent="0.25"/>
    <row r="38" spans="1:28" s="104" customFormat="1" ht="14.45" customHeight="1" x14ac:dyDescent="0.25"/>
    <row r="39" spans="1:28" s="104" customFormat="1" ht="14.45" customHeight="1" x14ac:dyDescent="0.25"/>
    <row r="40" spans="1:28" s="104" customFormat="1" ht="14.45" customHeight="1" x14ac:dyDescent="0.25"/>
    <row r="41" spans="1:28" s="104" customFormat="1" ht="14.45" customHeight="1" x14ac:dyDescent="0.25"/>
    <row r="42" spans="1:28" s="104" customFormat="1" ht="14.45" customHeight="1" x14ac:dyDescent="0.25"/>
    <row r="43" spans="1:28" s="104" customFormat="1" ht="14.45" customHeight="1" x14ac:dyDescent="0.25"/>
    <row r="44" spans="1:28" s="104" customFormat="1" ht="14.45" customHeight="1" x14ac:dyDescent="0.25"/>
    <row r="45" spans="1:28" s="104" customFormat="1" ht="15" customHeight="1" x14ac:dyDescent="0.25"/>
    <row r="46" spans="1:28" s="104" customFormat="1" x14ac:dyDescent="0.25"/>
    <row r="47" spans="1:28" s="104" customFormat="1" x14ac:dyDescent="0.25"/>
    <row r="48" spans="1:28" s="104" customFormat="1" x14ac:dyDescent="0.25"/>
    <row r="49" s="104" customFormat="1" x14ac:dyDescent="0.25"/>
    <row r="50" s="104" customFormat="1" x14ac:dyDescent="0.25"/>
    <row r="51" s="104" customFormat="1" x14ac:dyDescent="0.25"/>
    <row r="52" s="104" customFormat="1" x14ac:dyDescent="0.25"/>
    <row r="53" s="104" customFormat="1" x14ac:dyDescent="0.25"/>
    <row r="54" s="104" customFormat="1" x14ac:dyDescent="0.25"/>
    <row r="55" s="104" customFormat="1" x14ac:dyDescent="0.25"/>
    <row r="56" s="104" customFormat="1" x14ac:dyDescent="0.25"/>
    <row r="57" s="104" customFormat="1" x14ac:dyDescent="0.25"/>
    <row r="58" s="104" customFormat="1" x14ac:dyDescent="0.25"/>
    <row r="59" s="104" customFormat="1" x14ac:dyDescent="0.25"/>
    <row r="60" s="104" customFormat="1" x14ac:dyDescent="0.25"/>
    <row r="61" s="104" customFormat="1" x14ac:dyDescent="0.25"/>
  </sheetData>
  <mergeCells count="22">
    <mergeCell ref="I4:I13"/>
    <mergeCell ref="F3:G3"/>
    <mergeCell ref="I3:J3"/>
    <mergeCell ref="A1:J1"/>
    <mergeCell ref="A2:J2"/>
    <mergeCell ref="A3:D3"/>
    <mergeCell ref="F4:F13"/>
    <mergeCell ref="I15:J15"/>
    <mergeCell ref="A25:B25"/>
    <mergeCell ref="I16:I27"/>
    <mergeCell ref="F16:F27"/>
    <mergeCell ref="B16:C16"/>
    <mergeCell ref="B17:C17"/>
    <mergeCell ref="B18:C18"/>
    <mergeCell ref="B19:C19"/>
    <mergeCell ref="B20:C20"/>
    <mergeCell ref="B21:C21"/>
    <mergeCell ref="A15:D15"/>
    <mergeCell ref="A22:A23"/>
    <mergeCell ref="D22:D23"/>
    <mergeCell ref="B22:C23"/>
    <mergeCell ref="F15:G15"/>
  </mergeCells>
  <conditionalFormatting sqref="F4 A45:F45 A1:J2 A3 K14:K15 G44:J45 F35:F44 A31:F34 B30:E30 A25 A14:E14 D16:D22 A15 B26:B29 F15:F16 E26 D29:E29 D25:D27 G4:G14 I3:I4 E3:F3 A16:B22 G16:G28 I15:I16 A4:D13">
    <cfRule type="expression" dxfId="13" priority="22">
      <formula>#REF!="Let's go!"</formula>
    </cfRule>
  </conditionalFormatting>
  <dataValidations count="2">
    <dataValidation type="whole" showInputMessage="1" showErrorMessage="1" sqref="D5:D11" xr:uid="{00000000-0002-0000-0100-000000000000}">
      <formula1>0</formula1>
      <formula2>500</formula2>
    </dataValidation>
    <dataValidation type="whole" allowBlank="1" showInputMessage="1" showErrorMessage="1" sqref="D17:D20" xr:uid="{00000000-0002-0000-0100-000001000000}">
      <formula1>0</formula1>
      <formula2>500</formula2>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1" id="{A65FBE54-FCA3-47AF-832E-83311FB7880C}">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D5:D11</xm:sqref>
        </x14:conditionalFormatting>
        <x14:conditionalFormatting xmlns:xm="http://schemas.microsoft.com/office/excel/2006/main">
          <x14:cfRule type="expression" priority="20" id="{C1AC3A87-4FC9-4457-80D6-A280F93D9C68}">
            <xm:f>'Initial Setup'!$B$3="DR"</xm:f>
            <x14:dxf>
              <font>
                <color theme="0" tint="-0.24994659260841701"/>
              </font>
              <fill>
                <patternFill>
                  <bgColor theme="0" tint="-0.24994659260841701"/>
                </patternFill>
              </fill>
              <border>
                <top style="thin">
                  <color auto="1"/>
                </top>
                <vertical/>
                <horizontal/>
              </border>
            </x14:dxf>
          </x14:cfRule>
          <xm:sqref>D5</xm:sqref>
        </x14:conditionalFormatting>
        <x14:conditionalFormatting xmlns:xm="http://schemas.microsoft.com/office/excel/2006/main">
          <x14:cfRule type="expression" priority="18" id="{EE520FF9-700F-494A-AA53-B2A8FD3BC137}">
            <xm:f>'Initial Setup'!$B$3="DR"</xm:f>
            <x14:dxf>
              <font>
                <color theme="0" tint="-0.24994659260841701"/>
              </font>
              <fill>
                <patternFill>
                  <bgColor theme="0" tint="-0.24994659260841701"/>
                </patternFill>
              </fill>
              <border>
                <bottom style="thin">
                  <color auto="1"/>
                </bottom>
                <vertical/>
                <horizontal/>
              </border>
            </x14:dxf>
          </x14:cfRule>
          <x14:cfRule type="expression" priority="19" id="{F17C9DDF-7578-45D7-9648-7A68C59B599F}">
            <xm:f>'Initial Setup'!$B$3="DR"</xm:f>
            <x14:dxf>
              <font>
                <color theme="0" tint="-0.24994659260841701"/>
              </font>
              <fill>
                <patternFill>
                  <bgColor theme="0" tint="-0.24994659260841701"/>
                </patternFill>
              </fill>
              <border>
                <bottom/>
                <vertical/>
                <horizontal/>
              </border>
            </x14:dxf>
          </x14:cfRule>
          <xm:sqref>D10</xm:sqref>
        </x14:conditionalFormatting>
        <x14:conditionalFormatting xmlns:xm="http://schemas.microsoft.com/office/excel/2006/main">
          <x14:cfRule type="expression" priority="8" id="{98972FCF-1B41-4147-8573-6BCCBDADA15C}">
            <xm:f>'Initial Setup'!$B$3="DR"</xm:f>
            <x14:dxf>
              <font>
                <color theme="0" tint="-0.24994659260841701"/>
              </font>
              <fill>
                <patternFill>
                  <bgColor theme="0" tint="-0.24994659260841701"/>
                </patternFill>
              </fill>
              <border>
                <top style="thin">
                  <color auto="1"/>
                </top>
                <vertical/>
                <horizontal/>
              </border>
            </x14:dxf>
          </x14:cfRule>
          <xm:sqref>D6:D11</xm:sqref>
        </x14:conditionalFormatting>
        <x14:conditionalFormatting xmlns:xm="http://schemas.microsoft.com/office/excel/2006/main">
          <x14:cfRule type="expression" priority="7" id="{406ABFAB-1732-4955-ACD3-2C9A2512DC71}">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D17:D21</xm:sqref>
        </x14:conditionalFormatting>
        <x14:conditionalFormatting xmlns:xm="http://schemas.microsoft.com/office/excel/2006/main">
          <x14:cfRule type="expression" priority="6" id="{55EAF00E-8A72-47D7-91E7-5DCC95BC9620}">
            <xm:f>'Initial Setup'!$B$3="DR"</xm:f>
            <x14:dxf>
              <font>
                <color theme="0" tint="-0.24994659260841701"/>
              </font>
              <fill>
                <patternFill>
                  <bgColor theme="0" tint="-0.24994659260841701"/>
                </patternFill>
              </fill>
              <border>
                <top style="thin">
                  <color auto="1"/>
                </top>
                <vertical/>
                <horizontal/>
              </border>
            </x14:dxf>
          </x14:cfRule>
          <xm:sqref>D17:D21</xm:sqref>
        </x14:conditionalFormatting>
        <x14:conditionalFormatting xmlns:xm="http://schemas.microsoft.com/office/excel/2006/main">
          <x14:cfRule type="expression" priority="5" id="{C64C6727-5926-43EF-9CBB-C8FB3F8106D6}">
            <xm:f>'Initial Setup'!$B$3="DR"</xm:f>
            <x14:dxf>
              <font>
                <color theme="0" tint="-0.24994659260841701"/>
              </font>
              <fill>
                <patternFill>
                  <bgColor theme="0" tint="-0.24994659260841701"/>
                </patternFill>
              </fill>
              <border>
                <left style="thin">
                  <color auto="1"/>
                </left>
                <right style="thin">
                  <color auto="1"/>
                </right>
                <top/>
                <bottom/>
                <vertical/>
                <horizontal/>
              </border>
            </x14:dxf>
          </x14:cfRule>
          <xm:sqref>D22</xm:sqref>
        </x14:conditionalFormatting>
        <x14:conditionalFormatting xmlns:xm="http://schemas.microsoft.com/office/excel/2006/main">
          <x14:cfRule type="expression" priority="4" id="{913853F9-486A-4EA2-8D2D-02C1D3BE670C}">
            <xm:f>'Initial Setup'!$B$3="DR"</xm:f>
            <x14:dxf>
              <font>
                <color theme="0" tint="-0.24994659260841701"/>
              </font>
              <fill>
                <patternFill>
                  <bgColor theme="0" tint="-0.24994659260841701"/>
                </patternFill>
              </fill>
              <border>
                <top style="thin">
                  <color auto="1"/>
                </top>
                <vertical/>
                <horizontal/>
              </border>
            </x14:dxf>
          </x14:cfRule>
          <xm:sqref>D22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'Game Properties'!$D$2:$D$6</xm:f>
          </x14:formula1>
          <xm:sqref>D26</xm:sqref>
        </x14:dataValidation>
        <x14:dataValidation type="list" allowBlank="1" showInputMessage="1" showErrorMessage="1" xr:uid="{00000000-0002-0000-0100-000003000000}">
          <x14:formula1>
            <xm:f>'Game Properties'!$C$2:$C$9</xm:f>
          </x14:formula1>
          <xm:sqref>D27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theme="0" tint="-0.249977111117893"/>
  </sheetPr>
  <dimension ref="A1:P15"/>
  <sheetViews>
    <sheetView workbookViewId="0">
      <selection activeCell="A10" sqref="A10:A12"/>
    </sheetView>
  </sheetViews>
  <sheetFormatPr defaultRowHeight="15" x14ac:dyDescent="0.25"/>
  <cols>
    <col min="1" max="1" width="25" customWidth="1"/>
    <col min="15" max="15" width="14.5703125" bestFit="1" customWidth="1"/>
  </cols>
  <sheetData>
    <row r="1" spans="1:16" ht="15.75" thickBot="1" x14ac:dyDescent="0.3">
      <c r="A1" s="9" t="s">
        <v>240</v>
      </c>
      <c r="B1" s="9">
        <v>0</v>
      </c>
      <c r="C1" s="9">
        <v>1</v>
      </c>
      <c r="D1" s="9">
        <v>2</v>
      </c>
      <c r="E1" s="9">
        <v>3</v>
      </c>
      <c r="F1" s="9">
        <v>4</v>
      </c>
      <c r="G1" s="9">
        <v>5</v>
      </c>
      <c r="H1" s="9">
        <v>6</v>
      </c>
      <c r="I1" s="9">
        <v>7</v>
      </c>
      <c r="J1" s="9">
        <v>8</v>
      </c>
      <c r="K1" s="9">
        <v>9</v>
      </c>
      <c r="L1" s="9">
        <v>10</v>
      </c>
      <c r="O1" t="s">
        <v>321</v>
      </c>
      <c r="P1" s="108">
        <f t="array" ref="P1">IF(MAX(B15:L15)=0,0,MAX(IF(B15:L15=1,B14:L14))+1)</f>
        <v>0</v>
      </c>
    </row>
    <row r="2" spans="1:16" x14ac:dyDescent="0.25">
      <c r="A2" t="s">
        <v>3</v>
      </c>
      <c r="B2">
        <v>0</v>
      </c>
      <c r="C2">
        <v>0</v>
      </c>
      <c r="D2">
        <v>0</v>
      </c>
      <c r="E2">
        <v>0</v>
      </c>
      <c r="F2">
        <v>0</v>
      </c>
      <c r="G2">
        <v>0</v>
      </c>
      <c r="H2">
        <v>0</v>
      </c>
      <c r="I2">
        <v>0</v>
      </c>
      <c r="J2">
        <v>0</v>
      </c>
      <c r="K2">
        <v>0</v>
      </c>
      <c r="L2">
        <v>0</v>
      </c>
    </row>
    <row r="3" spans="1:16" x14ac:dyDescent="0.25">
      <c r="A3" t="s">
        <v>2</v>
      </c>
      <c r="B3">
        <v>0</v>
      </c>
      <c r="C3">
        <v>0</v>
      </c>
      <c r="D3">
        <v>0</v>
      </c>
      <c r="E3">
        <v>0</v>
      </c>
      <c r="F3">
        <v>0</v>
      </c>
      <c r="G3">
        <v>0</v>
      </c>
      <c r="H3">
        <v>0</v>
      </c>
      <c r="I3">
        <v>0</v>
      </c>
      <c r="J3">
        <v>0</v>
      </c>
      <c r="K3">
        <v>0</v>
      </c>
      <c r="L3">
        <v>0</v>
      </c>
    </row>
    <row r="4" spans="1:16" x14ac:dyDescent="0.25">
      <c r="A4" t="s">
        <v>286</v>
      </c>
      <c r="B4">
        <v>0</v>
      </c>
      <c r="C4">
        <v>0</v>
      </c>
      <c r="D4">
        <v>0</v>
      </c>
      <c r="E4">
        <v>0</v>
      </c>
      <c r="F4">
        <v>0</v>
      </c>
      <c r="G4">
        <v>0</v>
      </c>
      <c r="H4">
        <v>0</v>
      </c>
      <c r="I4">
        <v>0</v>
      </c>
      <c r="J4">
        <v>0</v>
      </c>
      <c r="K4">
        <v>0</v>
      </c>
      <c r="L4">
        <v>0</v>
      </c>
    </row>
    <row r="5" spans="1:16" x14ac:dyDescent="0.25">
      <c r="A5" t="s">
        <v>1</v>
      </c>
      <c r="B5">
        <v>0</v>
      </c>
      <c r="C5">
        <v>0</v>
      </c>
      <c r="D5">
        <v>0</v>
      </c>
      <c r="E5">
        <v>0</v>
      </c>
      <c r="F5">
        <v>0</v>
      </c>
      <c r="G5">
        <v>0</v>
      </c>
      <c r="H5">
        <v>0</v>
      </c>
      <c r="I5">
        <v>0</v>
      </c>
      <c r="J5">
        <v>0</v>
      </c>
      <c r="K5">
        <v>0</v>
      </c>
      <c r="L5">
        <v>0</v>
      </c>
    </row>
    <row r="6" spans="1:16" x14ac:dyDescent="0.25">
      <c r="A6" t="s">
        <v>285</v>
      </c>
      <c r="B6">
        <v>0</v>
      </c>
      <c r="C6">
        <v>0</v>
      </c>
      <c r="D6">
        <v>0</v>
      </c>
      <c r="E6">
        <v>0</v>
      </c>
      <c r="F6">
        <v>0</v>
      </c>
      <c r="G6">
        <v>0</v>
      </c>
      <c r="H6">
        <v>0</v>
      </c>
      <c r="I6">
        <v>0</v>
      </c>
      <c r="J6">
        <v>0</v>
      </c>
      <c r="K6">
        <v>0</v>
      </c>
      <c r="L6">
        <v>0</v>
      </c>
    </row>
    <row r="7" spans="1:16" x14ac:dyDescent="0.25">
      <c r="A7" t="s">
        <v>350</v>
      </c>
      <c r="B7">
        <v>0</v>
      </c>
      <c r="C7">
        <v>0</v>
      </c>
      <c r="D7">
        <v>0</v>
      </c>
      <c r="E7">
        <v>0</v>
      </c>
      <c r="F7">
        <v>0</v>
      </c>
      <c r="G7">
        <v>0</v>
      </c>
      <c r="H7">
        <v>0</v>
      </c>
      <c r="I7">
        <v>0</v>
      </c>
      <c r="J7">
        <v>0</v>
      </c>
      <c r="K7">
        <v>0</v>
      </c>
      <c r="L7">
        <v>0</v>
      </c>
    </row>
    <row r="9" spans="1:16" x14ac:dyDescent="0.25">
      <c r="A9" s="9" t="s">
        <v>241</v>
      </c>
      <c r="B9" s="9">
        <v>0</v>
      </c>
      <c r="C9" s="9">
        <v>1</v>
      </c>
      <c r="D9" s="9">
        <v>2</v>
      </c>
      <c r="E9" s="9">
        <v>3</v>
      </c>
      <c r="F9" s="9">
        <v>4</v>
      </c>
      <c r="G9" s="9">
        <v>5</v>
      </c>
      <c r="H9" s="9">
        <v>6</v>
      </c>
      <c r="I9" s="9">
        <v>7</v>
      </c>
      <c r="J9" s="9">
        <v>8</v>
      </c>
      <c r="K9" s="9">
        <v>9</v>
      </c>
      <c r="L9" s="9">
        <v>10</v>
      </c>
    </row>
    <row r="10" spans="1:16" x14ac:dyDescent="0.25">
      <c r="A10" t="s">
        <v>4</v>
      </c>
      <c r="B10">
        <v>0</v>
      </c>
      <c r="C10">
        <v>0</v>
      </c>
      <c r="D10">
        <v>0</v>
      </c>
      <c r="E10">
        <v>0</v>
      </c>
      <c r="F10">
        <v>0</v>
      </c>
      <c r="G10">
        <v>0</v>
      </c>
      <c r="H10">
        <v>0</v>
      </c>
      <c r="I10">
        <v>0</v>
      </c>
      <c r="J10">
        <v>0</v>
      </c>
      <c r="K10">
        <v>0</v>
      </c>
      <c r="L10">
        <v>0</v>
      </c>
    </row>
    <row r="11" spans="1:16" x14ac:dyDescent="0.25">
      <c r="A11" t="s">
        <v>6</v>
      </c>
      <c r="B11">
        <v>0</v>
      </c>
      <c r="C11">
        <v>0</v>
      </c>
      <c r="D11">
        <v>0</v>
      </c>
      <c r="E11">
        <v>0</v>
      </c>
      <c r="F11">
        <v>0</v>
      </c>
      <c r="G11">
        <v>0</v>
      </c>
      <c r="H11">
        <v>0</v>
      </c>
      <c r="I11">
        <v>0</v>
      </c>
      <c r="J11">
        <v>0</v>
      </c>
      <c r="K11">
        <v>0</v>
      </c>
      <c r="L11">
        <v>0</v>
      </c>
    </row>
    <row r="12" spans="1:16" x14ac:dyDescent="0.25">
      <c r="A12" t="s">
        <v>5</v>
      </c>
      <c r="B12">
        <v>0</v>
      </c>
      <c r="C12">
        <v>0</v>
      </c>
      <c r="D12">
        <v>0</v>
      </c>
      <c r="E12">
        <v>0</v>
      </c>
      <c r="F12">
        <v>0</v>
      </c>
      <c r="G12">
        <v>0</v>
      </c>
      <c r="H12">
        <v>0</v>
      </c>
      <c r="I12">
        <v>0</v>
      </c>
      <c r="J12">
        <v>0</v>
      </c>
      <c r="K12">
        <v>0</v>
      </c>
      <c r="L12">
        <v>0</v>
      </c>
    </row>
    <row r="14" spans="1:16" x14ac:dyDescent="0.25">
      <c r="A14" s="9" t="s">
        <v>325</v>
      </c>
      <c r="B14" s="9">
        <v>0</v>
      </c>
      <c r="C14" s="9">
        <v>1</v>
      </c>
      <c r="D14" s="9">
        <v>2</v>
      </c>
      <c r="E14" s="9">
        <v>3</v>
      </c>
      <c r="F14" s="9">
        <v>4</v>
      </c>
      <c r="G14" s="9">
        <v>5</v>
      </c>
      <c r="H14" s="9">
        <v>6</v>
      </c>
      <c r="I14" s="9">
        <v>7</v>
      </c>
      <c r="J14" s="9">
        <v>8</v>
      </c>
      <c r="K14" s="9">
        <v>9</v>
      </c>
      <c r="L14" s="9">
        <v>10</v>
      </c>
    </row>
    <row r="15" spans="1:16" x14ac:dyDescent="0.25">
      <c r="B15">
        <v>0</v>
      </c>
      <c r="C15">
        <v>0</v>
      </c>
      <c r="D15">
        <v>0</v>
      </c>
      <c r="E15">
        <v>0</v>
      </c>
      <c r="F15">
        <v>0</v>
      </c>
      <c r="G15">
        <v>0</v>
      </c>
      <c r="H15">
        <v>0</v>
      </c>
      <c r="I15">
        <v>0</v>
      </c>
      <c r="J15">
        <v>0</v>
      </c>
      <c r="K15">
        <v>0</v>
      </c>
      <c r="L15">
        <v>0</v>
      </c>
    </row>
  </sheetData>
  <conditionalFormatting sqref="P1">
    <cfRule type="expression" dxfId="3" priority="1">
      <formula>$B$5="Not yet."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249977111117893"/>
  </sheetPr>
  <dimension ref="A1:I13"/>
  <sheetViews>
    <sheetView zoomScale="85" zoomScaleNormal="85" workbookViewId="0">
      <selection activeCell="K20" sqref="K20"/>
    </sheetView>
  </sheetViews>
  <sheetFormatPr defaultRowHeight="15" x14ac:dyDescent="0.25"/>
  <cols>
    <col min="1" max="1" width="35.28515625" bestFit="1" customWidth="1"/>
    <col min="2" max="2" width="35.28515625" customWidth="1"/>
    <col min="3" max="3" width="25.42578125" customWidth="1"/>
    <col min="4" max="4" width="17.5703125" customWidth="1"/>
    <col min="5" max="5" width="25.5703125" bestFit="1" customWidth="1"/>
    <col min="6" max="6" width="14" bestFit="1" customWidth="1"/>
    <col min="7" max="7" width="13.42578125" bestFit="1" customWidth="1"/>
    <col min="8" max="8" width="20.28515625" bestFit="1" customWidth="1"/>
    <col min="9" max="9" width="12.28515625" customWidth="1"/>
  </cols>
  <sheetData>
    <row r="1" spans="1:9" ht="15.75" thickBot="1" x14ac:dyDescent="0.3">
      <c r="A1" s="1" t="s">
        <v>37</v>
      </c>
      <c r="B1" s="1" t="s">
        <v>38</v>
      </c>
      <c r="C1" s="1" t="s">
        <v>0</v>
      </c>
      <c r="D1" s="1" t="s">
        <v>36</v>
      </c>
      <c r="E1" s="1" t="s">
        <v>100</v>
      </c>
      <c r="F1" s="1" t="s">
        <v>107</v>
      </c>
      <c r="G1" s="1" t="s">
        <v>314</v>
      </c>
      <c r="H1" s="17"/>
      <c r="I1" s="1" t="s">
        <v>446</v>
      </c>
    </row>
    <row r="2" spans="1:9" ht="15.75" thickBot="1" x14ac:dyDescent="0.3">
      <c r="A2" t="s">
        <v>40</v>
      </c>
      <c r="B2" t="s">
        <v>39</v>
      </c>
      <c r="C2" t="s">
        <v>1</v>
      </c>
      <c r="D2" t="s">
        <v>4</v>
      </c>
      <c r="E2" t="s">
        <v>324</v>
      </c>
      <c r="F2" s="30">
        <f>'Event Tracker'!P1</f>
        <v>0</v>
      </c>
      <c r="G2" t="s">
        <v>315</v>
      </c>
    </row>
    <row r="3" spans="1:9" x14ac:dyDescent="0.25">
      <c r="A3" t="s">
        <v>41</v>
      </c>
      <c r="C3" t="s">
        <v>2</v>
      </c>
      <c r="D3" t="s">
        <v>6</v>
      </c>
      <c r="E3" t="s">
        <v>101</v>
      </c>
      <c r="G3" t="s">
        <v>67</v>
      </c>
    </row>
    <row r="4" spans="1:9" x14ac:dyDescent="0.25">
      <c r="A4" t="s">
        <v>323</v>
      </c>
      <c r="C4" t="s">
        <v>285</v>
      </c>
      <c r="D4" t="s">
        <v>5</v>
      </c>
      <c r="E4" t="s">
        <v>102</v>
      </c>
      <c r="G4" t="s">
        <v>103</v>
      </c>
    </row>
    <row r="5" spans="1:9" x14ac:dyDescent="0.25">
      <c r="C5" t="s">
        <v>286</v>
      </c>
      <c r="D5" t="s">
        <v>334</v>
      </c>
      <c r="G5" t="s">
        <v>104</v>
      </c>
    </row>
    <row r="6" spans="1:9" x14ac:dyDescent="0.25">
      <c r="C6" t="s">
        <v>3</v>
      </c>
      <c r="D6" t="s">
        <v>415</v>
      </c>
      <c r="G6" t="s">
        <v>105</v>
      </c>
    </row>
    <row r="7" spans="1:9" x14ac:dyDescent="0.25">
      <c r="C7" t="s">
        <v>334</v>
      </c>
      <c r="G7" t="s">
        <v>106</v>
      </c>
    </row>
    <row r="8" spans="1:9" x14ac:dyDescent="0.25">
      <c r="C8" t="s">
        <v>348</v>
      </c>
      <c r="G8" t="s">
        <v>316</v>
      </c>
    </row>
    <row r="9" spans="1:9" x14ac:dyDescent="0.25">
      <c r="C9" t="s">
        <v>416</v>
      </c>
      <c r="G9" t="s">
        <v>317</v>
      </c>
    </row>
    <row r="10" spans="1:9" x14ac:dyDescent="0.25">
      <c r="G10" t="s">
        <v>318</v>
      </c>
    </row>
    <row r="11" spans="1:9" x14ac:dyDescent="0.25">
      <c r="G11" t="s">
        <v>319</v>
      </c>
    </row>
    <row r="12" spans="1:9" x14ac:dyDescent="0.25">
      <c r="G12" t="s">
        <v>320</v>
      </c>
    </row>
    <row r="13" spans="1:9" x14ac:dyDescent="0.25">
      <c r="G13" t="s">
        <v>323</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theme="5"/>
  </sheetPr>
  <dimension ref="A1:O22"/>
  <sheetViews>
    <sheetView workbookViewId="0">
      <selection activeCell="L21" sqref="L21"/>
    </sheetView>
  </sheetViews>
  <sheetFormatPr defaultRowHeight="15" x14ac:dyDescent="0.25"/>
  <cols>
    <col min="1" max="1" width="54.85546875" bestFit="1" customWidth="1"/>
    <col min="2" max="2" width="12.140625" customWidth="1"/>
    <col min="3" max="3" width="9.140625" customWidth="1"/>
    <col min="14" max="14" width="14" bestFit="1" customWidth="1"/>
  </cols>
  <sheetData>
    <row r="1" spans="1:15" ht="15.75" thickBot="1" x14ac:dyDescent="0.3">
      <c r="A1" s="1" t="s">
        <v>136</v>
      </c>
      <c r="B1" t="s">
        <v>153</v>
      </c>
      <c r="N1" t="s">
        <v>107</v>
      </c>
      <c r="O1" s="30">
        <f>'Event Tracker'!P1</f>
        <v>0</v>
      </c>
    </row>
    <row r="2" spans="1:15" x14ac:dyDescent="0.25">
      <c r="A2" s="52" t="s">
        <v>137</v>
      </c>
      <c r="B2" s="45">
        <v>0</v>
      </c>
      <c r="C2" s="45">
        <v>1</v>
      </c>
      <c r="D2" s="45">
        <v>2</v>
      </c>
      <c r="E2" s="45">
        <v>3</v>
      </c>
      <c r="F2" s="45">
        <v>4</v>
      </c>
      <c r="G2" s="45">
        <v>5</v>
      </c>
      <c r="H2" s="45">
        <v>6</v>
      </c>
      <c r="I2" s="45">
        <v>7</v>
      </c>
      <c r="J2" s="45">
        <v>8</v>
      </c>
      <c r="K2" s="45">
        <v>9</v>
      </c>
      <c r="L2" s="45">
        <v>10</v>
      </c>
    </row>
    <row r="3" spans="1:15" x14ac:dyDescent="0.25">
      <c r="A3" t="s">
        <v>138</v>
      </c>
      <c r="B3" s="8">
        <f>SUM('Utility Revenue'!B64,'Utility Revenue'!B68:B73,'Utility Revenue'!B75,'Utility Revenue'!B76,'Utility Revenue'!B77,'Utility Revenue'!B84:B86)/'Utility Revenue'!B91*'Utility Revenue'!B94</f>
        <v>3.7360516875000006E-2</v>
      </c>
      <c r="C3" s="8">
        <f>SUM('Utility Revenue'!C64,'Utility Revenue'!C68:C73,'Utility Revenue'!C75,'Utility Revenue'!C76,'Utility Revenue'!C77,'Utility Revenue'!C84:C86)/'Utility Revenue'!C91*'Utility Revenue'!C94</f>
        <v>3.5512517787692308E-2</v>
      </c>
      <c r="D3" s="8">
        <f>SUM('Utility Revenue'!D64,'Utility Revenue'!D68:D73,'Utility Revenue'!D75,'Utility Revenue'!D76,'Utility Revenue'!D77,'Utility Revenue'!D84:D86)/'Utility Revenue'!D91*'Utility Revenue'!D94</f>
        <v>3.4937617816363634E-2</v>
      </c>
      <c r="E3" s="8">
        <f>SUM('Utility Revenue'!E64,'Utility Revenue'!E68:E73,'Utility Revenue'!E75,'Utility Revenue'!E76,'Utility Revenue'!E77,'Utility Revenue'!E84:E86)/'Utility Revenue'!E91*'Utility Revenue'!E94</f>
        <v>4.0181844533333337E-2</v>
      </c>
      <c r="F3" s="8">
        <f>SUM('Utility Revenue'!F64,'Utility Revenue'!F68:F73,'Utility Revenue'!F75,'Utility Revenue'!F76,'Utility Revenue'!F77,'Utility Revenue'!F84:F86)/'Utility Revenue'!F91*'Utility Revenue'!F94</f>
        <v>3.9520292664383561E-2</v>
      </c>
      <c r="G3" s="8">
        <f>SUM('Utility Revenue'!G64,'Utility Revenue'!G68:G73,'Utility Revenue'!G75,'Utility Revenue'!G76,'Utility Revenue'!G77,'Utility Revenue'!G84:G86)/'Utility Revenue'!G91*'Utility Revenue'!G94</f>
        <v>3.7779065405405404E-2</v>
      </c>
      <c r="H3" s="8">
        <f>SUM('Utility Revenue'!H64,'Utility Revenue'!H68:H73,'Utility Revenue'!H75,'Utility Revenue'!H76,'Utility Revenue'!H77,'Utility Revenue'!H84:H86)/'Utility Revenue'!H91*'Utility Revenue'!H94</f>
        <v>3.9821548888888891E-2</v>
      </c>
      <c r="I3" s="8">
        <f>SUM('Utility Revenue'!I64,'Utility Revenue'!I68:I73,'Utility Revenue'!I75,'Utility Revenue'!I76,'Utility Revenue'!I77,'Utility Revenue'!I84:I86)/'Utility Revenue'!I91*'Utility Revenue'!I94</f>
        <v>4.0199505919999989E-2</v>
      </c>
      <c r="J3" s="8">
        <f>SUM('Utility Revenue'!J64,'Utility Revenue'!J68:J73,'Utility Revenue'!J75,'Utility Revenue'!J76,'Utility Revenue'!J77,'Utility Revenue'!J84:J86)/'Utility Revenue'!J91*'Utility Revenue'!J94</f>
        <v>4.0337854048611108E-2</v>
      </c>
      <c r="K3" s="8">
        <f>SUM('Utility Revenue'!K64,'Utility Revenue'!K68:K73,'Utility Revenue'!K75,'Utility Revenue'!K76,'Utility Revenue'!K77,'Utility Revenue'!K84:K86)/'Utility Revenue'!K91*'Utility Revenue'!K94</f>
        <v>3.8211729012676054E-2</v>
      </c>
      <c r="L3" s="8">
        <f>SUM('Utility Revenue'!L64,'Utility Revenue'!L68:L73,'Utility Revenue'!L75,'Utility Revenue'!L76,'Utility Revenue'!L77,'Utility Revenue'!L84:L86)/'Utility Revenue'!L91*'Utility Revenue'!L94</f>
        <v>3.8457240064857144E-2</v>
      </c>
    </row>
    <row r="4" spans="1:15" x14ac:dyDescent="0.25">
      <c r="A4" t="s">
        <v>139</v>
      </c>
      <c r="B4" s="8">
        <f>SUM('Utility Revenue'!B65,'Utility Revenue'!B79,'Utility Revenue'!B89)/'Utility Revenue'!B91*'Utility Revenue'!B94</f>
        <v>1.3098932625863771E-2</v>
      </c>
      <c r="C4" s="8">
        <f>SUM('Utility Revenue'!C65,'Utility Revenue'!C79,'Utility Revenue'!C89)/'Utility Revenue'!C91*'Utility Revenue'!C94</f>
        <v>1.2954033462424382E-2</v>
      </c>
      <c r="D4" s="8">
        <f>SUM('Utility Revenue'!D65,'Utility Revenue'!D79,'Utility Revenue'!D89)/'Utility Revenue'!D91*'Utility Revenue'!D94</f>
        <v>1.2635254676222101E-2</v>
      </c>
      <c r="E4" s="8">
        <f>SUM('Utility Revenue'!E65,'Utility Revenue'!E79,'Utility Revenue'!E89)/'Utility Revenue'!E91*'Utility Revenue'!E94</f>
        <v>1.2472194800921356E-2</v>
      </c>
      <c r="F4" s="8">
        <f>SUM('Utility Revenue'!F65,'Utility Revenue'!F79,'Utility Revenue'!F89)/'Utility Revenue'!F91*'Utility Revenue'!F94</f>
        <v>1.2300200137932902E-2</v>
      </c>
      <c r="G4" s="8">
        <f>SUM('Utility Revenue'!G65,'Utility Revenue'!G79,'Utility Revenue'!G89)/'Utility Revenue'!G91*'Utility Revenue'!G94</f>
        <v>1.1627224460393267E-2</v>
      </c>
      <c r="H4" s="8">
        <f>SUM('Utility Revenue'!H65,'Utility Revenue'!H79,'Utility Revenue'!H89)/'Utility Revenue'!H91*'Utility Revenue'!H94</f>
        <v>1.1429369584293079E-2</v>
      </c>
      <c r="I4" s="8">
        <f>SUM('Utility Revenue'!I65,'Utility Revenue'!I79,'Utility Revenue'!I89)/'Utility Revenue'!I91*'Utility Revenue'!I94</f>
        <v>1.1220208715272881E-2</v>
      </c>
      <c r="J4" s="8">
        <f>SUM('Utility Revenue'!J65,'Utility Revenue'!J79,'Utility Revenue'!J89)/'Utility Revenue'!J91*'Utility Revenue'!J94</f>
        <v>1.0387702917626411E-2</v>
      </c>
      <c r="K4" s="8">
        <f>SUM('Utility Revenue'!K65,'Utility Revenue'!K79,'Utility Revenue'!K89)/'Utility Revenue'!K91*'Utility Revenue'!K94</f>
        <v>1.0005839578438053E-2</v>
      </c>
      <c r="L4" s="8">
        <f>SUM('Utility Revenue'!L65,'Utility Revenue'!L79,'Utility Revenue'!L89)/'Utility Revenue'!L91*'Utility Revenue'!L94</f>
        <v>9.6130658581300259E-3</v>
      </c>
    </row>
    <row r="5" spans="1:15" x14ac:dyDescent="0.25">
      <c r="A5" s="22" t="s">
        <v>140</v>
      </c>
      <c r="B5" s="51">
        <f>SUM('Utility Revenue'!B66,'Utility Revenue'!B78,'Utility Revenue'!B80,'Utility Revenue'!B90)/'Utility Revenue'!B91*'Utility Revenue'!B94</f>
        <v>9.4280000000000006E-3</v>
      </c>
      <c r="C5" s="51">
        <f>SUM('Utility Revenue'!C66,'Utility Revenue'!C78,'Utility Revenue'!C80,'Utility Revenue'!C90)/'Utility Revenue'!C91*'Utility Revenue'!C94</f>
        <v>9.1889743589743597E-3</v>
      </c>
      <c r="D5" s="51">
        <f>SUM('Utility Revenue'!D66,'Utility Revenue'!D78,'Utility Revenue'!D80,'Utility Revenue'!D90)/'Utility Revenue'!D91*'Utility Revenue'!D94</f>
        <v>8.8212987012987014E-3</v>
      </c>
      <c r="E5" s="51">
        <f>SUM('Utility Revenue'!E66,'Utility Revenue'!E78,'Utility Revenue'!E80,'Utility Revenue'!E90)/'Utility Revenue'!E91*'Utility Revenue'!E94</f>
        <v>8.556533333333333E-3</v>
      </c>
      <c r="F5" s="51">
        <f>SUM('Utility Revenue'!F66,'Utility Revenue'!F78,'Utility Revenue'!F80,'Utility Revenue'!F90)/'Utility Revenue'!F91*'Utility Revenue'!F94</f>
        <v>8.2772602739726031E-3</v>
      </c>
      <c r="G5" s="51">
        <f>SUM('Utility Revenue'!G66,'Utility Revenue'!G78,'Utility Revenue'!G80,'Utility Revenue'!G90)/'Utility Revenue'!G91*'Utility Revenue'!G94</f>
        <v>7.658648648648651E-3</v>
      </c>
      <c r="H5" s="51">
        <f>SUM('Utility Revenue'!H66,'Utility Revenue'!H78,'Utility Revenue'!H80,'Utility Revenue'!H90)/'Utility Revenue'!H91*'Utility Revenue'!H94</f>
        <v>7.3505555555555555E-3</v>
      </c>
      <c r="I5" s="51">
        <f>SUM('Utility Revenue'!I66,'Utility Revenue'!I78,'Utility Revenue'!I80,'Utility Revenue'!I90)/'Utility Revenue'!I91*'Utility Revenue'!I94</f>
        <v>7.0248571428571435E-3</v>
      </c>
      <c r="J5" s="51">
        <f>SUM('Utility Revenue'!J66,'Utility Revenue'!J78,'Utility Revenue'!J80,'Utility Revenue'!J90)/'Utility Revenue'!J91*'Utility Revenue'!J94</f>
        <v>6.3088888888888873E-3</v>
      </c>
      <c r="K5" s="51">
        <f>SUM('Utility Revenue'!K66,'Utility Revenue'!K78,'Utility Revenue'!K80,'Utility Revenue'!K90)/'Utility Revenue'!K91*'Utility Revenue'!K94</f>
        <v>5.8695774647887326E-3</v>
      </c>
      <c r="L5" s="51">
        <f>SUM('Utility Revenue'!L66,'Utility Revenue'!L78,'Utility Revenue'!L80,'Utility Revenue'!L90)/'Utility Revenue'!L91*'Utility Revenue'!L94</f>
        <v>5.4177142857142853E-3</v>
      </c>
    </row>
    <row r="6" spans="1:15" x14ac:dyDescent="0.25">
      <c r="A6" s="53" t="s">
        <v>149</v>
      </c>
      <c r="B6" s="54">
        <f>INDEX('Utility Revenue'!$B$98:$L$98,1,MATCH('Customer Bills'!B$2,'Utility Revenue'!$B$97:$L$97,0))*1000/INDEX('Game Assumptions'!$B$80:$L$80,1,MATCH('Customer Bills'!B$2,'Game Assumptions'!$B$79:$L$79,0))</f>
        <v>1000</v>
      </c>
      <c r="C6" s="54">
        <f>INDEX('Utility Revenue'!$B$98:$L$98,1,MATCH('Customer Bills'!C$2,'Utility Revenue'!$B$97:$L$97,0))*1000/INDEX('Game Assumptions'!$B$80:$L$80,1,MATCH('Customer Bills'!C$2,'Game Assumptions'!$B$79:$L$79,0))</f>
        <v>968.44775000000004</v>
      </c>
      <c r="D6" s="54">
        <f>INDEX('Utility Revenue'!$B$98:$L$98,1,MATCH('Customer Bills'!D$2,'Utility Revenue'!$B$97:$L$97,0))*1000/INDEX('Game Assumptions'!$B$80:$L$80,1,MATCH('Customer Bills'!D$2,'Game Assumptions'!$B$79:$L$79,0))</f>
        <v>966.30862500000001</v>
      </c>
      <c r="E6" s="54">
        <f>INDEX('Utility Revenue'!$B$98:$L$98,1,MATCH('Customer Bills'!E$2,'Utility Revenue'!$B$97:$L$97,0))*1000/INDEX('Game Assumptions'!$B$80:$L$80,1,MATCH('Customer Bills'!E$2,'Game Assumptions'!$B$79:$L$79,0))</f>
        <v>934.38937499999997</v>
      </c>
      <c r="F6" s="54">
        <f>INDEX('Utility Revenue'!$B$98:$L$98,1,MATCH('Customer Bills'!F$2,'Utility Revenue'!$B$97:$L$97,0))*1000/INDEX('Game Assumptions'!$B$80:$L$80,1,MATCH('Customer Bills'!F$2,'Game Assumptions'!$B$79:$L$79,0))</f>
        <v>895.87987499999997</v>
      </c>
      <c r="G6" s="54">
        <f>INDEX('Utility Revenue'!$B$98:$L$98,1,MATCH('Customer Bills'!G$2,'Utility Revenue'!$B$97:$L$97,0))*1000/INDEX('Game Assumptions'!$B$80:$L$80,1,MATCH('Customer Bills'!G$2,'Game Assumptions'!$B$79:$L$79,0))</f>
        <v>925.36862499999995</v>
      </c>
      <c r="H6" s="54">
        <f>INDEX('Utility Revenue'!$B$98:$L$98,1,MATCH('Customer Bills'!H$2,'Utility Revenue'!$B$97:$L$97,0))*1000/INDEX('Game Assumptions'!$B$80:$L$80,1,MATCH('Customer Bills'!H$2,'Game Assumptions'!$B$79:$L$79,0))</f>
        <v>909.47349999999994</v>
      </c>
      <c r="I6" s="54">
        <f>INDEX('Utility Revenue'!$B$98:$L$98,1,MATCH('Customer Bills'!I$2,'Utility Revenue'!$B$97:$L$97,0))*1000/INDEX('Game Assumptions'!$B$80:$L$80,1,MATCH('Customer Bills'!I$2,'Game Assumptions'!$B$79:$L$79,0))</f>
        <v>869.55499999999995</v>
      </c>
      <c r="J6" s="54">
        <f>INDEX('Utility Revenue'!$B$98:$L$98,1,MATCH('Customer Bills'!J$2,'Utility Revenue'!$B$97:$L$97,0))*1000/INDEX('Game Assumptions'!$B$80:$L$80,1,MATCH('Customer Bills'!J$2,'Game Assumptions'!$B$79:$L$79,0))</f>
        <v>904.960375</v>
      </c>
      <c r="K6" s="54">
        <f>INDEX('Utility Revenue'!$B$98:$L$98,1,MATCH('Customer Bills'!K$2,'Utility Revenue'!$B$97:$L$97,0))*1000/INDEX('Game Assumptions'!$B$80:$L$80,1,MATCH('Customer Bills'!K$2,'Game Assumptions'!$B$79:$L$79,0))</f>
        <v>871.49337500000001</v>
      </c>
      <c r="L6" s="54">
        <f>INDEX('Utility Revenue'!$B$98:$L$98,1,MATCH('Customer Bills'!L$2,'Utility Revenue'!$B$97:$L$97,0))*1000/INDEX('Game Assumptions'!$B$80:$L$80,1,MATCH('Customer Bills'!L$2,'Game Assumptions'!$B$79:$L$79,0))</f>
        <v>885.81612500000006</v>
      </c>
    </row>
    <row r="7" spans="1:15" ht="15.75" thickBot="1" x14ac:dyDescent="0.3">
      <c r="A7" s="55" t="s">
        <v>144</v>
      </c>
      <c r="B7" s="56">
        <f>B6*SUM(B3:B5)</f>
        <v>59.887449500863774</v>
      </c>
      <c r="C7" s="56">
        <f t="shared" ref="C7:L7" si="0">C6*SUM(C3:C5)</f>
        <v>55.836364051191609</v>
      </c>
      <c r="D7" s="56">
        <f t="shared" si="0"/>
        <v>54.494174024377088</v>
      </c>
      <c r="E7" s="56">
        <f t="shared" si="0"/>
        <v>57.194508738259657</v>
      </c>
      <c r="F7" s="56">
        <f t="shared" si="0"/>
        <v>53.840367513766708</v>
      </c>
      <c r="G7" s="56">
        <f t="shared" si="0"/>
        <v>52.806103688823661</v>
      </c>
      <c r="H7" s="56">
        <f t="shared" si="0"/>
        <v>53.296487690075018</v>
      </c>
      <c r="I7" s="56">
        <f t="shared" si="0"/>
        <v>50.820769612531841</v>
      </c>
      <c r="J7" s="56">
        <f t="shared" si="0"/>
        <v>51.613913508972388</v>
      </c>
      <c r="K7" s="56">
        <f t="shared" si="0"/>
        <v>47.136589460376705</v>
      </c>
      <c r="L7" s="56">
        <f t="shared" si="0"/>
        <v>47.380550795193614</v>
      </c>
    </row>
    <row r="8" spans="1:15" ht="15.75" thickTop="1" x14ac:dyDescent="0.25">
      <c r="A8" s="57" t="s">
        <v>141</v>
      </c>
      <c r="B8" s="58"/>
      <c r="C8" s="58"/>
      <c r="D8" s="58"/>
      <c r="E8" s="58"/>
      <c r="F8" s="58"/>
      <c r="G8" s="58"/>
      <c r="H8" s="58"/>
      <c r="I8" s="58"/>
      <c r="J8" s="58"/>
      <c r="K8" s="58"/>
      <c r="L8" s="58"/>
    </row>
    <row r="9" spans="1:15" x14ac:dyDescent="0.25">
      <c r="A9" t="s">
        <v>142</v>
      </c>
      <c r="B9" s="15">
        <f>INDEX('Utility Revenue'!$B$59:$L$59,1,MATCH('Customer Bills'!B$2,'Utility Revenue'!$B$38:$L$38,0))</f>
        <v>9.375</v>
      </c>
      <c r="C9" s="15">
        <f>INDEX('Utility Revenue'!$B$59:$L$59,1,MATCH('Customer Bills'!C$2,'Utility Revenue'!$B$38:$L$38,0))</f>
        <v>8.90625</v>
      </c>
      <c r="D9" s="15">
        <f>INDEX('Utility Revenue'!$B$59:$L$59,1,MATCH('Customer Bills'!D$2,'Utility Revenue'!$B$38:$L$38,0))</f>
        <v>8.4375</v>
      </c>
      <c r="E9" s="15">
        <f>INDEX('Utility Revenue'!$B$59:$L$59,1,MATCH('Customer Bills'!E$2,'Utility Revenue'!$B$38:$L$38,0))</f>
        <v>7.96875</v>
      </c>
      <c r="F9" s="15">
        <f>INDEX('Utility Revenue'!$B$59:$L$59,1,MATCH('Customer Bills'!F$2,'Utility Revenue'!$B$38:$L$38,0))</f>
        <v>7.5</v>
      </c>
      <c r="G9" s="15">
        <f>INDEX('Utility Revenue'!$B$59:$L$59,1,MATCH('Customer Bills'!G$2,'Utility Revenue'!$B$38:$L$38,0))</f>
        <v>7.0312500000000018</v>
      </c>
      <c r="H9" s="15">
        <f>INDEX('Utility Revenue'!$B$59:$L$59,1,MATCH('Customer Bills'!H$2,'Utility Revenue'!$B$38:$L$38,0))</f>
        <v>6.5625</v>
      </c>
      <c r="I9" s="15">
        <f>INDEX('Utility Revenue'!$B$59:$L$59,1,MATCH('Customer Bills'!I$2,'Utility Revenue'!$B$38:$L$38,0))</f>
        <v>6.0937500000000009</v>
      </c>
      <c r="J9" s="15">
        <f>INDEX('Utility Revenue'!$B$59:$L$59,1,MATCH('Customer Bills'!J$2,'Utility Revenue'!$B$38:$L$38,0))</f>
        <v>5.6249999999999991</v>
      </c>
      <c r="K9" s="15">
        <f>INDEX('Utility Revenue'!$B$59:$L$59,1,MATCH('Customer Bills'!K$2,'Utility Revenue'!$B$38:$L$38,0))</f>
        <v>5.15625</v>
      </c>
      <c r="L9" s="15">
        <f>INDEX('Utility Revenue'!$B$59:$L$59,1,MATCH('Customer Bills'!L$2,'Utility Revenue'!$B$38:$L$38,0))</f>
        <v>4.6875</v>
      </c>
    </row>
    <row r="10" spans="1:15" x14ac:dyDescent="0.25">
      <c r="A10" s="22" t="s">
        <v>143</v>
      </c>
      <c r="B10" s="59">
        <f>'Game Assumptions'!$B$8</f>
        <v>5</v>
      </c>
      <c r="C10" s="59">
        <f>'Game Assumptions'!$B$8</f>
        <v>5</v>
      </c>
      <c r="D10" s="59">
        <f>'Game Assumptions'!$B$8</f>
        <v>5</v>
      </c>
      <c r="E10" s="59">
        <f>'Game Assumptions'!$B$8</f>
        <v>5</v>
      </c>
      <c r="F10" s="59">
        <f>'Game Assumptions'!$B$8</f>
        <v>5</v>
      </c>
      <c r="G10" s="59">
        <f>'Game Assumptions'!$B$8</f>
        <v>5</v>
      </c>
      <c r="H10" s="59">
        <f>'Game Assumptions'!$B$8</f>
        <v>5</v>
      </c>
      <c r="I10" s="59">
        <f>'Game Assumptions'!$B$8</f>
        <v>5</v>
      </c>
      <c r="J10" s="59">
        <f>'Game Assumptions'!$B$8</f>
        <v>5</v>
      </c>
      <c r="K10" s="59">
        <f>'Game Assumptions'!$B$8</f>
        <v>5</v>
      </c>
      <c r="L10" s="59">
        <f>'Game Assumptions'!$B$8</f>
        <v>5</v>
      </c>
    </row>
    <row r="11" spans="1:15" ht="15.75" thickBot="1" x14ac:dyDescent="0.3">
      <c r="A11" s="55" t="s">
        <v>145</v>
      </c>
      <c r="B11" s="56">
        <f>SUM(B9:B10)</f>
        <v>14.375</v>
      </c>
      <c r="C11" s="56">
        <f t="shared" ref="C11:L11" si="1">SUM(C9:C10)</f>
        <v>13.90625</v>
      </c>
      <c r="D11" s="56">
        <f t="shared" si="1"/>
        <v>13.4375</v>
      </c>
      <c r="E11" s="56">
        <f t="shared" si="1"/>
        <v>12.96875</v>
      </c>
      <c r="F11" s="56">
        <f t="shared" si="1"/>
        <v>12.5</v>
      </c>
      <c r="G11" s="56">
        <f t="shared" si="1"/>
        <v>12.031250000000002</v>
      </c>
      <c r="H11" s="56">
        <f t="shared" si="1"/>
        <v>11.5625</v>
      </c>
      <c r="I11" s="56">
        <f t="shared" si="1"/>
        <v>11.09375</v>
      </c>
      <c r="J11" s="56">
        <f t="shared" si="1"/>
        <v>10.625</v>
      </c>
      <c r="K11" s="56">
        <f t="shared" si="1"/>
        <v>10.15625</v>
      </c>
      <c r="L11" s="56">
        <f t="shared" si="1"/>
        <v>9.6875</v>
      </c>
    </row>
    <row r="12" spans="1:15" ht="16.5" thickTop="1" thickBot="1" x14ac:dyDescent="0.3">
      <c r="A12" s="60" t="s">
        <v>146</v>
      </c>
      <c r="B12" s="61">
        <f>B11+B7</f>
        <v>74.262449500863767</v>
      </c>
      <c r="C12" s="61">
        <f t="shared" ref="C12:L12" si="2">C11+C7</f>
        <v>69.742614051191609</v>
      </c>
      <c r="D12" s="61">
        <f t="shared" si="2"/>
        <v>67.931674024377088</v>
      </c>
      <c r="E12" s="61">
        <f t="shared" si="2"/>
        <v>70.163258738259657</v>
      </c>
      <c r="F12" s="61">
        <f t="shared" si="2"/>
        <v>66.340367513766708</v>
      </c>
      <c r="G12" s="61">
        <f t="shared" si="2"/>
        <v>64.837353688823669</v>
      </c>
      <c r="H12" s="61">
        <f t="shared" si="2"/>
        <v>64.858987690075026</v>
      </c>
      <c r="I12" s="61">
        <f t="shared" si="2"/>
        <v>61.914519612531841</v>
      </c>
      <c r="J12" s="61">
        <f t="shared" si="2"/>
        <v>62.238913508972388</v>
      </c>
      <c r="K12" s="61">
        <f t="shared" si="2"/>
        <v>57.292839460376705</v>
      </c>
      <c r="L12" s="61">
        <f t="shared" si="2"/>
        <v>57.068050795193614</v>
      </c>
    </row>
    <row r="13" spans="1:15" ht="15.75" thickTop="1" x14ac:dyDescent="0.25"/>
    <row r="15" spans="1:15" x14ac:dyDescent="0.25">
      <c r="A15" s="4"/>
    </row>
    <row r="16" spans="1:15" x14ac:dyDescent="0.25">
      <c r="A16" s="17"/>
    </row>
    <row r="17" spans="1:3" x14ac:dyDescent="0.25">
      <c r="A17" s="17"/>
    </row>
    <row r="18" spans="1:3" x14ac:dyDescent="0.25">
      <c r="A18" s="17"/>
    </row>
    <row r="19" spans="1:3" x14ac:dyDescent="0.25">
      <c r="A19" s="17"/>
    </row>
    <row r="20" spans="1:3" x14ac:dyDescent="0.25">
      <c r="A20" s="17"/>
    </row>
    <row r="21" spans="1:3" x14ac:dyDescent="0.25">
      <c r="A21" s="17"/>
    </row>
    <row r="22" spans="1:3" x14ac:dyDescent="0.25">
      <c r="A22" s="1"/>
      <c r="B22" s="1"/>
      <c r="C22" s="1"/>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theme="5"/>
  </sheetPr>
  <dimension ref="A1:L148"/>
  <sheetViews>
    <sheetView topLeftCell="A4" workbookViewId="0">
      <selection activeCell="B10" sqref="B10:L11"/>
    </sheetView>
  </sheetViews>
  <sheetFormatPr defaultRowHeight="15" x14ac:dyDescent="0.25"/>
  <cols>
    <col min="1" max="1" width="62.42578125" customWidth="1"/>
    <col min="2" max="2" width="25.42578125" customWidth="1"/>
    <col min="3" max="3" width="16.28515625" bestFit="1" customWidth="1"/>
    <col min="4" max="4" width="15.28515625" customWidth="1"/>
    <col min="5" max="12" width="16.28515625" bestFit="1" customWidth="1"/>
  </cols>
  <sheetData>
    <row r="1" spans="1:12" ht="15.75" thickBot="1" x14ac:dyDescent="0.3">
      <c r="A1" s="1" t="s">
        <v>15</v>
      </c>
      <c r="B1" s="32">
        <f>'Event Tracker'!P1</f>
        <v>0</v>
      </c>
    </row>
    <row r="2" spans="1:12" ht="15.75" thickBot="1" x14ac:dyDescent="0.3">
      <c r="A2" s="1" t="s">
        <v>37</v>
      </c>
      <c r="B2" s="32" t="str">
        <f>'Initial Setup'!B3</f>
        <v>GTDR</v>
      </c>
    </row>
    <row r="6" spans="1:12" x14ac:dyDescent="0.25">
      <c r="A6" s="9" t="s">
        <v>69</v>
      </c>
      <c r="B6" s="9">
        <v>0</v>
      </c>
      <c r="C6" s="9">
        <v>1</v>
      </c>
      <c r="D6" s="9">
        <v>2</v>
      </c>
      <c r="E6" s="9">
        <v>3</v>
      </c>
      <c r="F6" s="9">
        <v>4</v>
      </c>
      <c r="G6" s="9">
        <v>5</v>
      </c>
      <c r="H6" s="9">
        <v>6</v>
      </c>
      <c r="I6" s="9">
        <v>7</v>
      </c>
      <c r="J6" s="9">
        <v>8</v>
      </c>
      <c r="K6" s="9">
        <v>9</v>
      </c>
      <c r="L6" s="9">
        <v>10</v>
      </c>
    </row>
    <row r="7" spans="1:12" x14ac:dyDescent="0.25">
      <c r="A7" s="24" t="s">
        <v>112</v>
      </c>
    </row>
    <row r="8" spans="1:12" x14ac:dyDescent="0.25">
      <c r="A8" s="28" t="s">
        <v>68</v>
      </c>
      <c r="B8" s="27"/>
      <c r="C8" s="27"/>
      <c r="D8" s="27"/>
      <c r="E8" s="27"/>
      <c r="F8" s="27"/>
      <c r="G8" s="27"/>
      <c r="H8" s="27"/>
      <c r="I8" s="27"/>
      <c r="J8" s="27"/>
      <c r="K8" s="27"/>
      <c r="L8" s="27"/>
    </row>
    <row r="9" spans="1:12" x14ac:dyDescent="0.25">
      <c r="A9" s="26" t="s">
        <v>94</v>
      </c>
      <c r="B9" s="27">
        <f>IF($B$2="DR",0,PMT('Game Assumptions'!$B$5,'Game Assumptions'!$B$14,'Game Assumptions'!$B$2*(20-B$6)/20))*-1</f>
        <v>100000000</v>
      </c>
      <c r="C9" s="27">
        <f>IF($B$2="DR",0,PMT('Game Assumptions'!$B$5,'Game Assumptions'!$B$14,'Game Assumptions'!$B$2*(20-C$6)/20))*-1</f>
        <v>95000000</v>
      </c>
      <c r="D9" s="27">
        <f>IF($B$2="DR",0,PMT('Game Assumptions'!$B$5,'Game Assumptions'!$B$14,'Game Assumptions'!$B$2*(20-D$6)/20))*-1</f>
        <v>90000000</v>
      </c>
      <c r="E9" s="27">
        <f>IF($B$2="DR",0,PMT('Game Assumptions'!$B$5,'Game Assumptions'!$B$14,'Game Assumptions'!$B$2*(20-E$6)/20))*-1</f>
        <v>85000000</v>
      </c>
      <c r="F9" s="27">
        <f>IF($B$2="DR",0,PMT('Game Assumptions'!$B$5,'Game Assumptions'!$B$14,'Game Assumptions'!$B$2*(20-F$6)/20))*-1</f>
        <v>80000000</v>
      </c>
      <c r="G9" s="27">
        <f>IF($B$2="DR",0,PMT('Game Assumptions'!$B$5,'Game Assumptions'!$B$14,'Game Assumptions'!$B$2*(20-G$6)/20))*-1</f>
        <v>75000000.000000015</v>
      </c>
      <c r="H9" s="27">
        <f>IF($B$2="DR",0,PMT('Game Assumptions'!$B$5,'Game Assumptions'!$B$14,'Game Assumptions'!$B$2*(20-H$6)/20))*-1</f>
        <v>70000000</v>
      </c>
      <c r="I9" s="27">
        <f>IF($B$2="DR",0,PMT('Game Assumptions'!$B$5,'Game Assumptions'!$B$14,'Game Assumptions'!$B$2*(20-I$6)/20))*-1</f>
        <v>65000000.000000007</v>
      </c>
      <c r="J9" s="27">
        <f>IF($B$2="DR",0,PMT('Game Assumptions'!$B$5,'Game Assumptions'!$B$14,'Game Assumptions'!$B$2*(20-J$6)/20))*-1</f>
        <v>59999999.999999993</v>
      </c>
      <c r="K9" s="27">
        <f>IF($B$2="DR",0,PMT('Game Assumptions'!$B$5,'Game Assumptions'!$B$14,'Game Assumptions'!$B$2*(20-K$6)/20))*-1</f>
        <v>55000000</v>
      </c>
      <c r="L9" s="27">
        <f>IF($B$2="DR",0,PMT('Game Assumptions'!$B$5,'Game Assumptions'!$B$14,'Game Assumptions'!$B$2*(20-L$6)/20))*-1</f>
        <v>50000000</v>
      </c>
    </row>
    <row r="10" spans="1:12" x14ac:dyDescent="0.25">
      <c r="A10" s="26" t="s">
        <v>95</v>
      </c>
      <c r="B10" s="27">
        <f>PMT('Game Assumptions'!$B$5,'Game Assumptions'!$B$14,'Game Assumptions'!$B$2*(20-B$6)/20)*-1</f>
        <v>100000000</v>
      </c>
      <c r="C10" s="27">
        <f>PMT('Game Assumptions'!$B$5,'Game Assumptions'!$B$14,'Game Assumptions'!$B$2*(20-C$6)/20)*-1</f>
        <v>95000000</v>
      </c>
      <c r="D10" s="27">
        <f>PMT('Game Assumptions'!$B$5,'Game Assumptions'!$B$14,'Game Assumptions'!$B$2*(20-D$6)/20)*-1</f>
        <v>90000000</v>
      </c>
      <c r="E10" s="27">
        <f>PMT('Game Assumptions'!$B$5,'Game Assumptions'!$B$14,'Game Assumptions'!$B$2*(20-E$6)/20)*-1</f>
        <v>85000000</v>
      </c>
      <c r="F10" s="27">
        <f>PMT('Game Assumptions'!$B$5,'Game Assumptions'!$B$14,'Game Assumptions'!$B$2*(20-F$6)/20)*-1</f>
        <v>80000000</v>
      </c>
      <c r="G10" s="27">
        <f>PMT('Game Assumptions'!$B$5,'Game Assumptions'!$B$14,'Game Assumptions'!$B$2*(20-G$6)/20)*-1</f>
        <v>75000000.000000015</v>
      </c>
      <c r="H10" s="27">
        <f>PMT('Game Assumptions'!$B$5,'Game Assumptions'!$B$14,'Game Assumptions'!$B$2*(20-H$6)/20)*-1</f>
        <v>70000000</v>
      </c>
      <c r="I10" s="27">
        <f>PMT('Game Assumptions'!$B$5,'Game Assumptions'!$B$14,'Game Assumptions'!$B$2*(20-I$6)/20)*-1</f>
        <v>65000000.000000007</v>
      </c>
      <c r="J10" s="27">
        <f>PMT('Game Assumptions'!$B$5,'Game Assumptions'!$B$14,'Game Assumptions'!$B$2*(20-J$6)/20)*-1</f>
        <v>59999999.999999993</v>
      </c>
      <c r="K10" s="27">
        <f>PMT('Game Assumptions'!$B$5,'Game Assumptions'!$B$14,'Game Assumptions'!$B$2*(20-K$6)/20)*-1</f>
        <v>55000000</v>
      </c>
      <c r="L10" s="27">
        <f>PMT('Game Assumptions'!$B$5,'Game Assumptions'!$B$14,'Game Assumptions'!$B$2*(20-L$6)/20)*-1</f>
        <v>50000000</v>
      </c>
    </row>
    <row r="11" spans="1:12" x14ac:dyDescent="0.25">
      <c r="A11" s="29" t="s">
        <v>96</v>
      </c>
      <c r="B11" s="23">
        <f>PMT('Game Assumptions'!$B$5,'Game Assumptions'!$B$14,'Game Assumptions'!$B$2*(20-B$6)/20)*-1</f>
        <v>100000000</v>
      </c>
      <c r="C11" s="23">
        <f>PMT('Game Assumptions'!$B$5,'Game Assumptions'!$B$14,'Game Assumptions'!$B$2*(20-C$6)/20)*-1</f>
        <v>95000000</v>
      </c>
      <c r="D11" s="23">
        <f>PMT('Game Assumptions'!$B$5,'Game Assumptions'!$B$14,'Game Assumptions'!$B$2*(20-D$6)/20)*-1</f>
        <v>90000000</v>
      </c>
      <c r="E11" s="23">
        <f>PMT('Game Assumptions'!$B$5,'Game Assumptions'!$B$14,'Game Assumptions'!$B$2*(20-E$6)/20)*-1</f>
        <v>85000000</v>
      </c>
      <c r="F11" s="23">
        <f>PMT('Game Assumptions'!$B$5,'Game Assumptions'!$B$14,'Game Assumptions'!$B$2*(20-F$6)/20)*-1</f>
        <v>80000000</v>
      </c>
      <c r="G11" s="23">
        <f>PMT('Game Assumptions'!$B$5,'Game Assumptions'!$B$14,'Game Assumptions'!$B$2*(20-G$6)/20)*-1</f>
        <v>75000000.000000015</v>
      </c>
      <c r="H11" s="23">
        <f>PMT('Game Assumptions'!$B$5,'Game Assumptions'!$B$14,'Game Assumptions'!$B$2*(20-H$6)/20)*-1</f>
        <v>70000000</v>
      </c>
      <c r="I11" s="23">
        <f>PMT('Game Assumptions'!$B$5,'Game Assumptions'!$B$14,'Game Assumptions'!$B$2*(20-I$6)/20)*-1</f>
        <v>65000000.000000007</v>
      </c>
      <c r="J11" s="23">
        <f>PMT('Game Assumptions'!$B$5,'Game Assumptions'!$B$14,'Game Assumptions'!$B$2*(20-J$6)/20)*-1</f>
        <v>59999999.999999993</v>
      </c>
      <c r="K11" s="23">
        <f>PMT('Game Assumptions'!$B$5,'Game Assumptions'!$B$14,'Game Assumptions'!$B$2*(20-K$6)/20)*-1</f>
        <v>55000000</v>
      </c>
      <c r="L11" s="23">
        <f>PMT('Game Assumptions'!$B$5,'Game Assumptions'!$B$14,'Game Assumptions'!$B$2*(20-L$6)/20)*-1</f>
        <v>50000000</v>
      </c>
    </row>
    <row r="12" spans="1:12" x14ac:dyDescent="0.25">
      <c r="A12" s="4" t="s">
        <v>73</v>
      </c>
    </row>
    <row r="13" spans="1:12" x14ac:dyDescent="0.25">
      <c r="A13" t="s">
        <v>70</v>
      </c>
      <c r="B13" s="7">
        <f>IF($B$2="DR",0,PMT('Game Assumptions'!$B$5,'Game Assumptions'!$B$14,'Game Assumptions'!$G26*'Resource Mix and Demand'!B2)*-1)</f>
        <v>0</v>
      </c>
      <c r="C13" s="7">
        <f>IF($B$2="DR",0,PMT('Game Assumptions'!$B$5,'Game Assumptions'!$B$14,'Game Assumptions'!$G26*'Resource Mix and Demand'!C2)*-1)+B13</f>
        <v>0</v>
      </c>
      <c r="D13" s="7">
        <f>IF($B$2="DR",0,PMT('Game Assumptions'!$B$5,'Game Assumptions'!$B$14,'Game Assumptions'!$G26*'Resource Mix and Demand'!D2)*-1)+C13</f>
        <v>0</v>
      </c>
      <c r="E13" s="7">
        <f>IF($B$2="DR",0,PMT('Game Assumptions'!$B$5,'Game Assumptions'!$B$14,'Game Assumptions'!$G26*'Resource Mix and Demand'!E2)*-1)+D13</f>
        <v>0</v>
      </c>
      <c r="F13" s="7">
        <f>IF($B$2="DR",0,PMT('Game Assumptions'!$B$5,'Game Assumptions'!$B$14,'Game Assumptions'!$G26*'Resource Mix and Demand'!F2)*-1)+E13</f>
        <v>0</v>
      </c>
      <c r="G13" s="7">
        <f>IF($B$2="DR",0,PMT('Game Assumptions'!$B$5,'Game Assumptions'!$B$14,'Game Assumptions'!$G26*'Resource Mix and Demand'!G2)*-1)+F13</f>
        <v>0</v>
      </c>
      <c r="H13" s="7">
        <f>IF($B$2="DR",0,PMT('Game Assumptions'!$B$5,'Game Assumptions'!$B$14,'Game Assumptions'!$G26*'Resource Mix and Demand'!H2)*-1)+G13</f>
        <v>0</v>
      </c>
      <c r="I13" s="7">
        <f>IF($B$2="DR",0,PMT('Game Assumptions'!$B$5,'Game Assumptions'!$B$14,'Game Assumptions'!$G26*'Resource Mix and Demand'!I2)*-1)+H13</f>
        <v>0</v>
      </c>
      <c r="J13" s="7">
        <f>IF($B$2="DR",0,PMT('Game Assumptions'!$B$5,'Game Assumptions'!$B$14,'Game Assumptions'!$G26*'Resource Mix and Demand'!J2)*-1)+I13</f>
        <v>0</v>
      </c>
      <c r="K13" s="7">
        <f>IF($B$2="DR",0,PMT('Game Assumptions'!$B$5,'Game Assumptions'!$B$14,'Game Assumptions'!$G26*'Resource Mix and Demand'!K2)*-1)+J13</f>
        <v>0</v>
      </c>
      <c r="L13" s="7">
        <f>IF($B$2="DR",0,PMT('Game Assumptions'!$B$5,'Game Assumptions'!$B$14,'Game Assumptions'!$G26*'Resource Mix and Demand'!L2)*-1)+K13</f>
        <v>0</v>
      </c>
    </row>
    <row r="14" spans="1:12" x14ac:dyDescent="0.25">
      <c r="A14" t="s">
        <v>76</v>
      </c>
      <c r="B14" s="7">
        <f>IF($B$2="DR",0,PMT('Game Assumptions'!$B$5,'Game Assumptions'!$B$14,'Game Assumptions'!$G27*'Resource Mix and Demand'!B3)*-1)</f>
        <v>0</v>
      </c>
      <c r="C14" s="7">
        <f>IF($B$2="DR",0,PMT('Game Assumptions'!$B$5,'Game Assumptions'!$B$14,'Game Assumptions'!$G27*'Resource Mix and Demand'!C3)*-1)+B14</f>
        <v>0</v>
      </c>
      <c r="D14" s="7">
        <f>IF($B$2="DR",0,PMT('Game Assumptions'!$B$5,'Game Assumptions'!$B$14,'Game Assumptions'!$G27*'Resource Mix and Demand'!D3)*-1)+C14</f>
        <v>0</v>
      </c>
      <c r="E14" s="7">
        <f>IF($B$2="DR",0,PMT('Game Assumptions'!$B$5,'Game Assumptions'!$B$14,'Game Assumptions'!$G27*'Resource Mix and Demand'!E3)*-1)+D14</f>
        <v>0</v>
      </c>
      <c r="F14" s="7">
        <f>IF($B$2="DR",0,PMT('Game Assumptions'!$B$5,'Game Assumptions'!$B$14,'Game Assumptions'!$G27*'Resource Mix and Demand'!F3)*-1)+E14</f>
        <v>0</v>
      </c>
      <c r="G14" s="7">
        <f>IF($B$2="DR",0,PMT('Game Assumptions'!$B$5,'Game Assumptions'!$B$14,'Game Assumptions'!$G27*'Resource Mix and Demand'!G3)*-1)+F14</f>
        <v>0</v>
      </c>
      <c r="H14" s="7">
        <f>IF($B$2="DR",0,PMT('Game Assumptions'!$B$5,'Game Assumptions'!$B$14,'Game Assumptions'!$G27*'Resource Mix and Demand'!H3)*-1)+G14</f>
        <v>0</v>
      </c>
      <c r="I14" s="7">
        <f>IF($B$2="DR",0,PMT('Game Assumptions'!$B$5,'Game Assumptions'!$B$14,'Game Assumptions'!$G27*'Resource Mix and Demand'!I3)*-1)+H14</f>
        <v>0</v>
      </c>
      <c r="J14" s="7">
        <f>IF($B$2="DR",0,PMT('Game Assumptions'!$B$5,'Game Assumptions'!$B$14,'Game Assumptions'!$G27*'Resource Mix and Demand'!J3)*-1)+I14</f>
        <v>0</v>
      </c>
      <c r="K14" s="7">
        <f>IF($B$2="DR",0,PMT('Game Assumptions'!$B$5,'Game Assumptions'!$B$14,'Game Assumptions'!$G27*'Resource Mix and Demand'!K3)*-1)+J14</f>
        <v>0</v>
      </c>
      <c r="L14" s="7">
        <f>IF($B$2="DR",0,PMT('Game Assumptions'!$B$5,'Game Assumptions'!$B$14,'Game Assumptions'!$G27*'Resource Mix and Demand'!L3)*-1)+K14</f>
        <v>0</v>
      </c>
    </row>
    <row r="15" spans="1:12" x14ac:dyDescent="0.25">
      <c r="A15" t="s">
        <v>71</v>
      </c>
      <c r="B15" s="7">
        <f>IF($B$2="DR",0,PMT('Game Assumptions'!$B$5,'Game Assumptions'!$B$14,'Game Assumptions'!$G28*'Resource Mix and Demand'!B4)*-1)</f>
        <v>0</v>
      </c>
      <c r="C15" s="7">
        <f>IF($B$2="DR",0,PMT('Game Assumptions'!$B$5,'Game Assumptions'!$B$14,'Game Assumptions'!$G28*'Resource Mix and Demand'!C4)*-1)+B15</f>
        <v>0</v>
      </c>
      <c r="D15" s="7">
        <f>IF($B$2="DR",0,PMT('Game Assumptions'!$B$5,'Game Assumptions'!$B$14,'Game Assumptions'!$G28*'Resource Mix and Demand'!D4)*-1)+C15</f>
        <v>0</v>
      </c>
      <c r="E15" s="7">
        <f>IF($B$2="DR",0,PMT('Game Assumptions'!$B$5,'Game Assumptions'!$B$14,'Game Assumptions'!$G28*'Resource Mix and Demand'!E4)*-1)+D15</f>
        <v>0</v>
      </c>
      <c r="F15" s="7">
        <f>IF($B$2="DR",0,PMT('Game Assumptions'!$B$5,'Game Assumptions'!$B$14,'Game Assumptions'!$G28*'Resource Mix and Demand'!F4)*-1)+E15</f>
        <v>0</v>
      </c>
      <c r="G15" s="7">
        <f>IF($B$2="DR",0,PMT('Game Assumptions'!$B$5,'Game Assumptions'!$B$14,'Game Assumptions'!$G28*'Resource Mix and Demand'!G4)*-1)+F15</f>
        <v>0</v>
      </c>
      <c r="H15" s="7">
        <f>IF($B$2="DR",0,PMT('Game Assumptions'!$B$5,'Game Assumptions'!$B$14,'Game Assumptions'!$G28*'Resource Mix and Demand'!H4)*-1)+G15</f>
        <v>0</v>
      </c>
      <c r="I15" s="7">
        <f>IF($B$2="DR",0,PMT('Game Assumptions'!$B$5,'Game Assumptions'!$B$14,'Game Assumptions'!$G28*'Resource Mix and Demand'!I4)*-1)+H15</f>
        <v>0</v>
      </c>
      <c r="J15" s="7">
        <f>IF($B$2="DR",0,PMT('Game Assumptions'!$B$5,'Game Assumptions'!$B$14,'Game Assumptions'!$G28*'Resource Mix and Demand'!J4)*-1)+I15</f>
        <v>0</v>
      </c>
      <c r="K15" s="7">
        <f>IF($B$2="DR",0,PMT('Game Assumptions'!$B$5,'Game Assumptions'!$B$14,'Game Assumptions'!$G28*'Resource Mix and Demand'!K4)*-1)+J15</f>
        <v>0</v>
      </c>
      <c r="L15" s="7">
        <f>IF($B$2="DR",0,PMT('Game Assumptions'!$B$5,'Game Assumptions'!$B$14,'Game Assumptions'!$G28*'Resource Mix and Demand'!L4)*-1)+K15</f>
        <v>0</v>
      </c>
    </row>
    <row r="16" spans="1:12" x14ac:dyDescent="0.25">
      <c r="A16" t="s">
        <v>74</v>
      </c>
      <c r="B16" s="7">
        <f>IF($B$2="DR",0,PMT('Game Assumptions'!$B$5,'Game Assumptions'!$B$14,'Game Assumptions'!$G29*'Resource Mix and Demand'!B5)*-1)</f>
        <v>0</v>
      </c>
      <c r="C16" s="7">
        <f>IF($B$2="DR",0,PMT('Game Assumptions'!$B$5,'Game Assumptions'!$B$14,'Game Assumptions'!$G29*'Resource Mix and Demand'!C5)*-1)+B16</f>
        <v>0</v>
      </c>
      <c r="D16" s="7">
        <f>IF($B$2="DR",0,PMT('Game Assumptions'!$B$5,'Game Assumptions'!$B$14,'Game Assumptions'!$G29*'Resource Mix and Demand'!D5)*-1)+C16</f>
        <v>0</v>
      </c>
      <c r="E16" s="7">
        <f>IF($B$2="DR",0,PMT('Game Assumptions'!$B$5,'Game Assumptions'!$B$14,'Game Assumptions'!$G29*'Resource Mix and Demand'!E5)*-1)+D16</f>
        <v>0</v>
      </c>
      <c r="F16" s="7">
        <f>IF($B$2="DR",0,PMT('Game Assumptions'!$B$5,'Game Assumptions'!$B$14,'Game Assumptions'!$G29*'Resource Mix and Demand'!F5)*-1)+E16</f>
        <v>0</v>
      </c>
      <c r="G16" s="7">
        <f>IF($B$2="DR",0,PMT('Game Assumptions'!$B$5,'Game Assumptions'!$B$14,'Game Assumptions'!$G29*'Resource Mix and Demand'!G5)*-1)+F16</f>
        <v>0</v>
      </c>
      <c r="H16" s="7">
        <f>IF($B$2="DR",0,PMT('Game Assumptions'!$B$5,'Game Assumptions'!$B$14,'Game Assumptions'!$G29*'Resource Mix and Demand'!H5)*-1)+G16</f>
        <v>0</v>
      </c>
      <c r="I16" s="7">
        <f>IF($B$2="DR",0,PMT('Game Assumptions'!$B$5,'Game Assumptions'!$B$14,'Game Assumptions'!$G29*'Resource Mix and Demand'!I5)*-1)+H16</f>
        <v>0</v>
      </c>
      <c r="J16" s="7">
        <f>IF($B$2="DR",0,PMT('Game Assumptions'!$B$5,'Game Assumptions'!$B$14,'Game Assumptions'!$G29*'Resource Mix and Demand'!J5)*-1)+I16</f>
        <v>0</v>
      </c>
      <c r="K16" s="7">
        <f>IF($B$2="DR",0,PMT('Game Assumptions'!$B$5,'Game Assumptions'!$B$14,'Game Assumptions'!$G29*'Resource Mix and Demand'!K5)*-1)+J16</f>
        <v>0</v>
      </c>
      <c r="L16" s="7">
        <f>IF($B$2="DR",0,PMT('Game Assumptions'!$B$5,'Game Assumptions'!$B$14,'Game Assumptions'!$G29*'Resource Mix and Demand'!L5)*-1)+K16</f>
        <v>0</v>
      </c>
    </row>
    <row r="17" spans="1:12" x14ac:dyDescent="0.25">
      <c r="A17" t="s">
        <v>75</v>
      </c>
      <c r="B17" s="7">
        <f>IF($B$2="DR",0,PMT('Game Assumptions'!$B$5,'Game Assumptions'!$B$14,'Game Assumptions'!$G30*'Resource Mix and Demand'!B6)*-1)</f>
        <v>0</v>
      </c>
      <c r="C17" s="7">
        <f>IF($B$2="DR",0,PMT('Game Assumptions'!$B$5,'Game Assumptions'!$B$14,'Game Assumptions'!$G30*'Resource Mix and Demand'!C6)*-1)+B17</f>
        <v>0</v>
      </c>
      <c r="D17" s="7">
        <f>IF($B$2="DR",0,PMT('Game Assumptions'!$B$5,'Game Assumptions'!$B$14,'Game Assumptions'!$G30*'Resource Mix and Demand'!D6)*-1)+C17</f>
        <v>0</v>
      </c>
      <c r="E17" s="7">
        <f>IF($B$2="DR",0,PMT('Game Assumptions'!$B$5,'Game Assumptions'!$B$14,'Game Assumptions'!$G30*'Resource Mix and Demand'!E6)*-1)+D17</f>
        <v>0</v>
      </c>
      <c r="F17" s="7">
        <f>IF($B$2="DR",0,PMT('Game Assumptions'!$B$5,'Game Assumptions'!$B$14,'Game Assumptions'!$G30*'Resource Mix and Demand'!F6)*-1)+E17</f>
        <v>0</v>
      </c>
      <c r="G17" s="7">
        <f>IF($B$2="DR",0,PMT('Game Assumptions'!$B$5,'Game Assumptions'!$B$14,'Game Assumptions'!$G30*'Resource Mix and Demand'!G6)*-1)+F17</f>
        <v>0</v>
      </c>
      <c r="H17" s="7">
        <f>IF($B$2="DR",0,PMT('Game Assumptions'!$B$5,'Game Assumptions'!$B$14,'Game Assumptions'!$G30*'Resource Mix and Demand'!H6)*-1)+G17</f>
        <v>0</v>
      </c>
      <c r="I17" s="7">
        <f>IF($B$2="DR",0,PMT('Game Assumptions'!$B$5,'Game Assumptions'!$B$14,'Game Assumptions'!$G30*'Resource Mix and Demand'!I6)*-1)+H17</f>
        <v>0</v>
      </c>
      <c r="J17" s="7">
        <f>IF($B$2="DR",0,PMT('Game Assumptions'!$B$5,'Game Assumptions'!$B$14,'Game Assumptions'!$G30*'Resource Mix and Demand'!J6)*-1)+I17</f>
        <v>0</v>
      </c>
      <c r="K17" s="7">
        <f>IF($B$2="DR",0,PMT('Game Assumptions'!$B$5,'Game Assumptions'!$B$14,'Game Assumptions'!$G30*'Resource Mix and Demand'!K6)*-1)+J17</f>
        <v>0</v>
      </c>
      <c r="L17" s="7">
        <f>IF($B$2="DR",0,PMT('Game Assumptions'!$B$5,'Game Assumptions'!$B$14,'Game Assumptions'!$G30*'Resource Mix and Demand'!L6)*-1)+K17</f>
        <v>0</v>
      </c>
    </row>
    <row r="18" spans="1:12" x14ac:dyDescent="0.25">
      <c r="A18" t="s">
        <v>72</v>
      </c>
      <c r="B18" s="7">
        <f>IF($B$2="DR",0,PMT('Game Assumptions'!$B$5,'Game Assumptions'!$B$14,'Game Assumptions'!$G31*'Resource Mix and Demand'!B7)*-1)</f>
        <v>0</v>
      </c>
      <c r="C18" s="7">
        <f>IF($B$2="DR",0,PMT('Game Assumptions'!$B$5,'Game Assumptions'!$B$14,'Game Assumptions'!$G31*'Resource Mix and Demand'!C7)*-1)+B18</f>
        <v>0</v>
      </c>
      <c r="D18" s="7">
        <f>IF($B$2="DR",0,PMT('Game Assumptions'!$B$5,'Game Assumptions'!$B$14,'Game Assumptions'!$G31*'Resource Mix and Demand'!D7)*-1)+C18</f>
        <v>0</v>
      </c>
      <c r="E18" s="7">
        <f>IF($B$2="DR",0,PMT('Game Assumptions'!$B$5,'Game Assumptions'!$B$14,'Game Assumptions'!$G31*'Resource Mix and Demand'!E7)*-1)+D18</f>
        <v>0</v>
      </c>
      <c r="F18" s="7">
        <f>IF($B$2="DR",0,PMT('Game Assumptions'!$B$5,'Game Assumptions'!$B$14,'Game Assumptions'!$G31*'Resource Mix and Demand'!F7)*-1)+E18</f>
        <v>0</v>
      </c>
      <c r="G18" s="7">
        <f>IF($B$2="DR",0,PMT('Game Assumptions'!$B$5,'Game Assumptions'!$B$14,'Game Assumptions'!$G31*'Resource Mix and Demand'!G7)*-1)+F18</f>
        <v>0</v>
      </c>
      <c r="H18" s="7">
        <f>IF($B$2="DR",0,PMT('Game Assumptions'!$B$5,'Game Assumptions'!$B$14,'Game Assumptions'!$G31*'Resource Mix and Demand'!H7)*-1)+G18</f>
        <v>0</v>
      </c>
      <c r="I18" s="7">
        <f>IF($B$2="DR",0,PMT('Game Assumptions'!$B$5,'Game Assumptions'!$B$14,'Game Assumptions'!$G31*'Resource Mix and Demand'!I7)*-1)+H18</f>
        <v>0</v>
      </c>
      <c r="J18" s="7">
        <f>IF($B$2="DR",0,PMT('Game Assumptions'!$B$5,'Game Assumptions'!$B$14,'Game Assumptions'!$G31*'Resource Mix and Demand'!J7)*-1)+I18</f>
        <v>0</v>
      </c>
      <c r="K18" s="7">
        <f>IF($B$2="DR",0,PMT('Game Assumptions'!$B$5,'Game Assumptions'!$B$14,'Game Assumptions'!$G31*'Resource Mix and Demand'!K7)*-1)+J18</f>
        <v>0</v>
      </c>
      <c r="L18" s="7">
        <f>IF($B$2="DR",0,PMT('Game Assumptions'!$B$5,'Game Assumptions'!$B$14,'Game Assumptions'!$G31*'Resource Mix and Demand'!L7)*-1)+K18</f>
        <v>0</v>
      </c>
    </row>
    <row r="19" spans="1:12" x14ac:dyDescent="0.25">
      <c r="A19" s="12" t="s">
        <v>77</v>
      </c>
      <c r="B19" s="7">
        <f>PMT(0,'Game Assumptions'!$B$14,'Game Assumptions'!$G32*'Resource Mix and Demand'!B8)*-1</f>
        <v>0</v>
      </c>
      <c r="C19" s="7">
        <f>PMT(0,'Game Assumptions'!$B$14,'Game Assumptions'!$G32*'Resource Mix and Demand'!C8)*-1</f>
        <v>0</v>
      </c>
      <c r="D19" s="7">
        <f>PMT(0,'Game Assumptions'!$B$14,'Game Assumptions'!$G32*'Resource Mix and Demand'!D8)*-1</f>
        <v>0</v>
      </c>
      <c r="E19" s="7">
        <f>PMT(0,'Game Assumptions'!$B$14,'Game Assumptions'!$G32*'Resource Mix and Demand'!E8)*-1</f>
        <v>0</v>
      </c>
      <c r="F19" s="7">
        <f>PMT(0,'Game Assumptions'!$B$14,'Game Assumptions'!$G32*'Resource Mix and Demand'!F8)*-1</f>
        <v>0</v>
      </c>
      <c r="G19" s="7">
        <f>PMT(0,'Game Assumptions'!$B$14,'Game Assumptions'!$G32*'Resource Mix and Demand'!G8)*-1</f>
        <v>0</v>
      </c>
      <c r="H19" s="7">
        <f>PMT(0,'Game Assumptions'!$B$14,'Game Assumptions'!$G32*'Resource Mix and Demand'!H8)*-1</f>
        <v>0</v>
      </c>
      <c r="I19" s="7">
        <f>PMT(0,'Game Assumptions'!$B$14,'Game Assumptions'!$G32*'Resource Mix and Demand'!I8)*-1</f>
        <v>0</v>
      </c>
      <c r="J19" s="7">
        <f>PMT(0,'Game Assumptions'!$B$14,'Game Assumptions'!$G32*'Resource Mix and Demand'!J8)*-1</f>
        <v>0</v>
      </c>
      <c r="K19" s="7">
        <f>PMT(0,'Game Assumptions'!$B$14,'Game Assumptions'!$G32*'Resource Mix and Demand'!K8)*-1</f>
        <v>0</v>
      </c>
      <c r="L19" s="7">
        <f>PMT(0,'Game Assumptions'!$B$14,'Game Assumptions'!$G32*'Resource Mix and Demand'!L8)*-1</f>
        <v>0</v>
      </c>
    </row>
    <row r="20" spans="1:12" x14ac:dyDescent="0.25">
      <c r="A20" t="s">
        <v>357</v>
      </c>
      <c r="B20" s="7">
        <f>IF($B$2="DR",0,PMT('Game Assumptions'!$B$5,'Game Assumptions'!$B$14,Reliability!B9*'Game Assumptions'!$G33))</f>
        <v>0</v>
      </c>
      <c r="C20" s="7">
        <f>IF($B$2="DR",0,PMT('Game Assumptions'!$B$5,'Game Assumptions'!$B$14,Reliability!C9*'Game Assumptions'!$G33))*-1+B20</f>
        <v>0</v>
      </c>
      <c r="D20" s="7">
        <f>IF($B$2="DR",0,PMT('Game Assumptions'!$B$5,'Game Assumptions'!$B$14,Reliability!D9*'Game Assumptions'!$G33))*-1+C20</f>
        <v>0</v>
      </c>
      <c r="E20" s="7">
        <f>IF($B$2="DR",0,PMT('Game Assumptions'!$B$5,'Game Assumptions'!$B$14,Reliability!E9*'Game Assumptions'!$G33))*-1+D20</f>
        <v>0</v>
      </c>
      <c r="F20" s="7">
        <f>IF($B$2="DR",0,PMT('Game Assumptions'!$B$5,'Game Assumptions'!$B$14,Reliability!F9*'Game Assumptions'!$G33))*-1+E20</f>
        <v>0</v>
      </c>
      <c r="G20" s="7">
        <f>IF($B$2="DR",0,PMT('Game Assumptions'!$B$5,'Game Assumptions'!$B$14,Reliability!G9*'Game Assumptions'!$G33))*-1+F20</f>
        <v>0</v>
      </c>
      <c r="H20" s="7">
        <f>IF($B$2="DR",0,PMT('Game Assumptions'!$B$5,'Game Assumptions'!$B$14,Reliability!H9*'Game Assumptions'!$G33))*-1+G20</f>
        <v>0</v>
      </c>
      <c r="I20" s="7">
        <f>IF($B$2="DR",0,PMT('Game Assumptions'!$B$5,'Game Assumptions'!$B$14,Reliability!I9*'Game Assumptions'!$G33))*-1+H20</f>
        <v>0</v>
      </c>
      <c r="J20" s="7">
        <f>IF($B$2="DR",0,PMT('Game Assumptions'!$B$5,'Game Assumptions'!$B$14,Reliability!J9*'Game Assumptions'!$G33))*-1+I20</f>
        <v>0</v>
      </c>
      <c r="K20" s="7">
        <f>IF($B$2="DR",0,PMT('Game Assumptions'!$B$5,'Game Assumptions'!$B$14,Reliability!K9*'Game Assumptions'!$G33))*-1+J20</f>
        <v>0</v>
      </c>
      <c r="L20" s="7">
        <f>IF($B$2="DR",0,PMT('Game Assumptions'!$B$5,'Game Assumptions'!$B$14,Reliability!L9*'Game Assumptions'!$G33))*-1+K20</f>
        <v>0</v>
      </c>
    </row>
    <row r="21" spans="1:12" x14ac:dyDescent="0.25">
      <c r="A21" t="s">
        <v>358</v>
      </c>
      <c r="B21" s="7">
        <f>IF($B$2="DR",0,PMT('Game Assumptions'!$B$5,'Game Assumptions'!$B$14,Reliability!B10*'Game Assumptions'!$G34))*-1</f>
        <v>0</v>
      </c>
      <c r="C21" s="7">
        <f>IF($B$2="DR",0,PMT('Game Assumptions'!$B$5,'Game Assumptions'!$B$14,Reliability!C10*'Game Assumptions'!$G34))*-1+B21</f>
        <v>0</v>
      </c>
      <c r="D21" s="7">
        <f>IF($B$2="DR",0,PMT('Game Assumptions'!$B$5,'Game Assumptions'!$B$14,Reliability!D10*'Game Assumptions'!$G34))*-1+C21</f>
        <v>0</v>
      </c>
      <c r="E21" s="7">
        <f>IF($B$2="DR",0,PMT('Game Assumptions'!$B$5,'Game Assumptions'!$B$14,Reliability!E10*'Game Assumptions'!$G34))*-1+D21</f>
        <v>0</v>
      </c>
      <c r="F21" s="7">
        <f>IF($B$2="DR",0,PMT('Game Assumptions'!$B$5,'Game Assumptions'!$B$14,Reliability!F10*'Game Assumptions'!$G34))*-1+E21</f>
        <v>0</v>
      </c>
      <c r="G21" s="7">
        <f>IF($B$2="DR",0,PMT('Game Assumptions'!$B$5,'Game Assumptions'!$B$14,Reliability!G10*'Game Assumptions'!$G34))*-1+F21</f>
        <v>0</v>
      </c>
      <c r="H21" s="7">
        <f>IF($B$2="DR",0,PMT('Game Assumptions'!$B$5,'Game Assumptions'!$B$14,Reliability!H10*'Game Assumptions'!$G34))*-1+G21</f>
        <v>0</v>
      </c>
      <c r="I21" s="7">
        <f>IF($B$2="DR",0,PMT('Game Assumptions'!$B$5,'Game Assumptions'!$B$14,Reliability!I10*'Game Assumptions'!$G34))*-1+H21</f>
        <v>0</v>
      </c>
      <c r="J21" s="7">
        <f>IF($B$2="DR",0,PMT('Game Assumptions'!$B$5,'Game Assumptions'!$B$14,Reliability!J10*'Game Assumptions'!$G34))*-1+I21</f>
        <v>0</v>
      </c>
      <c r="K21" s="7">
        <f>IF($B$2="DR",0,PMT('Game Assumptions'!$B$5,'Game Assumptions'!$B$14,Reliability!K10*'Game Assumptions'!$G34))*-1+J21</f>
        <v>0</v>
      </c>
      <c r="L21" s="7">
        <f>IF($B$2="DR",0,PMT('Game Assumptions'!$B$5,'Game Assumptions'!$B$14,Reliability!L10*'Game Assumptions'!$G34))*-1+K21</f>
        <v>0</v>
      </c>
    </row>
    <row r="22" spans="1:12" x14ac:dyDescent="0.25">
      <c r="A22" t="s">
        <v>359</v>
      </c>
      <c r="B22" s="7">
        <f>IF($B$2="DR",0,PMT('Game Assumptions'!$B$5,'Game Assumptions'!$B$14,Reliability!B11*'Game Assumptions'!$G35))*-1</f>
        <v>0</v>
      </c>
      <c r="C22" s="7">
        <f>IF($B$2="DR",0,PMT('Game Assumptions'!$B$5,'Game Assumptions'!$B$14,Reliability!C11*'Game Assumptions'!$G35))*-1+B22</f>
        <v>0</v>
      </c>
      <c r="D22" s="7">
        <f>IF($B$2="DR",0,PMT('Game Assumptions'!$B$5,'Game Assumptions'!$B$14,Reliability!D11*'Game Assumptions'!$G35))*-1+C22</f>
        <v>0</v>
      </c>
      <c r="E22" s="7">
        <f>IF($B$2="DR",0,PMT('Game Assumptions'!$B$5,'Game Assumptions'!$B$14,Reliability!E11*'Game Assumptions'!$G35))*-1+D22</f>
        <v>0</v>
      </c>
      <c r="F22" s="7">
        <f>IF($B$2="DR",0,PMT('Game Assumptions'!$B$5,'Game Assumptions'!$B$14,Reliability!F11*'Game Assumptions'!$G35))*-1+E22</f>
        <v>0</v>
      </c>
      <c r="G22" s="7">
        <f>IF($B$2="DR",0,PMT('Game Assumptions'!$B$5,'Game Assumptions'!$B$14,Reliability!G11*'Game Assumptions'!$G35))*-1+F22</f>
        <v>0</v>
      </c>
      <c r="H22" s="7">
        <f>IF($B$2="DR",0,PMT('Game Assumptions'!$B$5,'Game Assumptions'!$B$14,Reliability!H11*'Game Assumptions'!$G35))*-1+G22</f>
        <v>0</v>
      </c>
      <c r="I22" s="7">
        <f>IF($B$2="DR",0,PMT('Game Assumptions'!$B$5,'Game Assumptions'!$B$14,Reliability!I11*'Game Assumptions'!$G35))*-1+H22</f>
        <v>0</v>
      </c>
      <c r="J22" s="7">
        <f>IF($B$2="DR",0,PMT('Game Assumptions'!$B$5,'Game Assumptions'!$B$14,Reliability!J11*'Game Assumptions'!$G35))*-1+I22</f>
        <v>0</v>
      </c>
      <c r="K22" s="7">
        <f>IF($B$2="DR",0,PMT('Game Assumptions'!$B$5,'Game Assumptions'!$B$14,Reliability!K11*'Game Assumptions'!$G35))*-1+J22</f>
        <v>0</v>
      </c>
      <c r="L22" s="7">
        <f>IF($B$2="DR",0,PMT('Game Assumptions'!$B$5,'Game Assumptions'!$B$14,Reliability!L11*'Game Assumptions'!$G35))*-1+K22</f>
        <v>0</v>
      </c>
    </row>
    <row r="23" spans="1:12" s="155" customFormat="1" x14ac:dyDescent="0.25">
      <c r="A23" s="155" t="s">
        <v>360</v>
      </c>
      <c r="B23" s="156">
        <f>PMT(0,'Game Assumptions'!$B$14,Reliability!B12*'Game Assumptions'!$G36)*-1</f>
        <v>0</v>
      </c>
      <c r="C23" s="156">
        <f>PMT(0,'Game Assumptions'!$B$14,Reliability!C12*'Game Assumptions'!$G36)*-1+B23</f>
        <v>0</v>
      </c>
      <c r="D23" s="156">
        <f>PMT(0,'Game Assumptions'!$B$14,Reliability!D12*'Game Assumptions'!$G36)*-1+C23</f>
        <v>0</v>
      </c>
      <c r="E23" s="156">
        <f>PMT(0,'Game Assumptions'!$B$14,Reliability!E12*'Game Assumptions'!$G36)*-1+D23</f>
        <v>0</v>
      </c>
      <c r="F23" s="156">
        <f>PMT(0,'Game Assumptions'!$B$14,Reliability!F12*'Game Assumptions'!$G36)*-1+E23</f>
        <v>0</v>
      </c>
      <c r="G23" s="156">
        <f>PMT(0,'Game Assumptions'!$B$14,Reliability!G12*'Game Assumptions'!$G36)*-1+F23</f>
        <v>0</v>
      </c>
      <c r="H23" s="156">
        <f>PMT(0,'Game Assumptions'!$B$14,Reliability!H12*'Game Assumptions'!$G36)*-1+G23</f>
        <v>0</v>
      </c>
      <c r="I23" s="156">
        <f>PMT(0,'Game Assumptions'!$B$14,Reliability!I12*'Game Assumptions'!$G36)*-1+H23</f>
        <v>0</v>
      </c>
      <c r="J23" s="156">
        <f>PMT(0,'Game Assumptions'!$B$14,Reliability!J12*'Game Assumptions'!$G36)*-1+I23</f>
        <v>0</v>
      </c>
      <c r="K23" s="156">
        <f>PMT(0,'Game Assumptions'!$B$14,Reliability!K12*'Game Assumptions'!$G36)*-1+J23</f>
        <v>0</v>
      </c>
      <c r="L23" s="156">
        <f>PMT(0,'Game Assumptions'!$B$14,Reliability!L12*'Game Assumptions'!$G36)*-1+K23</f>
        <v>0</v>
      </c>
    </row>
    <row r="24" spans="1:12" x14ac:dyDescent="0.25">
      <c r="A24" s="12" t="s">
        <v>97</v>
      </c>
      <c r="B24" s="27">
        <f>PMT('Game Assumptions'!$B$5,'Game Assumptions'!$B$14,Reliability!B38*'Game Assumptions'!$B$109)*-1</f>
        <v>0</v>
      </c>
      <c r="C24" s="27">
        <f>PMT('Game Assumptions'!$B$5,'Game Assumptions'!$B$14,Reliability!C38*'Game Assumptions'!$B$109)*-1+B24</f>
        <v>0</v>
      </c>
      <c r="D24" s="27">
        <f>PMT('Game Assumptions'!$B$5,'Game Assumptions'!$B$14,Reliability!D38*'Game Assumptions'!$B$109)*-1+C24</f>
        <v>0</v>
      </c>
      <c r="E24" s="27">
        <f>PMT('Game Assumptions'!$B$5,'Game Assumptions'!$B$14,Reliability!E38*'Game Assumptions'!$B$109)*-1+D24</f>
        <v>0</v>
      </c>
      <c r="F24" s="27">
        <f>PMT('Game Assumptions'!$B$5,'Game Assumptions'!$B$14,Reliability!F38*'Game Assumptions'!$B$109)*-1+E24</f>
        <v>0</v>
      </c>
      <c r="G24" s="27">
        <f>PMT('Game Assumptions'!$B$5,'Game Assumptions'!$B$14,Reliability!G38*'Game Assumptions'!$B$109)*-1+F24</f>
        <v>0</v>
      </c>
      <c r="H24" s="27">
        <f>PMT('Game Assumptions'!$B$5,'Game Assumptions'!$B$14,Reliability!H38*'Game Assumptions'!$B$109)*-1+G24</f>
        <v>0</v>
      </c>
      <c r="I24" s="27">
        <f>PMT('Game Assumptions'!$B$5,'Game Assumptions'!$B$14,Reliability!I38*'Game Assumptions'!$B$109)*-1+H24</f>
        <v>0</v>
      </c>
      <c r="J24" s="27">
        <f>PMT('Game Assumptions'!$B$5,'Game Assumptions'!$B$14,Reliability!J38*'Game Assumptions'!$B$109)*-1+I24</f>
        <v>0</v>
      </c>
      <c r="K24" s="27">
        <f>PMT('Game Assumptions'!$B$5,'Game Assumptions'!$B$14,Reliability!K38*'Game Assumptions'!$B$109)*-1+J24</f>
        <v>0</v>
      </c>
      <c r="L24" s="27">
        <f>PMT('Game Assumptions'!$B$5,'Game Assumptions'!$B$14,Reliability!L38*'Game Assumptions'!$B$109)*-1+K24</f>
        <v>0</v>
      </c>
    </row>
    <row r="25" spans="1:12" x14ac:dyDescent="0.25">
      <c r="A25" s="12" t="s">
        <v>98</v>
      </c>
      <c r="B25" s="154">
        <f>PMT('Game Assumptions'!$B$5,'Game Assumptions'!$B$14,SUM('Game Assumptions'!$B$133:$B$134)*Reliability!B13)*-1</f>
        <v>0</v>
      </c>
      <c r="C25" s="157">
        <f>PMT('Game Assumptions'!$B$5,'Game Assumptions'!$B$14,SUM('Game Assumptions'!$B$133:$B$134)*Reliability!C13)*-1+B25</f>
        <v>0</v>
      </c>
      <c r="D25" s="157">
        <f>PMT('Game Assumptions'!$B$5,'Game Assumptions'!$B$14,SUM('Game Assumptions'!$B$133:$B$134)*Reliability!D13)*-1+C25</f>
        <v>0</v>
      </c>
      <c r="E25" s="157">
        <f>PMT('Game Assumptions'!$B$5,'Game Assumptions'!$B$14,SUM('Game Assumptions'!$B$133:$B$134)*Reliability!E13)*-1+D25</f>
        <v>0</v>
      </c>
      <c r="F25" s="157">
        <f>PMT('Game Assumptions'!$B$5,'Game Assumptions'!$B$14,SUM('Game Assumptions'!$B$133:$B$134)*Reliability!F13)*-1+E25</f>
        <v>0</v>
      </c>
      <c r="G25" s="157">
        <f>PMT('Game Assumptions'!$B$5,'Game Assumptions'!$B$14,SUM('Game Assumptions'!$B$133:$B$134)*Reliability!G13)*-1+F25</f>
        <v>0</v>
      </c>
      <c r="H25" s="157">
        <f>PMT('Game Assumptions'!$B$5,'Game Assumptions'!$B$14,SUM('Game Assumptions'!$B$133:$B$134)*Reliability!H13)*-1+G25</f>
        <v>0</v>
      </c>
      <c r="I25" s="157">
        <f>PMT('Game Assumptions'!$B$5,'Game Assumptions'!$B$14,SUM('Game Assumptions'!$B$133:$B$134)*Reliability!I13)*-1+H25</f>
        <v>0</v>
      </c>
      <c r="J25" s="157">
        <f>PMT('Game Assumptions'!$B$5,'Game Assumptions'!$B$14,SUM('Game Assumptions'!$B$133:$B$134)*Reliability!J13)*-1+I25</f>
        <v>0</v>
      </c>
      <c r="K25" s="157">
        <f>PMT('Game Assumptions'!$B$5,'Game Assumptions'!$B$14,SUM('Game Assumptions'!$B$133:$B$134)*Reliability!K13)*-1+J25</f>
        <v>0</v>
      </c>
      <c r="L25" s="157">
        <f>PMT('Game Assumptions'!$B$5,'Game Assumptions'!$B$14,SUM('Game Assumptions'!$B$133:$B$134)*Reliability!L13)*-1+K25</f>
        <v>0</v>
      </c>
    </row>
    <row r="26" spans="1:12" x14ac:dyDescent="0.25">
      <c r="A26" s="22" t="s">
        <v>99</v>
      </c>
      <c r="B26" s="81"/>
      <c r="C26" s="81"/>
      <c r="D26" s="81"/>
      <c r="E26" s="81"/>
      <c r="F26" s="81"/>
      <c r="G26" s="81"/>
      <c r="H26" s="81"/>
      <c r="I26" s="81"/>
      <c r="J26" s="81"/>
      <c r="K26" s="81"/>
      <c r="L26" s="81"/>
    </row>
    <row r="27" spans="1:12" x14ac:dyDescent="0.25">
      <c r="A27" s="24" t="s">
        <v>111</v>
      </c>
      <c r="B27" s="31"/>
      <c r="C27" s="31"/>
      <c r="D27" s="31"/>
      <c r="E27" s="31"/>
      <c r="F27" s="31"/>
      <c r="G27" s="31"/>
      <c r="H27" s="31"/>
      <c r="I27" s="31"/>
      <c r="J27" s="31"/>
      <c r="K27" s="31"/>
      <c r="L27" s="31"/>
    </row>
    <row r="28" spans="1:12" ht="15.75" thickBot="1" x14ac:dyDescent="0.3">
      <c r="A28" s="76" t="s">
        <v>109</v>
      </c>
      <c r="B28" s="36"/>
      <c r="C28" s="36"/>
      <c r="D28" s="36"/>
      <c r="E28" s="36"/>
      <c r="F28" s="36"/>
      <c r="G28" s="36"/>
      <c r="H28" s="36"/>
      <c r="I28" s="36"/>
      <c r="J28" s="36"/>
      <c r="K28" s="36"/>
      <c r="L28" s="36"/>
    </row>
    <row r="29" spans="1:12" ht="15.75" thickTop="1" x14ac:dyDescent="0.25">
      <c r="A29" t="s">
        <v>85</v>
      </c>
      <c r="B29" s="7">
        <f>IF($B$2="DR",0,IF($B$2="GTDR",SUMPRODUCT('Resource Mix and Demand'!B$24:B$30,'Game Assumptions'!$B$39:$B$45)+SUMPRODUCT(Reliability!B$19:B$22,'Game Assumptions'!$B$46:$B$49)))</f>
        <v>96053400</v>
      </c>
      <c r="C29" s="7">
        <f>IF($B$2="DR",0,IF($B$2="GTDR",SUMPRODUCT('Resource Mix and Demand'!C$24:C$30,'Game Assumptions'!$B$39:$B$45)+SUMPRODUCT(Reliability!C$19:C$22,'Game Assumptions'!$B$46:$B$49)))</f>
        <v>86697000</v>
      </c>
      <c r="D29" s="7">
        <f>IF($B$2="DR",0,IF($B$2="GTDR",SUMPRODUCT('Resource Mix and Demand'!D$24:D$30,'Game Assumptions'!$B$39:$B$45)+SUMPRODUCT(Reliability!D$19:D$22,'Game Assumptions'!$B$46:$B$49)))</f>
        <v>86697000</v>
      </c>
      <c r="E29" s="7">
        <f>IF($B$2="DR",0,IF($B$2="GTDR",SUMPRODUCT('Resource Mix and Demand'!E$24:E$30,'Game Assumptions'!$B$39:$B$45)+SUMPRODUCT(Reliability!E$19:E$22,'Game Assumptions'!$B$46:$B$49)))</f>
        <v>40057000</v>
      </c>
      <c r="F29" s="7">
        <f>IF($B$2="DR",0,IF($B$2="GTDR",SUMPRODUCT('Resource Mix and Demand'!F$24:F$30,'Game Assumptions'!$B$39:$B$45)+SUMPRODUCT(Reliability!F$19:F$22,'Game Assumptions'!$B$46:$B$49)))</f>
        <v>40057000</v>
      </c>
      <c r="G29" s="7">
        <f>IF($B$2="DR",0,IF($B$2="GTDR",SUMPRODUCT('Resource Mix and Demand'!G$24:G$30,'Game Assumptions'!$B$39:$B$45)+SUMPRODUCT(Reliability!G$19:G$22,'Game Assumptions'!$B$46:$B$49)))</f>
        <v>36938200</v>
      </c>
      <c r="H29" s="7">
        <f>IF($B$2="DR",0,IF($B$2="GTDR",SUMPRODUCT('Resource Mix and Demand'!H$24:H$30,'Game Assumptions'!$B$39:$B$45)+SUMPRODUCT(Reliability!H$19:H$22,'Game Assumptions'!$B$46:$B$49)))</f>
        <v>36938200</v>
      </c>
      <c r="I29" s="7">
        <f>IF($B$2="DR",0,IF($B$2="GTDR",SUMPRODUCT('Resource Mix and Demand'!I$24:I$30,'Game Assumptions'!$B$39:$B$45)+SUMPRODUCT(Reliability!I$19:I$22,'Game Assumptions'!$B$46:$B$49)))</f>
        <v>36938200</v>
      </c>
      <c r="J29" s="7">
        <f>IF($B$2="DR",0,IF($B$2="GTDR",SUMPRODUCT('Resource Mix and Demand'!J$24:J$30,'Game Assumptions'!$B$39:$B$45)+SUMPRODUCT(Reliability!J$19:J$22,'Game Assumptions'!$B$46:$B$49)))</f>
        <v>36938200</v>
      </c>
      <c r="K29" s="7">
        <f>IF($B$2="DR",0,IF($B$2="GTDR",SUMPRODUCT('Resource Mix and Demand'!K$24:K$30,'Game Assumptions'!$B$39:$B$45)+SUMPRODUCT(Reliability!K$19:K$22,'Game Assumptions'!$B$46:$B$49)))</f>
        <v>36938200</v>
      </c>
      <c r="L29" s="7">
        <f>IF($B$2="DR",0,IF($B$2="GTDR",SUMPRODUCT('Resource Mix and Demand'!L$24:L$30,'Game Assumptions'!$B$39:$B$45)+SUMPRODUCT(Reliability!L$19:L$22,'Game Assumptions'!$B$46:$B$49)))</f>
        <v>36938200</v>
      </c>
    </row>
    <row r="30" spans="1:12" x14ac:dyDescent="0.25">
      <c r="A30" t="s">
        <v>86</v>
      </c>
      <c r="B30" s="7">
        <f>IF($B$2="GTDR",SUMPRODUCT(Dispatch!B118:B124,'Game Assumptions'!$G$39:$G$45),IF($B$2="DR",0,""))</f>
        <v>23448915</v>
      </c>
      <c r="C30" s="7">
        <f>IF($B$2="GTDR",SUMPRODUCT(Dispatch!C118:C124,'Game Assumptions'!$G$39:$G$45),IF($B$2="DR",0,""))</f>
        <v>22361736.359999999</v>
      </c>
      <c r="D30" s="7">
        <f>IF($B$2="GTDR",SUMPRODUCT(Dispatch!D118:D124,'Game Assumptions'!$G$39:$G$45),IF($B$2="DR",0,""))</f>
        <v>21754607.369999997</v>
      </c>
      <c r="E30" s="7">
        <f>IF($B$2="GTDR",SUMPRODUCT(Dispatch!E118:E124,'Game Assumptions'!$G$39:$G$45),IF($B$2="DR",0,""))</f>
        <v>36159747</v>
      </c>
      <c r="F30" s="7">
        <f>IF($B$2="GTDR",SUMPRODUCT(Dispatch!F118:F124,'Game Assumptions'!$G$39:$G$45),IF($B$2="DR",0,""))</f>
        <v>34513511.370000005</v>
      </c>
      <c r="G30" s="7">
        <f>IF($B$2="GTDR",SUMPRODUCT(Dispatch!G118:G124,'Game Assumptions'!$G$39:$G$45),IF($B$2="DR",0,""))</f>
        <v>33810315</v>
      </c>
      <c r="H30" s="7">
        <f>IF($B$2="GTDR",SUMPRODUCT(Dispatch!H118:H124,'Game Assumptions'!$G$39:$G$45),IF($B$2="DR",0,""))</f>
        <v>33810315</v>
      </c>
      <c r="I30" s="7">
        <f>IF($B$2="GTDR",SUMPRODUCT(Dispatch!I118:I124,'Game Assumptions'!$G$39:$G$45),IF($B$2="DR",0,""))</f>
        <v>31900344.600000001</v>
      </c>
      <c r="J30" s="7">
        <f>IF($B$2="GTDR",SUMPRODUCT(Dispatch!J118:J124,'Game Assumptions'!$G$39:$G$45),IF($B$2="DR",0,""))</f>
        <v>32848984.890000001</v>
      </c>
      <c r="K30" s="7">
        <f>IF($B$2="GTDR",SUMPRODUCT(Dispatch!K118:K124,'Game Assumptions'!$G$39:$G$45),IF($B$2="DR",0,""))</f>
        <v>30072035.91</v>
      </c>
      <c r="L30" s="7">
        <f>IF($B$2="GTDR",SUMPRODUCT(Dispatch!L118:L124,'Game Assumptions'!$G$39:$G$45),IF($B$2="DR",0,""))</f>
        <v>29757256.77</v>
      </c>
    </row>
    <row r="31" spans="1:12" x14ac:dyDescent="0.25">
      <c r="A31" s="12" t="s">
        <v>87</v>
      </c>
      <c r="B31" s="27">
        <f>IF($B$2="GTDR",SUMPRODUCT(Dispatch!B127:B129,'Game Assumptions'!B66:B68),IF($B$2="DR",0,""))</f>
        <v>104381820</v>
      </c>
      <c r="C31" s="27">
        <f>IF($B$2="GTDR",SUMPRODUCT(Dispatch!C127:C129,'Game Assumptions'!C66:C68),IF($B$2="DR",0,""))</f>
        <v>96688902.384000003</v>
      </c>
      <c r="D31" s="27">
        <f>IF($B$2="GTDR",SUMPRODUCT(Dispatch!D127:D129,'Game Assumptions'!D66:D68),IF($B$2="DR",0,""))</f>
        <v>93068049.815999985</v>
      </c>
      <c r="E31" s="27">
        <f>IF($B$2="GTDR",SUMPRODUCT(Dispatch!E127:E129,'Game Assumptions'!E66:E68),IF($B$2="DR",0,""))</f>
        <v>161397087</v>
      </c>
      <c r="F31" s="27">
        <f>IF($B$2="GTDR",SUMPRODUCT(Dispatch!F127:F129,'Game Assumptions'!F66:F68),IF($B$2="DR",0,""))</f>
        <v>153927625.07999998</v>
      </c>
      <c r="G31" s="27">
        <f>IF($B$2="GTDR",SUMPRODUCT(Dispatch!G127:G129,'Game Assumptions'!G66:G68),IF($B$2="DR",0,""))</f>
        <v>152566569</v>
      </c>
      <c r="H31" s="27">
        <f>IF($B$2="GTDR",SUMPRODUCT(Dispatch!H127:H129,'Game Assumptions'!H66:H68),IF($B$2="DR",0,""))</f>
        <v>163466637</v>
      </c>
      <c r="I31" s="27">
        <f>IF($B$2="GTDR",SUMPRODUCT(Dispatch!I127:I129,'Game Assumptions'!I66:I68),IF($B$2="DR",0,""))</f>
        <v>163807996.83999997</v>
      </c>
      <c r="J31" s="27">
        <f>IF($B$2="GTDR",SUMPRODUCT(Dispatch!J127:J129,'Game Assumptions'!J66:J68),IF($B$2="DR",0,""))</f>
        <v>175645364.25999999</v>
      </c>
      <c r="K31" s="27">
        <f>IF($B$2="GTDR",SUMPRODUCT(Dispatch!K127:K129,'Game Assumptions'!K66:K68),IF($B$2="DR",0,""))</f>
        <v>163043040.07999998</v>
      </c>
      <c r="L31" s="27">
        <f>IF($B$2="GTDR",SUMPRODUCT(Dispatch!L127:L129,'Game Assumptions'!L66:L68),IF($B$2="DR",0,""))</f>
        <v>165005223.68399999</v>
      </c>
    </row>
    <row r="32" spans="1:12" x14ac:dyDescent="0.25">
      <c r="A32" s="102" t="s">
        <v>312</v>
      </c>
      <c r="B32" s="23">
        <f>IF($B$2="GTDR",0,IF($B$2="DR",Dispatch!B171,0))</f>
        <v>0</v>
      </c>
      <c r="C32" s="23">
        <f>IF($B$2="GTDR",0,IF($B$2="DR",Dispatch!C171,0))</f>
        <v>0</v>
      </c>
      <c r="D32" s="23">
        <f>IF($B$2="GTDR",0,IF($B$2="DR",Dispatch!D171,0))</f>
        <v>0</v>
      </c>
      <c r="E32" s="23">
        <f>IF($B$2="GTDR",0,IF($B$2="DR",Dispatch!E171,0))</f>
        <v>0</v>
      </c>
      <c r="F32" s="23">
        <f>IF($B$2="GTDR",0,IF($B$2="DR",Dispatch!F171,0))</f>
        <v>0</v>
      </c>
      <c r="G32" s="23">
        <f>IF($B$2="GTDR",0,IF($B$2="DR",Dispatch!G171,0))</f>
        <v>0</v>
      </c>
      <c r="H32" s="23">
        <f>IF($B$2="GTDR",0,IF($B$2="DR",Dispatch!H171,0))</f>
        <v>0</v>
      </c>
      <c r="I32" s="23">
        <f>IF($B$2="GTDR",0,IF($B$2="DR",Dispatch!I171,0))</f>
        <v>0</v>
      </c>
      <c r="J32" s="23">
        <f>IF($B$2="GTDR",0,IF($B$2="DR",Dispatch!J171,0))</f>
        <v>0</v>
      </c>
      <c r="K32" s="23">
        <f>IF($B$2="GTDR",0,IF($B$2="DR",Dispatch!K171,0))</f>
        <v>0</v>
      </c>
      <c r="L32" s="23">
        <f>IF($B$2="GTDR",0,IF($B$2="DR",Dispatch!L171,0))</f>
        <v>0</v>
      </c>
    </row>
    <row r="33" spans="1:12" ht="15.75" thickBot="1" x14ac:dyDescent="0.3">
      <c r="A33" s="101" t="s">
        <v>254</v>
      </c>
      <c r="B33" s="96"/>
      <c r="C33" s="96"/>
      <c r="D33" s="96"/>
      <c r="E33" s="96"/>
      <c r="F33" s="96"/>
      <c r="G33" s="96"/>
      <c r="H33" s="96"/>
      <c r="I33" s="96"/>
      <c r="J33" s="96"/>
      <c r="K33" s="96"/>
      <c r="L33" s="96"/>
    </row>
    <row r="34" spans="1:12" ht="15.75" thickTop="1" x14ac:dyDescent="0.25">
      <c r="A34" s="71" t="s">
        <v>255</v>
      </c>
      <c r="B34" s="27">
        <f>Reliability!B41*'Game Assumptions'!$B$115</f>
        <v>29791461.006910168</v>
      </c>
      <c r="C34" s="27">
        <f>Reliability!C41*'Game Assumptions'!$B$115</f>
        <v>29791461.006910168</v>
      </c>
      <c r="D34" s="27">
        <f>Reliability!D41*'Game Assumptions'!$B$115</f>
        <v>29791461.006910168</v>
      </c>
      <c r="E34" s="27">
        <f>Reliability!E41*'Game Assumptions'!$B$115</f>
        <v>29791461.006910168</v>
      </c>
      <c r="F34" s="27">
        <f>Reliability!F41*'Game Assumptions'!$B$115</f>
        <v>29791461.006910168</v>
      </c>
      <c r="G34" s="27">
        <f>Reliability!G41*'Game Assumptions'!$B$115</f>
        <v>29791461.006910168</v>
      </c>
      <c r="H34" s="27">
        <f>Reliability!H41*'Game Assumptions'!$B$115</f>
        <v>29791461.006910168</v>
      </c>
      <c r="I34" s="27">
        <f>Reliability!I41*'Game Assumptions'!$B$115</f>
        <v>29791461.006910168</v>
      </c>
      <c r="J34" s="27">
        <f>Reliability!J41*'Game Assumptions'!$B$115</f>
        <v>29791461.006910168</v>
      </c>
      <c r="K34" s="27">
        <f>Reliability!K41*'Game Assumptions'!$B$115</f>
        <v>29791461.006910168</v>
      </c>
      <c r="L34" s="27">
        <f>Reliability!L41*'Game Assumptions'!$B$115</f>
        <v>29791461.006910168</v>
      </c>
    </row>
    <row r="35" spans="1:12" x14ac:dyDescent="0.25">
      <c r="A35" s="73" t="s">
        <v>257</v>
      </c>
      <c r="B35" s="27">
        <f>'Game Assumptions'!$B$122*'Game Assumptions'!$B$118</f>
        <v>424000</v>
      </c>
      <c r="C35" s="27">
        <f>'Game Assumptions'!$B$122*'Game Assumptions'!$B$118</f>
        <v>424000</v>
      </c>
      <c r="D35" s="27">
        <f>'Game Assumptions'!$B$122*'Game Assumptions'!$B$118</f>
        <v>424000</v>
      </c>
      <c r="E35" s="27">
        <f>'Game Assumptions'!$B$122*'Game Assumptions'!$B$118</f>
        <v>424000</v>
      </c>
      <c r="F35" s="27">
        <f>'Game Assumptions'!$B$122*'Game Assumptions'!$B$118</f>
        <v>424000</v>
      </c>
      <c r="G35" s="27">
        <f>'Game Assumptions'!$B$122*'Game Assumptions'!$B$118</f>
        <v>424000</v>
      </c>
      <c r="H35" s="27">
        <f>'Game Assumptions'!$B$122*'Game Assumptions'!$B$118</f>
        <v>424000</v>
      </c>
      <c r="I35" s="27">
        <f>'Game Assumptions'!$B$122*'Game Assumptions'!$B$118</f>
        <v>424000</v>
      </c>
      <c r="J35" s="27">
        <f>'Game Assumptions'!$B$122*'Game Assumptions'!$B$118</f>
        <v>424000</v>
      </c>
      <c r="K35" s="27">
        <f>'Game Assumptions'!$B$122*'Game Assumptions'!$B$118</f>
        <v>424000</v>
      </c>
      <c r="L35" s="27">
        <f>'Game Assumptions'!$B$122*'Game Assumptions'!$B$118</f>
        <v>424000</v>
      </c>
    </row>
    <row r="36" spans="1:12" x14ac:dyDescent="0.25">
      <c r="A36" s="34" t="s">
        <v>310</v>
      </c>
      <c r="B36" s="100">
        <f>SUM(B29:B32,B13:B26,B9:B11,B34:B35)</f>
        <v>554099596.0069102</v>
      </c>
      <c r="C36" s="100">
        <f>SUM(C29:C32,C13:C26,C9:C11,C34:C35)</f>
        <v>520963099.75091016</v>
      </c>
      <c r="D36" s="100">
        <f t="shared" ref="D36:L36" si="0">SUM(D29:D32,D13:D26,D9:D11,D34:D35)</f>
        <v>501735118.19291013</v>
      </c>
      <c r="E36" s="100">
        <f t="shared" si="0"/>
        <v>522829295.00691015</v>
      </c>
      <c r="F36" s="100">
        <f t="shared" si="0"/>
        <v>498713597.45691013</v>
      </c>
      <c r="G36" s="100">
        <f t="shared" si="0"/>
        <v>478530545.00691015</v>
      </c>
      <c r="H36" s="100">
        <f t="shared" si="0"/>
        <v>474430613.00691015</v>
      </c>
      <c r="I36" s="100">
        <f t="shared" si="0"/>
        <v>457862002.44691014</v>
      </c>
      <c r="J36" s="100">
        <f t="shared" si="0"/>
        <v>455648010.15691012</v>
      </c>
      <c r="K36" s="100">
        <f t="shared" si="0"/>
        <v>425268736.99691015</v>
      </c>
      <c r="L36" s="100">
        <f t="shared" si="0"/>
        <v>411916141.46091014</v>
      </c>
    </row>
    <row r="38" spans="1:12" x14ac:dyDescent="0.25">
      <c r="A38" s="9" t="s">
        <v>114</v>
      </c>
      <c r="B38" s="9">
        <v>0</v>
      </c>
      <c r="C38" s="9">
        <v>1</v>
      </c>
      <c r="D38" s="9">
        <v>2</v>
      </c>
      <c r="E38" s="9">
        <v>3</v>
      </c>
      <c r="F38" s="9">
        <v>4</v>
      </c>
      <c r="G38" s="9">
        <v>5</v>
      </c>
      <c r="H38" s="9">
        <v>6</v>
      </c>
      <c r="I38" s="9">
        <v>7</v>
      </c>
      <c r="J38" s="9">
        <v>8</v>
      </c>
      <c r="K38" s="9">
        <v>9</v>
      </c>
      <c r="L38" s="9">
        <v>10</v>
      </c>
    </row>
    <row r="39" spans="1:12" x14ac:dyDescent="0.25">
      <c r="A39" s="28" t="s">
        <v>68</v>
      </c>
    </row>
    <row r="40" spans="1:12" x14ac:dyDescent="0.25">
      <c r="A40" s="26" t="s">
        <v>94</v>
      </c>
      <c r="B40" s="7">
        <f>'Game Assumptions'!$B$7*'Utility Revenue'!B9*IF('Event Tracker'!B$4=1,2,1)</f>
        <v>25000000</v>
      </c>
      <c r="C40" s="7">
        <f>'Game Assumptions'!$B$7*'Utility Revenue'!C9*IF('Event Tracker'!C$4=1,2,1)</f>
        <v>23750000</v>
      </c>
      <c r="D40" s="7">
        <f>'Game Assumptions'!$B$7*'Utility Revenue'!D9*IF('Event Tracker'!D$4=1,2,1)</f>
        <v>22500000</v>
      </c>
      <c r="E40" s="7">
        <f>'Game Assumptions'!$B$7*'Utility Revenue'!E9*IF('Event Tracker'!E$4=1,2,1)</f>
        <v>21250000</v>
      </c>
      <c r="F40" s="7">
        <f>'Game Assumptions'!$B$7*'Utility Revenue'!F9*IF('Event Tracker'!F$4=1,2,1)</f>
        <v>20000000</v>
      </c>
      <c r="G40" s="7">
        <f>'Game Assumptions'!$B$7*'Utility Revenue'!G9*IF('Event Tracker'!G$4=1,2,1)</f>
        <v>18750000.000000004</v>
      </c>
      <c r="H40" s="7">
        <f>'Game Assumptions'!$B$7*'Utility Revenue'!H9*IF('Event Tracker'!H$4=1,2,1)</f>
        <v>17500000</v>
      </c>
      <c r="I40" s="7">
        <f>'Game Assumptions'!$B$7*'Utility Revenue'!I9*IF('Event Tracker'!I$4=1,2,1)</f>
        <v>16250000.000000002</v>
      </c>
      <c r="J40" s="7">
        <f>'Game Assumptions'!$B$7*'Utility Revenue'!J9*IF('Event Tracker'!J$4=1,2,1)</f>
        <v>14999999.999999998</v>
      </c>
      <c r="K40" s="7">
        <f>'Game Assumptions'!$B$7*'Utility Revenue'!K9*IF('Event Tracker'!K$4=1,2,1)</f>
        <v>13750000</v>
      </c>
      <c r="L40" s="7">
        <f>'Game Assumptions'!$B$7*'Utility Revenue'!L9*IF('Event Tracker'!L$4=1,2,1)</f>
        <v>12500000</v>
      </c>
    </row>
    <row r="41" spans="1:12" x14ac:dyDescent="0.25">
      <c r="A41" s="26" t="s">
        <v>95</v>
      </c>
      <c r="B41" s="7">
        <f>'Game Assumptions'!$B$7*'Utility Revenue'!B10*IF('Event Tracker'!B$4=1,2,1)</f>
        <v>25000000</v>
      </c>
      <c r="C41" s="7">
        <f>'Game Assumptions'!$B$7*'Utility Revenue'!C10*IF('Event Tracker'!C$4=1,2,1)</f>
        <v>23750000</v>
      </c>
      <c r="D41" s="7">
        <f>'Game Assumptions'!$B$7*'Utility Revenue'!D10*IF('Event Tracker'!D$4=1,2,1)</f>
        <v>22500000</v>
      </c>
      <c r="E41" s="7">
        <f>'Game Assumptions'!$B$7*'Utility Revenue'!E10*IF('Event Tracker'!E$4=1,2,1)</f>
        <v>21250000</v>
      </c>
      <c r="F41" s="7">
        <f>'Game Assumptions'!$B$7*'Utility Revenue'!F10*IF('Event Tracker'!F$4=1,2,1)</f>
        <v>20000000</v>
      </c>
      <c r="G41" s="7">
        <f>'Game Assumptions'!$B$7*'Utility Revenue'!G10*IF('Event Tracker'!G$4=1,2,1)</f>
        <v>18750000.000000004</v>
      </c>
      <c r="H41" s="7">
        <f>'Game Assumptions'!$B$7*'Utility Revenue'!H10*IF('Event Tracker'!H$4=1,2,1)</f>
        <v>17500000</v>
      </c>
      <c r="I41" s="7">
        <f>'Game Assumptions'!$B$7*'Utility Revenue'!I10*IF('Event Tracker'!I$4=1,2,1)</f>
        <v>16250000.000000002</v>
      </c>
      <c r="J41" s="7">
        <f>'Game Assumptions'!$B$7*'Utility Revenue'!J10*IF('Event Tracker'!J$4=1,2,1)</f>
        <v>14999999.999999998</v>
      </c>
      <c r="K41" s="7">
        <f>'Game Assumptions'!$B$7*'Utility Revenue'!K10*IF('Event Tracker'!K$4=1,2,1)</f>
        <v>13750000</v>
      </c>
      <c r="L41" s="7">
        <f>'Game Assumptions'!$B$7*'Utility Revenue'!L10*IF('Event Tracker'!L$4=1,2,1)</f>
        <v>12500000</v>
      </c>
    </row>
    <row r="42" spans="1:12" x14ac:dyDescent="0.25">
      <c r="A42" s="29" t="s">
        <v>96</v>
      </c>
      <c r="B42" s="23">
        <f>'Game Assumptions'!$B$7*'Utility Revenue'!B11*IF('Event Tracker'!B$4=1,2,1)</f>
        <v>25000000</v>
      </c>
      <c r="C42" s="23">
        <f>'Game Assumptions'!$B$7*'Utility Revenue'!C11*IF('Event Tracker'!C$4=1,2,1)</f>
        <v>23750000</v>
      </c>
      <c r="D42" s="23">
        <f>'Game Assumptions'!$B$7*'Utility Revenue'!D11*IF('Event Tracker'!D$4=1,2,1)</f>
        <v>22500000</v>
      </c>
      <c r="E42" s="23">
        <f>'Game Assumptions'!$B$7*'Utility Revenue'!E11*IF('Event Tracker'!E$4=1,2,1)</f>
        <v>21250000</v>
      </c>
      <c r="F42" s="23">
        <f>'Game Assumptions'!$B$7*'Utility Revenue'!F11*IF('Event Tracker'!F$4=1,2,1)</f>
        <v>20000000</v>
      </c>
      <c r="G42" s="23">
        <f>'Game Assumptions'!$B$7*'Utility Revenue'!G11*IF('Event Tracker'!G$4=1,2,1)</f>
        <v>18750000.000000004</v>
      </c>
      <c r="H42" s="23">
        <f>'Game Assumptions'!$B$7*'Utility Revenue'!H11*IF('Event Tracker'!H$4=1,2,1)</f>
        <v>17500000</v>
      </c>
      <c r="I42" s="23">
        <f>'Game Assumptions'!$B$7*'Utility Revenue'!I11*IF('Event Tracker'!I$4=1,2,1)</f>
        <v>16250000.000000002</v>
      </c>
      <c r="J42" s="23">
        <f>'Game Assumptions'!$B$7*'Utility Revenue'!J11*IF('Event Tracker'!J$4=1,2,1)</f>
        <v>14999999.999999998</v>
      </c>
      <c r="K42" s="23">
        <f>'Game Assumptions'!$B$7*'Utility Revenue'!K11*IF('Event Tracker'!K$4=1,2,1)</f>
        <v>13750000</v>
      </c>
      <c r="L42" s="23">
        <f>'Game Assumptions'!$B$7*'Utility Revenue'!L11*IF('Event Tracker'!L$4=1,2,1)</f>
        <v>12500000</v>
      </c>
    </row>
    <row r="43" spans="1:12" x14ac:dyDescent="0.25">
      <c r="A43" s="4" t="s">
        <v>73</v>
      </c>
    </row>
    <row r="44" spans="1:12" x14ac:dyDescent="0.25">
      <c r="A44" t="s">
        <v>70</v>
      </c>
      <c r="B44" s="27">
        <f>'Game Assumptions'!$B$7*'Utility Revenue'!B13*IF('Event Tracker'!B$4=1,2,1)</f>
        <v>0</v>
      </c>
      <c r="C44" s="27">
        <f>'Game Assumptions'!$B$7*'Utility Revenue'!C13*IF('Event Tracker'!C$4=1,2,1)</f>
        <v>0</v>
      </c>
      <c r="D44" s="27">
        <f>'Game Assumptions'!$B$7*'Utility Revenue'!D13*IF('Event Tracker'!D$4=1,2,1)</f>
        <v>0</v>
      </c>
      <c r="E44" s="27">
        <f>'Game Assumptions'!$B$7*'Utility Revenue'!E13*IF('Event Tracker'!E$4=1,2,1)</f>
        <v>0</v>
      </c>
      <c r="F44" s="27">
        <f>'Game Assumptions'!$B$7*'Utility Revenue'!F13*IF('Event Tracker'!F$4=1,2,1)</f>
        <v>0</v>
      </c>
      <c r="G44" s="27">
        <f>'Game Assumptions'!$B$7*'Utility Revenue'!G13*IF('Event Tracker'!G$4=1,2,1)</f>
        <v>0</v>
      </c>
      <c r="H44" s="27">
        <f>'Game Assumptions'!$B$7*'Utility Revenue'!H13*IF('Event Tracker'!H$4=1,2,1)</f>
        <v>0</v>
      </c>
      <c r="I44" s="27">
        <f>'Game Assumptions'!$B$7*'Utility Revenue'!I13*IF('Event Tracker'!I$4=1,2,1)</f>
        <v>0</v>
      </c>
      <c r="J44" s="27">
        <f>'Game Assumptions'!$B$7*'Utility Revenue'!J13*IF('Event Tracker'!J$4=1,2,1)</f>
        <v>0</v>
      </c>
      <c r="K44" s="27">
        <f>'Game Assumptions'!$B$7*'Utility Revenue'!K13*IF('Event Tracker'!K$4=1,2,1)</f>
        <v>0</v>
      </c>
      <c r="L44" s="27">
        <f>'Game Assumptions'!$B$7*'Utility Revenue'!L13*IF('Event Tracker'!L$4=1,2,1)</f>
        <v>0</v>
      </c>
    </row>
    <row r="45" spans="1:12" x14ac:dyDescent="0.25">
      <c r="A45" t="s">
        <v>76</v>
      </c>
      <c r="B45" s="27">
        <f>'Game Assumptions'!$B$7*'Utility Revenue'!B14*IF('Event Tracker'!B$4=1,2,1)</f>
        <v>0</v>
      </c>
      <c r="C45" s="27">
        <f>'Game Assumptions'!$B$7*'Utility Revenue'!C14*IF('Event Tracker'!C$4=1,2,1)</f>
        <v>0</v>
      </c>
      <c r="D45" s="27">
        <f>'Game Assumptions'!$B$7*'Utility Revenue'!D14*IF('Event Tracker'!D$4=1,2,1)</f>
        <v>0</v>
      </c>
      <c r="E45" s="27">
        <f>'Game Assumptions'!$B$7*'Utility Revenue'!E14*IF('Event Tracker'!E$4=1,2,1)</f>
        <v>0</v>
      </c>
      <c r="F45" s="27">
        <f>'Game Assumptions'!$B$7*'Utility Revenue'!F14*IF('Event Tracker'!F$4=1,2,1)</f>
        <v>0</v>
      </c>
      <c r="G45" s="27">
        <f>'Game Assumptions'!$B$7*'Utility Revenue'!G14*IF('Event Tracker'!G$4=1,2,1)</f>
        <v>0</v>
      </c>
      <c r="H45" s="27">
        <f>'Game Assumptions'!$B$7*'Utility Revenue'!H14*IF('Event Tracker'!H$4=1,2,1)</f>
        <v>0</v>
      </c>
      <c r="I45" s="27">
        <f>'Game Assumptions'!$B$7*'Utility Revenue'!I14*IF('Event Tracker'!I$4=1,2,1)</f>
        <v>0</v>
      </c>
      <c r="J45" s="27">
        <f>'Game Assumptions'!$B$7*'Utility Revenue'!J14*IF('Event Tracker'!J$4=1,2,1)</f>
        <v>0</v>
      </c>
      <c r="K45" s="27">
        <f>'Game Assumptions'!$B$7*'Utility Revenue'!K14*IF('Event Tracker'!K$4=1,2,1)</f>
        <v>0</v>
      </c>
      <c r="L45" s="27">
        <f>'Game Assumptions'!$B$7*'Utility Revenue'!L14*IF('Event Tracker'!L$4=1,2,1)</f>
        <v>0</v>
      </c>
    </row>
    <row r="46" spans="1:12" x14ac:dyDescent="0.25">
      <c r="A46" t="s">
        <v>71</v>
      </c>
      <c r="B46" s="27">
        <f>'Game Assumptions'!$B$7*'Utility Revenue'!B15*IF('Event Tracker'!B$4=1,2,1)</f>
        <v>0</v>
      </c>
      <c r="C46" s="27">
        <f>'Game Assumptions'!$B$7*'Utility Revenue'!C15*IF('Event Tracker'!C$4=1,2,1)</f>
        <v>0</v>
      </c>
      <c r="D46" s="27">
        <f>'Game Assumptions'!$B$7*'Utility Revenue'!D15*IF('Event Tracker'!D$4=1,2,1)</f>
        <v>0</v>
      </c>
      <c r="E46" s="27">
        <f>'Game Assumptions'!$B$7*'Utility Revenue'!E15*IF('Event Tracker'!E$4=1,2,1)</f>
        <v>0</v>
      </c>
      <c r="F46" s="27">
        <f>'Game Assumptions'!$B$7*'Utility Revenue'!F15*IF('Event Tracker'!F$4=1,2,1)</f>
        <v>0</v>
      </c>
      <c r="G46" s="27">
        <f>'Game Assumptions'!$B$7*'Utility Revenue'!G15*IF('Event Tracker'!G$4=1,2,1)</f>
        <v>0</v>
      </c>
      <c r="H46" s="27">
        <f>'Game Assumptions'!$B$7*'Utility Revenue'!H15*IF('Event Tracker'!H$4=1,2,1)</f>
        <v>0</v>
      </c>
      <c r="I46" s="27">
        <f>'Game Assumptions'!$B$7*'Utility Revenue'!I15*IF('Event Tracker'!I$4=1,2,1)</f>
        <v>0</v>
      </c>
      <c r="J46" s="27">
        <f>'Game Assumptions'!$B$7*'Utility Revenue'!J15*IF('Event Tracker'!J$4=1,2,1)</f>
        <v>0</v>
      </c>
      <c r="K46" s="27">
        <f>'Game Assumptions'!$B$7*'Utility Revenue'!K15*IF('Event Tracker'!K$4=1,2,1)</f>
        <v>0</v>
      </c>
      <c r="L46" s="27">
        <f>'Game Assumptions'!$B$7*'Utility Revenue'!L15*IF('Event Tracker'!L$4=1,2,1)</f>
        <v>0</v>
      </c>
    </row>
    <row r="47" spans="1:12" x14ac:dyDescent="0.25">
      <c r="A47" t="s">
        <v>74</v>
      </c>
      <c r="B47" s="27">
        <f>'Game Assumptions'!$B$7*'Utility Revenue'!B16*IF('Event Tracker'!B$4=1,2,1)</f>
        <v>0</v>
      </c>
      <c r="C47" s="27">
        <f>'Game Assumptions'!$B$7*'Utility Revenue'!C16*IF('Event Tracker'!C$4=1,2,1)</f>
        <v>0</v>
      </c>
      <c r="D47" s="27">
        <f>'Game Assumptions'!$B$7*'Utility Revenue'!D16*IF('Event Tracker'!D$4=1,2,1)</f>
        <v>0</v>
      </c>
      <c r="E47" s="27">
        <f>'Game Assumptions'!$B$7*'Utility Revenue'!E16*IF('Event Tracker'!E$4=1,2,1)</f>
        <v>0</v>
      </c>
      <c r="F47" s="27">
        <f>'Game Assumptions'!$B$7*'Utility Revenue'!F16*IF('Event Tracker'!F$4=1,2,1)</f>
        <v>0</v>
      </c>
      <c r="G47" s="27">
        <f>'Game Assumptions'!$B$7*'Utility Revenue'!G16*IF('Event Tracker'!G$4=1,2,1)</f>
        <v>0</v>
      </c>
      <c r="H47" s="27">
        <f>'Game Assumptions'!$B$7*'Utility Revenue'!H16*IF('Event Tracker'!H$4=1,2,1)</f>
        <v>0</v>
      </c>
      <c r="I47" s="27">
        <f>'Game Assumptions'!$B$7*'Utility Revenue'!I16*IF('Event Tracker'!I$4=1,2,1)</f>
        <v>0</v>
      </c>
      <c r="J47" s="27">
        <f>'Game Assumptions'!$B$7*'Utility Revenue'!J16*IF('Event Tracker'!J$4=1,2,1)</f>
        <v>0</v>
      </c>
      <c r="K47" s="27">
        <f>'Game Assumptions'!$B$7*'Utility Revenue'!K16*IF('Event Tracker'!K$4=1,2,1)</f>
        <v>0</v>
      </c>
      <c r="L47" s="27">
        <f>'Game Assumptions'!$B$7*'Utility Revenue'!L16*IF('Event Tracker'!L$4=1,2,1)</f>
        <v>0</v>
      </c>
    </row>
    <row r="48" spans="1:12" x14ac:dyDescent="0.25">
      <c r="A48" t="s">
        <v>75</v>
      </c>
      <c r="B48" s="27">
        <f>'Game Assumptions'!$B$7*'Utility Revenue'!B17*IF('Event Tracker'!B$4=1,2,1)</f>
        <v>0</v>
      </c>
      <c r="C48" s="27">
        <f>'Game Assumptions'!$B$7*'Utility Revenue'!C17*IF('Event Tracker'!C$4=1,2,1)</f>
        <v>0</v>
      </c>
      <c r="D48" s="27">
        <f>'Game Assumptions'!$B$7*'Utility Revenue'!D17*IF('Event Tracker'!D$4=1,2,1)</f>
        <v>0</v>
      </c>
      <c r="E48" s="27">
        <f>'Game Assumptions'!$B$7*'Utility Revenue'!E17*IF('Event Tracker'!E$4=1,2,1)</f>
        <v>0</v>
      </c>
      <c r="F48" s="27">
        <f>'Game Assumptions'!$B$7*'Utility Revenue'!F17*IF('Event Tracker'!F$4=1,2,1)</f>
        <v>0</v>
      </c>
      <c r="G48" s="27">
        <f>'Game Assumptions'!$B$7*'Utility Revenue'!G17*IF('Event Tracker'!G$4=1,2,1)</f>
        <v>0</v>
      </c>
      <c r="H48" s="27">
        <f>'Game Assumptions'!$B$7*'Utility Revenue'!H17*IF('Event Tracker'!H$4=1,2,1)</f>
        <v>0</v>
      </c>
      <c r="I48" s="27">
        <f>'Game Assumptions'!$B$7*'Utility Revenue'!I17*IF('Event Tracker'!I$4=1,2,1)</f>
        <v>0</v>
      </c>
      <c r="J48" s="27">
        <f>'Game Assumptions'!$B$7*'Utility Revenue'!J17*IF('Event Tracker'!J$4=1,2,1)</f>
        <v>0</v>
      </c>
      <c r="K48" s="27">
        <f>'Game Assumptions'!$B$7*'Utility Revenue'!K17*IF('Event Tracker'!K$4=1,2,1)</f>
        <v>0</v>
      </c>
      <c r="L48" s="27">
        <f>'Game Assumptions'!$B$7*'Utility Revenue'!L17*IF('Event Tracker'!L$4=1,2,1)</f>
        <v>0</v>
      </c>
    </row>
    <row r="49" spans="1:12" x14ac:dyDescent="0.25">
      <c r="A49" t="s">
        <v>72</v>
      </c>
      <c r="B49" s="27">
        <f>'Game Assumptions'!$B$7*'Utility Revenue'!B18*IF('Event Tracker'!B$4=1,2,1)</f>
        <v>0</v>
      </c>
      <c r="C49" s="27">
        <f>'Game Assumptions'!$B$7*'Utility Revenue'!C18*IF('Event Tracker'!C$4=1,2,1)</f>
        <v>0</v>
      </c>
      <c r="D49" s="27">
        <f>'Game Assumptions'!$B$7*'Utility Revenue'!D18*IF('Event Tracker'!D$4=1,2,1)</f>
        <v>0</v>
      </c>
      <c r="E49" s="27">
        <f>'Game Assumptions'!$B$7*'Utility Revenue'!E18*IF('Event Tracker'!E$4=1,2,1)</f>
        <v>0</v>
      </c>
      <c r="F49" s="27">
        <f>'Game Assumptions'!$B$7*'Utility Revenue'!F18*IF('Event Tracker'!F$4=1,2,1)</f>
        <v>0</v>
      </c>
      <c r="G49" s="27">
        <f>'Game Assumptions'!$B$7*'Utility Revenue'!G18*IF('Event Tracker'!G$4=1,2,1)</f>
        <v>0</v>
      </c>
      <c r="H49" s="27">
        <f>'Game Assumptions'!$B$7*'Utility Revenue'!H18*IF('Event Tracker'!H$4=1,2,1)</f>
        <v>0</v>
      </c>
      <c r="I49" s="27">
        <f>'Game Assumptions'!$B$7*'Utility Revenue'!I18*IF('Event Tracker'!I$4=1,2,1)</f>
        <v>0</v>
      </c>
      <c r="J49" s="27">
        <f>'Game Assumptions'!$B$7*'Utility Revenue'!J18*IF('Event Tracker'!J$4=1,2,1)</f>
        <v>0</v>
      </c>
      <c r="K49" s="27">
        <f>'Game Assumptions'!$B$7*'Utility Revenue'!K18*IF('Event Tracker'!K$4=1,2,1)</f>
        <v>0</v>
      </c>
      <c r="L49" s="27">
        <f>'Game Assumptions'!$B$7*'Utility Revenue'!L18*IF('Event Tracker'!L$4=1,2,1)</f>
        <v>0</v>
      </c>
    </row>
    <row r="50" spans="1:12" x14ac:dyDescent="0.25">
      <c r="A50" s="12" t="s">
        <v>77</v>
      </c>
      <c r="B50" s="27">
        <f>'Game Assumptions'!$B$7*'Utility Revenue'!B19*IF('Event Tracker'!B$4=1,2,1)</f>
        <v>0</v>
      </c>
      <c r="C50" s="27">
        <f>'Game Assumptions'!$B$7*'Utility Revenue'!C19*IF('Event Tracker'!C$4=1,2,1)</f>
        <v>0</v>
      </c>
      <c r="D50" s="27">
        <f>'Game Assumptions'!$B$7*'Utility Revenue'!D19*IF('Event Tracker'!D$4=1,2,1)</f>
        <v>0</v>
      </c>
      <c r="E50" s="27">
        <f>'Game Assumptions'!$B$7*'Utility Revenue'!E19*IF('Event Tracker'!E$4=1,2,1)</f>
        <v>0</v>
      </c>
      <c r="F50" s="27">
        <f>'Game Assumptions'!$B$7*'Utility Revenue'!F19*IF('Event Tracker'!F$4=1,2,1)</f>
        <v>0</v>
      </c>
      <c r="G50" s="27">
        <f>'Game Assumptions'!$B$7*'Utility Revenue'!G19*IF('Event Tracker'!G$4=1,2,1)</f>
        <v>0</v>
      </c>
      <c r="H50" s="27">
        <f>'Game Assumptions'!$B$7*'Utility Revenue'!H19*IF('Event Tracker'!H$4=1,2,1)</f>
        <v>0</v>
      </c>
      <c r="I50" s="27">
        <f>'Game Assumptions'!$B$7*'Utility Revenue'!I19*IF('Event Tracker'!I$4=1,2,1)</f>
        <v>0</v>
      </c>
      <c r="J50" s="27">
        <f>'Game Assumptions'!$B$7*'Utility Revenue'!J19*IF('Event Tracker'!J$4=1,2,1)</f>
        <v>0</v>
      </c>
      <c r="K50" s="27">
        <f>'Game Assumptions'!$B$7*'Utility Revenue'!K19*IF('Event Tracker'!K$4=1,2,1)</f>
        <v>0</v>
      </c>
      <c r="L50" s="27">
        <f>'Game Assumptions'!$B$7*'Utility Revenue'!L19*IF('Event Tracker'!L$4=1,2,1)</f>
        <v>0</v>
      </c>
    </row>
    <row r="51" spans="1:12" x14ac:dyDescent="0.25">
      <c r="A51" t="s">
        <v>357</v>
      </c>
      <c r="B51" s="27">
        <f>'Game Assumptions'!$B$7*'Utility Revenue'!B20*IF('Event Tracker'!B$4=1,2,1)</f>
        <v>0</v>
      </c>
      <c r="C51" s="27">
        <f>'Game Assumptions'!$B$7*'Utility Revenue'!C20*IF('Event Tracker'!C$4=1,2,1)</f>
        <v>0</v>
      </c>
      <c r="D51" s="27">
        <f>'Game Assumptions'!$B$7*'Utility Revenue'!D20*IF('Event Tracker'!D$4=1,2,1)</f>
        <v>0</v>
      </c>
      <c r="E51" s="27">
        <f>'Game Assumptions'!$B$7*'Utility Revenue'!E20*IF('Event Tracker'!E$4=1,2,1)</f>
        <v>0</v>
      </c>
      <c r="F51" s="27">
        <f>'Game Assumptions'!$B$7*'Utility Revenue'!F20*IF('Event Tracker'!F$4=1,2,1)</f>
        <v>0</v>
      </c>
      <c r="G51" s="27">
        <f>'Game Assumptions'!$B$7*'Utility Revenue'!G20*IF('Event Tracker'!G$4=1,2,1)</f>
        <v>0</v>
      </c>
      <c r="H51" s="27">
        <f>'Game Assumptions'!$B$7*'Utility Revenue'!H20*IF('Event Tracker'!H$4=1,2,1)</f>
        <v>0</v>
      </c>
      <c r="I51" s="27">
        <f>'Game Assumptions'!$B$7*'Utility Revenue'!I20*IF('Event Tracker'!I$4=1,2,1)</f>
        <v>0</v>
      </c>
      <c r="J51" s="27">
        <f>'Game Assumptions'!$B$7*'Utility Revenue'!J20*IF('Event Tracker'!J$4=1,2,1)</f>
        <v>0</v>
      </c>
      <c r="K51" s="27">
        <f>'Game Assumptions'!$B$7*'Utility Revenue'!K20*IF('Event Tracker'!K$4=1,2,1)</f>
        <v>0</v>
      </c>
      <c r="L51" s="27">
        <f>'Game Assumptions'!$B$7*'Utility Revenue'!L20*IF('Event Tracker'!L$4=1,2,1)</f>
        <v>0</v>
      </c>
    </row>
    <row r="52" spans="1:12" x14ac:dyDescent="0.25">
      <c r="A52" t="s">
        <v>358</v>
      </c>
      <c r="B52" s="27">
        <f>'Game Assumptions'!$B$7*'Utility Revenue'!B21*IF('Event Tracker'!B$4=1,2,1)</f>
        <v>0</v>
      </c>
      <c r="C52" s="27">
        <f>'Game Assumptions'!$B$7*'Utility Revenue'!C21*IF('Event Tracker'!C$4=1,2,1)</f>
        <v>0</v>
      </c>
      <c r="D52" s="27">
        <f>'Game Assumptions'!$B$7*'Utility Revenue'!D21*IF('Event Tracker'!D$4=1,2,1)</f>
        <v>0</v>
      </c>
      <c r="E52" s="27">
        <f>'Game Assumptions'!$B$7*'Utility Revenue'!E21*IF('Event Tracker'!E$4=1,2,1)</f>
        <v>0</v>
      </c>
      <c r="F52" s="27">
        <f>'Game Assumptions'!$B$7*'Utility Revenue'!F21*IF('Event Tracker'!F$4=1,2,1)</f>
        <v>0</v>
      </c>
      <c r="G52" s="27">
        <f>'Game Assumptions'!$B$7*'Utility Revenue'!G21*IF('Event Tracker'!G$4=1,2,1)</f>
        <v>0</v>
      </c>
      <c r="H52" s="27">
        <f>'Game Assumptions'!$B$7*'Utility Revenue'!H21*IF('Event Tracker'!H$4=1,2,1)</f>
        <v>0</v>
      </c>
      <c r="I52" s="27">
        <f>'Game Assumptions'!$B$7*'Utility Revenue'!I21*IF('Event Tracker'!I$4=1,2,1)</f>
        <v>0</v>
      </c>
      <c r="J52" s="27">
        <f>'Game Assumptions'!$B$7*'Utility Revenue'!J21*IF('Event Tracker'!J$4=1,2,1)</f>
        <v>0</v>
      </c>
      <c r="K52" s="27">
        <f>'Game Assumptions'!$B$7*'Utility Revenue'!K21*IF('Event Tracker'!K$4=1,2,1)</f>
        <v>0</v>
      </c>
      <c r="L52" s="27">
        <f>'Game Assumptions'!$B$7*'Utility Revenue'!L21*IF('Event Tracker'!L$4=1,2,1)</f>
        <v>0</v>
      </c>
    </row>
    <row r="53" spans="1:12" x14ac:dyDescent="0.25">
      <c r="A53" t="s">
        <v>359</v>
      </c>
      <c r="B53" s="27">
        <f>'Game Assumptions'!$B$7*'Utility Revenue'!B22*IF('Event Tracker'!B$4=1,2,1)</f>
        <v>0</v>
      </c>
      <c r="C53" s="27">
        <f>'Game Assumptions'!$B$7*'Utility Revenue'!C22*IF('Event Tracker'!C$4=1,2,1)</f>
        <v>0</v>
      </c>
      <c r="D53" s="27">
        <f>'Game Assumptions'!$B$7*'Utility Revenue'!D22*IF('Event Tracker'!D$4=1,2,1)</f>
        <v>0</v>
      </c>
      <c r="E53" s="27">
        <f>'Game Assumptions'!$B$7*'Utility Revenue'!E22*IF('Event Tracker'!E$4=1,2,1)</f>
        <v>0</v>
      </c>
      <c r="F53" s="27">
        <f>'Game Assumptions'!$B$7*'Utility Revenue'!F22*IF('Event Tracker'!F$4=1,2,1)</f>
        <v>0</v>
      </c>
      <c r="G53" s="27">
        <f>'Game Assumptions'!$B$7*'Utility Revenue'!G22*IF('Event Tracker'!G$4=1,2,1)</f>
        <v>0</v>
      </c>
      <c r="H53" s="27">
        <f>'Game Assumptions'!$B$7*'Utility Revenue'!H22*IF('Event Tracker'!H$4=1,2,1)</f>
        <v>0</v>
      </c>
      <c r="I53" s="27">
        <f>'Game Assumptions'!$B$7*'Utility Revenue'!I22*IF('Event Tracker'!I$4=1,2,1)</f>
        <v>0</v>
      </c>
      <c r="J53" s="27">
        <f>'Game Assumptions'!$B$7*'Utility Revenue'!J22*IF('Event Tracker'!J$4=1,2,1)</f>
        <v>0</v>
      </c>
      <c r="K53" s="27">
        <f>'Game Assumptions'!$B$7*'Utility Revenue'!K22*IF('Event Tracker'!K$4=1,2,1)</f>
        <v>0</v>
      </c>
      <c r="L53" s="27">
        <f>'Game Assumptions'!$B$7*'Utility Revenue'!L22*IF('Event Tracker'!L$4=1,2,1)</f>
        <v>0</v>
      </c>
    </row>
    <row r="54" spans="1:12" x14ac:dyDescent="0.25">
      <c r="A54" t="s">
        <v>360</v>
      </c>
      <c r="B54" s="27">
        <f>'Game Assumptions'!$B$7*'Utility Revenue'!B23*IF('Event Tracker'!B$4=1,2,1)</f>
        <v>0</v>
      </c>
      <c r="C54" s="27">
        <f>'Game Assumptions'!$B$7*'Utility Revenue'!C23*IF('Event Tracker'!C$4=1,2,1)</f>
        <v>0</v>
      </c>
      <c r="D54" s="27">
        <f>'Game Assumptions'!$B$7*'Utility Revenue'!D23*IF('Event Tracker'!D$4=1,2,1)</f>
        <v>0</v>
      </c>
      <c r="E54" s="27">
        <f>'Game Assumptions'!$B$7*'Utility Revenue'!E23*IF('Event Tracker'!E$4=1,2,1)</f>
        <v>0</v>
      </c>
      <c r="F54" s="27">
        <f>'Game Assumptions'!$B$7*'Utility Revenue'!F23*IF('Event Tracker'!F$4=1,2,1)</f>
        <v>0</v>
      </c>
      <c r="G54" s="27">
        <f>'Game Assumptions'!$B$7*'Utility Revenue'!G23*IF('Event Tracker'!G$4=1,2,1)</f>
        <v>0</v>
      </c>
      <c r="H54" s="27">
        <f>'Game Assumptions'!$B$7*'Utility Revenue'!H23*IF('Event Tracker'!H$4=1,2,1)</f>
        <v>0</v>
      </c>
      <c r="I54" s="27">
        <f>'Game Assumptions'!$B$7*'Utility Revenue'!I23*IF('Event Tracker'!I$4=1,2,1)</f>
        <v>0</v>
      </c>
      <c r="J54" s="27">
        <f>'Game Assumptions'!$B$7*'Utility Revenue'!J23*IF('Event Tracker'!J$4=1,2,1)</f>
        <v>0</v>
      </c>
      <c r="K54" s="27">
        <f>'Game Assumptions'!$B$7*'Utility Revenue'!K23*IF('Event Tracker'!K$4=1,2,1)</f>
        <v>0</v>
      </c>
      <c r="L54" s="27">
        <f>'Game Assumptions'!$B$7*'Utility Revenue'!L23*IF('Event Tracker'!L$4=1,2,1)</f>
        <v>0</v>
      </c>
    </row>
    <row r="55" spans="1:12" x14ac:dyDescent="0.25">
      <c r="A55" s="12" t="s">
        <v>97</v>
      </c>
      <c r="B55" s="27">
        <f>'Game Assumptions'!$B$7*'Utility Revenue'!B24*IF('Event Tracker'!B$4=1,2,1)</f>
        <v>0</v>
      </c>
      <c r="C55" s="27">
        <f>'Game Assumptions'!$B$7*'Utility Revenue'!C24*IF('Event Tracker'!C$4=1,2,1)</f>
        <v>0</v>
      </c>
      <c r="D55" s="27">
        <f>'Game Assumptions'!$B$7*'Utility Revenue'!D24*IF('Event Tracker'!D$4=1,2,1)</f>
        <v>0</v>
      </c>
      <c r="E55" s="27">
        <f>'Game Assumptions'!$B$7*'Utility Revenue'!E24*IF('Event Tracker'!E$4=1,2,1)</f>
        <v>0</v>
      </c>
      <c r="F55" s="27">
        <f>'Game Assumptions'!$B$7*'Utility Revenue'!F24*IF('Event Tracker'!F$4=1,2,1)</f>
        <v>0</v>
      </c>
      <c r="G55" s="27">
        <f>'Game Assumptions'!$B$7*'Utility Revenue'!G24*IF('Event Tracker'!G$4=1,2,1)</f>
        <v>0</v>
      </c>
      <c r="H55" s="27">
        <f>'Game Assumptions'!$B$7*'Utility Revenue'!H24*IF('Event Tracker'!H$4=1,2,1)</f>
        <v>0</v>
      </c>
      <c r="I55" s="27">
        <f>'Game Assumptions'!$B$7*'Utility Revenue'!I24*IF('Event Tracker'!I$4=1,2,1)</f>
        <v>0</v>
      </c>
      <c r="J55" s="27">
        <f>'Game Assumptions'!$B$7*'Utility Revenue'!J24*IF('Event Tracker'!J$4=1,2,1)</f>
        <v>0</v>
      </c>
      <c r="K55" s="27">
        <f>'Game Assumptions'!$B$7*'Utility Revenue'!K24*IF('Event Tracker'!K$4=1,2,1)</f>
        <v>0</v>
      </c>
      <c r="L55" s="27">
        <f>'Game Assumptions'!$B$7*'Utility Revenue'!L24*IF('Event Tracker'!L$4=1,2,1)</f>
        <v>0</v>
      </c>
    </row>
    <row r="56" spans="1:12" x14ac:dyDescent="0.25">
      <c r="A56" s="12" t="s">
        <v>98</v>
      </c>
      <c r="B56" s="27">
        <f>'Game Assumptions'!$B$7*'Utility Revenue'!B25*IF('Event Tracker'!B$4=1,2,1)</f>
        <v>0</v>
      </c>
      <c r="C56" s="27">
        <f>'Game Assumptions'!$B$7*'Utility Revenue'!C25*IF('Event Tracker'!C$4=1,2,1)</f>
        <v>0</v>
      </c>
      <c r="D56" s="27">
        <f>'Game Assumptions'!$B$7*'Utility Revenue'!D25*IF('Event Tracker'!D$4=1,2,1)</f>
        <v>0</v>
      </c>
      <c r="E56" s="27">
        <f>'Game Assumptions'!$B$7*'Utility Revenue'!E25*IF('Event Tracker'!E$4=1,2,1)</f>
        <v>0</v>
      </c>
      <c r="F56" s="27">
        <f>'Game Assumptions'!$B$7*'Utility Revenue'!F25*IF('Event Tracker'!F$4=1,2,1)</f>
        <v>0</v>
      </c>
      <c r="G56" s="27">
        <f>'Game Assumptions'!$B$7*'Utility Revenue'!G25*IF('Event Tracker'!G$4=1,2,1)</f>
        <v>0</v>
      </c>
      <c r="H56" s="27">
        <f>'Game Assumptions'!$B$7*'Utility Revenue'!H25*IF('Event Tracker'!H$4=1,2,1)</f>
        <v>0</v>
      </c>
      <c r="I56" s="27">
        <f>'Game Assumptions'!$B$7*'Utility Revenue'!I25*IF('Event Tracker'!I$4=1,2,1)</f>
        <v>0</v>
      </c>
      <c r="J56" s="27">
        <f>'Game Assumptions'!$B$7*'Utility Revenue'!J25*IF('Event Tracker'!J$4=1,2,1)</f>
        <v>0</v>
      </c>
      <c r="K56" s="27">
        <f>'Game Assumptions'!$B$7*'Utility Revenue'!K25*IF('Event Tracker'!K$4=1,2,1)</f>
        <v>0</v>
      </c>
      <c r="L56" s="27">
        <f>'Game Assumptions'!$B$7*'Utility Revenue'!L25*IF('Event Tracker'!L$4=1,2,1)</f>
        <v>0</v>
      </c>
    </row>
    <row r="57" spans="1:12" x14ac:dyDescent="0.25">
      <c r="A57" s="22" t="s">
        <v>99</v>
      </c>
      <c r="B57" s="23">
        <f>'Game Assumptions'!$B$7*'Utility Revenue'!B26*IF('Event Tracker'!B$4=1,2,1)</f>
        <v>0</v>
      </c>
      <c r="C57" s="23">
        <f>'Game Assumptions'!$B$7*'Utility Revenue'!C26*IF('Event Tracker'!C$4=1,2,1)</f>
        <v>0</v>
      </c>
      <c r="D57" s="23">
        <f>'Game Assumptions'!$B$7*'Utility Revenue'!D26*IF('Event Tracker'!D$4=1,2,1)</f>
        <v>0</v>
      </c>
      <c r="E57" s="23">
        <f>'Game Assumptions'!$B$7*'Utility Revenue'!E26*IF('Event Tracker'!E$4=1,2,1)</f>
        <v>0</v>
      </c>
      <c r="F57" s="23">
        <f>'Game Assumptions'!$B$7*'Utility Revenue'!F26*IF('Event Tracker'!F$4=1,2,1)</f>
        <v>0</v>
      </c>
      <c r="G57" s="23">
        <f>'Game Assumptions'!$B$7*'Utility Revenue'!G26*IF('Event Tracker'!G$4=1,2,1)</f>
        <v>0</v>
      </c>
      <c r="H57" s="23">
        <f>'Game Assumptions'!$B$7*'Utility Revenue'!H26*IF('Event Tracker'!H$4=1,2,1)</f>
        <v>0</v>
      </c>
      <c r="I57" s="23">
        <f>'Game Assumptions'!$B$7*'Utility Revenue'!I26*IF('Event Tracker'!I$4=1,2,1)</f>
        <v>0</v>
      </c>
      <c r="J57" s="23">
        <f>'Game Assumptions'!$B$7*'Utility Revenue'!J26*IF('Event Tracker'!J$4=1,2,1)</f>
        <v>0</v>
      </c>
      <c r="K57" s="23">
        <f>'Game Assumptions'!$B$7*'Utility Revenue'!K26*IF('Event Tracker'!K$4=1,2,1)</f>
        <v>0</v>
      </c>
      <c r="L57" s="23">
        <f>'Game Assumptions'!$B$7*'Utility Revenue'!L26*IF('Event Tracker'!L$4=1,2,1)</f>
        <v>0</v>
      </c>
    </row>
    <row r="58" spans="1:12" ht="15.75" thickBot="1" x14ac:dyDescent="0.3">
      <c r="A58" s="37" t="s">
        <v>263</v>
      </c>
      <c r="B58" s="38">
        <f>'Game Assumptions'!B80</f>
        <v>8000000</v>
      </c>
      <c r="C58" s="38">
        <f>B58</f>
        <v>8000000</v>
      </c>
      <c r="D58" s="38">
        <f t="shared" ref="D58:L58" si="1">C58</f>
        <v>8000000</v>
      </c>
      <c r="E58" s="38">
        <f t="shared" si="1"/>
        <v>8000000</v>
      </c>
      <c r="F58" s="38">
        <f t="shared" si="1"/>
        <v>8000000</v>
      </c>
      <c r="G58" s="38">
        <f t="shared" si="1"/>
        <v>8000000</v>
      </c>
      <c r="H58" s="38">
        <f t="shared" si="1"/>
        <v>8000000</v>
      </c>
      <c r="I58" s="38">
        <f t="shared" si="1"/>
        <v>8000000</v>
      </c>
      <c r="J58" s="38">
        <f t="shared" si="1"/>
        <v>8000000</v>
      </c>
      <c r="K58" s="38">
        <f t="shared" si="1"/>
        <v>8000000</v>
      </c>
      <c r="L58" s="38">
        <f t="shared" si="1"/>
        <v>8000000</v>
      </c>
    </row>
    <row r="59" spans="1:12" ht="15.75" thickTop="1" x14ac:dyDescent="0.25">
      <c r="A59" s="39" t="s">
        <v>117</v>
      </c>
      <c r="B59" s="50">
        <f>IF($B$2="GTDR",SUM(B40:B57)/B58,IF($B$2="DR",SUM(B41:B42,B54:B57)/B58,""))</f>
        <v>9.375</v>
      </c>
      <c r="C59" s="158">
        <f>IF($B$2="GTDR",SUM(C40:C57)/C58,IF($B$2="DR",SUM(C41:C42,C54:C57)/C58,""))</f>
        <v>8.90625</v>
      </c>
      <c r="D59" s="50">
        <f t="shared" ref="D59:L59" si="2">IF($B$2="GTDR",SUM(D40:D57)/D58,IF($B$2="DR",SUM(D41:D42,D54:D57)/D58,""))</f>
        <v>8.4375</v>
      </c>
      <c r="E59" s="50">
        <f t="shared" si="2"/>
        <v>7.96875</v>
      </c>
      <c r="F59" s="50">
        <f t="shared" si="2"/>
        <v>7.5</v>
      </c>
      <c r="G59" s="50">
        <f t="shared" si="2"/>
        <v>7.0312500000000018</v>
      </c>
      <c r="H59" s="50">
        <f t="shared" si="2"/>
        <v>6.5625</v>
      </c>
      <c r="I59" s="50">
        <f t="shared" si="2"/>
        <v>6.0937500000000009</v>
      </c>
      <c r="J59" s="50">
        <f t="shared" si="2"/>
        <v>5.6249999999999991</v>
      </c>
      <c r="K59" s="50">
        <f t="shared" si="2"/>
        <v>5.15625</v>
      </c>
      <c r="L59" s="50">
        <f t="shared" si="2"/>
        <v>4.6875</v>
      </c>
    </row>
    <row r="61" spans="1:12" x14ac:dyDescent="0.25">
      <c r="A61" s="9" t="s">
        <v>115</v>
      </c>
      <c r="B61" s="9">
        <v>0</v>
      </c>
      <c r="C61" s="9">
        <v>1</v>
      </c>
      <c r="D61" s="9">
        <v>2</v>
      </c>
      <c r="E61" s="9">
        <v>3</v>
      </c>
      <c r="F61" s="9">
        <v>4</v>
      </c>
      <c r="G61" s="9">
        <v>5</v>
      </c>
      <c r="H61" s="9">
        <v>6</v>
      </c>
      <c r="I61" s="9">
        <v>7</v>
      </c>
      <c r="J61" s="9">
        <v>8</v>
      </c>
      <c r="K61" s="9">
        <v>9</v>
      </c>
      <c r="L61" s="9">
        <v>10</v>
      </c>
    </row>
    <row r="62" spans="1:12" x14ac:dyDescent="0.25">
      <c r="A62" s="24" t="s">
        <v>112</v>
      </c>
    </row>
    <row r="63" spans="1:12" x14ac:dyDescent="0.25">
      <c r="A63" s="28" t="s">
        <v>68</v>
      </c>
      <c r="B63" s="27"/>
      <c r="C63" s="27"/>
      <c r="D63" s="27"/>
      <c r="E63" s="27"/>
      <c r="F63" s="27"/>
      <c r="G63" s="27"/>
      <c r="H63" s="27"/>
      <c r="I63" s="27"/>
      <c r="J63" s="27"/>
      <c r="K63" s="27"/>
      <c r="L63" s="27"/>
    </row>
    <row r="64" spans="1:12" x14ac:dyDescent="0.25">
      <c r="A64" s="26" t="s">
        <v>94</v>
      </c>
      <c r="B64" s="27">
        <f>(1-('Game Assumptions'!$B$7*IF('Event Tracker'!B$4=1,2,1)))*'Utility Revenue'!B9</f>
        <v>75000000</v>
      </c>
      <c r="C64" s="27">
        <f>(1-('Game Assumptions'!$B$7*IF('Event Tracker'!C$4=1,2,1)))*'Utility Revenue'!C9</f>
        <v>71250000</v>
      </c>
      <c r="D64" s="27">
        <f>(1-('Game Assumptions'!$B$7*IF('Event Tracker'!D$4=1,2,1)))*'Utility Revenue'!D9</f>
        <v>67500000</v>
      </c>
      <c r="E64" s="27">
        <f>(1-('Game Assumptions'!$B$7*IF('Event Tracker'!E$4=1,2,1)))*'Utility Revenue'!E9</f>
        <v>63750000</v>
      </c>
      <c r="F64" s="27">
        <f>(1-('Game Assumptions'!$B$7*IF('Event Tracker'!F$4=1,2,1)))*'Utility Revenue'!F9</f>
        <v>60000000</v>
      </c>
      <c r="G64" s="27">
        <f>(1-('Game Assumptions'!$B$7*IF('Event Tracker'!G$4=1,2,1)))*'Utility Revenue'!G9</f>
        <v>56250000.000000015</v>
      </c>
      <c r="H64" s="27">
        <f>(1-('Game Assumptions'!$B$7*IF('Event Tracker'!H$4=1,2,1)))*'Utility Revenue'!H9</f>
        <v>52500000</v>
      </c>
      <c r="I64" s="27">
        <f>(1-('Game Assumptions'!$B$7*IF('Event Tracker'!I$4=1,2,1)))*'Utility Revenue'!I9</f>
        <v>48750000.000000007</v>
      </c>
      <c r="J64" s="27">
        <f>(1-('Game Assumptions'!$B$7*IF('Event Tracker'!J$4=1,2,1)))*'Utility Revenue'!J9</f>
        <v>44999999.999999993</v>
      </c>
      <c r="K64" s="27">
        <f>(1-('Game Assumptions'!$B$7*IF('Event Tracker'!K$4=1,2,1)))*'Utility Revenue'!K9</f>
        <v>41250000</v>
      </c>
      <c r="L64" s="27">
        <f>(1-('Game Assumptions'!$B$7*IF('Event Tracker'!L$4=1,2,1)))*'Utility Revenue'!L9</f>
        <v>37500000</v>
      </c>
    </row>
    <row r="65" spans="1:12" x14ac:dyDescent="0.25">
      <c r="A65" s="26" t="s">
        <v>95</v>
      </c>
      <c r="B65" s="27">
        <f>(1-('Game Assumptions'!$B$7*IF('Event Tracker'!B$4=1,2,1)))*'Utility Revenue'!B10</f>
        <v>75000000</v>
      </c>
      <c r="C65" s="27">
        <f>(1-('Game Assumptions'!$B$7*IF('Event Tracker'!C$4=1,2,1)))*'Utility Revenue'!C10</f>
        <v>71250000</v>
      </c>
      <c r="D65" s="27">
        <f>(1-('Game Assumptions'!$B$7*IF('Event Tracker'!D$4=1,2,1)))*'Utility Revenue'!D10</f>
        <v>67500000</v>
      </c>
      <c r="E65" s="27">
        <f>(1-('Game Assumptions'!$B$7*IF('Event Tracker'!E$4=1,2,1)))*'Utility Revenue'!E10</f>
        <v>63750000</v>
      </c>
      <c r="F65" s="27">
        <f>(1-('Game Assumptions'!$B$7*IF('Event Tracker'!F$4=1,2,1)))*'Utility Revenue'!F10</f>
        <v>60000000</v>
      </c>
      <c r="G65" s="27">
        <f>(1-('Game Assumptions'!$B$7*IF('Event Tracker'!G$4=1,2,1)))*'Utility Revenue'!G10</f>
        <v>56250000.000000015</v>
      </c>
      <c r="H65" s="27">
        <f>(1-('Game Assumptions'!$B$7*IF('Event Tracker'!H$4=1,2,1)))*'Utility Revenue'!H10</f>
        <v>52500000</v>
      </c>
      <c r="I65" s="27">
        <f>(1-('Game Assumptions'!$B$7*IF('Event Tracker'!I$4=1,2,1)))*'Utility Revenue'!I10</f>
        <v>48750000.000000007</v>
      </c>
      <c r="J65" s="27">
        <f>(1-('Game Assumptions'!$B$7*IF('Event Tracker'!J$4=1,2,1)))*'Utility Revenue'!J10</f>
        <v>44999999.999999993</v>
      </c>
      <c r="K65" s="27">
        <f>(1-('Game Assumptions'!$B$7*IF('Event Tracker'!K$4=1,2,1)))*'Utility Revenue'!K10</f>
        <v>41250000</v>
      </c>
      <c r="L65" s="27">
        <f>(1-('Game Assumptions'!$B$7*IF('Event Tracker'!L$4=1,2,1)))*'Utility Revenue'!L10</f>
        <v>37500000</v>
      </c>
    </row>
    <row r="66" spans="1:12" x14ac:dyDescent="0.25">
      <c r="A66" s="29" t="s">
        <v>96</v>
      </c>
      <c r="B66" s="23">
        <f>(1-('Game Assumptions'!$B$7*IF('Event Tracker'!B$4=1,2,1)))*'Utility Revenue'!B11</f>
        <v>75000000</v>
      </c>
      <c r="C66" s="23">
        <f>(1-('Game Assumptions'!$B$7*IF('Event Tracker'!C$4=1,2,1)))*'Utility Revenue'!C11</f>
        <v>71250000</v>
      </c>
      <c r="D66" s="23">
        <f>(1-('Game Assumptions'!$B$7*IF('Event Tracker'!D$4=1,2,1)))*'Utility Revenue'!D11</f>
        <v>67500000</v>
      </c>
      <c r="E66" s="23">
        <f>(1-('Game Assumptions'!$B$7*IF('Event Tracker'!E$4=1,2,1)))*'Utility Revenue'!E11</f>
        <v>63750000</v>
      </c>
      <c r="F66" s="23">
        <f>(1-('Game Assumptions'!$B$7*IF('Event Tracker'!F$4=1,2,1)))*'Utility Revenue'!F11</f>
        <v>60000000</v>
      </c>
      <c r="G66" s="23">
        <f>(1-('Game Assumptions'!$B$7*IF('Event Tracker'!G$4=1,2,1)))*'Utility Revenue'!G11</f>
        <v>56250000.000000015</v>
      </c>
      <c r="H66" s="23">
        <f>(1-('Game Assumptions'!$B$7*IF('Event Tracker'!H$4=1,2,1)))*'Utility Revenue'!H11</f>
        <v>52500000</v>
      </c>
      <c r="I66" s="23">
        <f>(1-('Game Assumptions'!$B$7*IF('Event Tracker'!I$4=1,2,1)))*'Utility Revenue'!I11</f>
        <v>48750000.000000007</v>
      </c>
      <c r="J66" s="23">
        <f>(1-('Game Assumptions'!$B$7*IF('Event Tracker'!J$4=1,2,1)))*'Utility Revenue'!J11</f>
        <v>44999999.999999993</v>
      </c>
      <c r="K66" s="23">
        <f>(1-('Game Assumptions'!$B$7*IF('Event Tracker'!K$4=1,2,1)))*'Utility Revenue'!K11</f>
        <v>41250000</v>
      </c>
      <c r="L66" s="23">
        <f>(1-('Game Assumptions'!$B$7*IF('Event Tracker'!L$4=1,2,1)))*'Utility Revenue'!L11</f>
        <v>37500000</v>
      </c>
    </row>
    <row r="67" spans="1:12" x14ac:dyDescent="0.25">
      <c r="A67" s="4" t="s">
        <v>73</v>
      </c>
    </row>
    <row r="68" spans="1:12" x14ac:dyDescent="0.25">
      <c r="A68" t="s">
        <v>70</v>
      </c>
      <c r="B68" s="7">
        <f>(1-('Game Assumptions'!$B$7*IF('Event Tracker'!B$4=1,2,1)))*'Utility Revenue'!B13</f>
        <v>0</v>
      </c>
      <c r="C68" s="7">
        <f>(1-('Game Assumptions'!$B$7*IF('Event Tracker'!C$4=1,2,1)))*'Utility Revenue'!C13</f>
        <v>0</v>
      </c>
      <c r="D68" s="7">
        <f>(1-('Game Assumptions'!$B$7*IF('Event Tracker'!D$4=1,2,1)))*'Utility Revenue'!D13</f>
        <v>0</v>
      </c>
      <c r="E68" s="7">
        <f>(1-('Game Assumptions'!$B$7*IF('Event Tracker'!E$4=1,2,1)))*'Utility Revenue'!E13</f>
        <v>0</v>
      </c>
      <c r="F68" s="7">
        <f>(1-('Game Assumptions'!$B$7*IF('Event Tracker'!F$4=1,2,1)))*'Utility Revenue'!F13</f>
        <v>0</v>
      </c>
      <c r="G68" s="7">
        <f>(1-('Game Assumptions'!$B$7*IF('Event Tracker'!G$4=1,2,1)))*'Utility Revenue'!G13</f>
        <v>0</v>
      </c>
      <c r="H68" s="7">
        <f>(1-('Game Assumptions'!$B$7*IF('Event Tracker'!H$4=1,2,1)))*'Utility Revenue'!H13</f>
        <v>0</v>
      </c>
      <c r="I68" s="7">
        <f>(1-('Game Assumptions'!$B$7*IF('Event Tracker'!I$4=1,2,1)))*'Utility Revenue'!I13</f>
        <v>0</v>
      </c>
      <c r="J68" s="7">
        <f>(1-('Game Assumptions'!$B$7*IF('Event Tracker'!J$4=1,2,1)))*'Utility Revenue'!J13</f>
        <v>0</v>
      </c>
      <c r="K68" s="7">
        <f>(1-('Game Assumptions'!$B$7*IF('Event Tracker'!K$4=1,2,1)))*'Utility Revenue'!K13</f>
        <v>0</v>
      </c>
      <c r="L68" s="7">
        <f>(1-('Game Assumptions'!$B$7*IF('Event Tracker'!L$4=1,2,1)))*'Utility Revenue'!L13</f>
        <v>0</v>
      </c>
    </row>
    <row r="69" spans="1:12" x14ac:dyDescent="0.25">
      <c r="A69" t="s">
        <v>76</v>
      </c>
      <c r="B69" s="7">
        <f>(1-('Game Assumptions'!$B$7*IF('Event Tracker'!B$4=1,2,1)))*'Utility Revenue'!B14</f>
        <v>0</v>
      </c>
      <c r="C69" s="7">
        <f>(1-('Game Assumptions'!$B$7*IF('Event Tracker'!C$4=1,2,1)))*'Utility Revenue'!C14</f>
        <v>0</v>
      </c>
      <c r="D69" s="7">
        <f>(1-('Game Assumptions'!$B$7*IF('Event Tracker'!D$4=1,2,1)))*'Utility Revenue'!D14</f>
        <v>0</v>
      </c>
      <c r="E69" s="7">
        <f>(1-('Game Assumptions'!$B$7*IF('Event Tracker'!E$4=1,2,1)))*'Utility Revenue'!E14</f>
        <v>0</v>
      </c>
      <c r="F69" s="7">
        <f>(1-('Game Assumptions'!$B$7*IF('Event Tracker'!F$4=1,2,1)))*'Utility Revenue'!F14</f>
        <v>0</v>
      </c>
      <c r="G69" s="7">
        <f>(1-('Game Assumptions'!$B$7*IF('Event Tracker'!G$4=1,2,1)))*'Utility Revenue'!G14</f>
        <v>0</v>
      </c>
      <c r="H69" s="7">
        <f>(1-('Game Assumptions'!$B$7*IF('Event Tracker'!H$4=1,2,1)))*'Utility Revenue'!H14</f>
        <v>0</v>
      </c>
      <c r="I69" s="7">
        <f>(1-('Game Assumptions'!$B$7*IF('Event Tracker'!I$4=1,2,1)))*'Utility Revenue'!I14</f>
        <v>0</v>
      </c>
      <c r="J69" s="7">
        <f>(1-('Game Assumptions'!$B$7*IF('Event Tracker'!J$4=1,2,1)))*'Utility Revenue'!J14</f>
        <v>0</v>
      </c>
      <c r="K69" s="7">
        <f>(1-('Game Assumptions'!$B$7*IF('Event Tracker'!K$4=1,2,1)))*'Utility Revenue'!K14</f>
        <v>0</v>
      </c>
      <c r="L69" s="7">
        <f>(1-('Game Assumptions'!$B$7*IF('Event Tracker'!L$4=1,2,1)))*'Utility Revenue'!L14</f>
        <v>0</v>
      </c>
    </row>
    <row r="70" spans="1:12" x14ac:dyDescent="0.25">
      <c r="A70" t="s">
        <v>71</v>
      </c>
      <c r="B70" s="7">
        <f>(1-('Game Assumptions'!$B$7*IF('Event Tracker'!B$4=1,2,1)))*'Utility Revenue'!B15</f>
        <v>0</v>
      </c>
      <c r="C70" s="7">
        <f>(1-('Game Assumptions'!$B$7*IF('Event Tracker'!C$4=1,2,1)))*'Utility Revenue'!C15</f>
        <v>0</v>
      </c>
      <c r="D70" s="7">
        <f>(1-('Game Assumptions'!$B$7*IF('Event Tracker'!D$4=1,2,1)))*'Utility Revenue'!D15</f>
        <v>0</v>
      </c>
      <c r="E70" s="7">
        <f>(1-('Game Assumptions'!$B$7*IF('Event Tracker'!E$4=1,2,1)))*'Utility Revenue'!E15</f>
        <v>0</v>
      </c>
      <c r="F70" s="7">
        <f>(1-('Game Assumptions'!$B$7*IF('Event Tracker'!F$4=1,2,1)))*'Utility Revenue'!F15</f>
        <v>0</v>
      </c>
      <c r="G70" s="7">
        <f>(1-('Game Assumptions'!$B$7*IF('Event Tracker'!G$4=1,2,1)))*'Utility Revenue'!G15</f>
        <v>0</v>
      </c>
      <c r="H70" s="7">
        <f>(1-('Game Assumptions'!$B$7*IF('Event Tracker'!H$4=1,2,1)))*'Utility Revenue'!H15</f>
        <v>0</v>
      </c>
      <c r="I70" s="7">
        <f>(1-('Game Assumptions'!$B$7*IF('Event Tracker'!I$4=1,2,1)))*'Utility Revenue'!I15</f>
        <v>0</v>
      </c>
      <c r="J70" s="7">
        <f>(1-('Game Assumptions'!$B$7*IF('Event Tracker'!J$4=1,2,1)))*'Utility Revenue'!J15</f>
        <v>0</v>
      </c>
      <c r="K70" s="7">
        <f>(1-('Game Assumptions'!$B$7*IF('Event Tracker'!K$4=1,2,1)))*'Utility Revenue'!K15</f>
        <v>0</v>
      </c>
      <c r="L70" s="7">
        <f>(1-('Game Assumptions'!$B$7*IF('Event Tracker'!L$4=1,2,1)))*'Utility Revenue'!L15</f>
        <v>0</v>
      </c>
    </row>
    <row r="71" spans="1:12" x14ac:dyDescent="0.25">
      <c r="A71" t="s">
        <v>74</v>
      </c>
      <c r="B71" s="7">
        <f>(1-('Game Assumptions'!$B$7*IF('Event Tracker'!B$4=1,2,1)))*'Utility Revenue'!B16</f>
        <v>0</v>
      </c>
      <c r="C71" s="7">
        <f>(1-('Game Assumptions'!$B$7*IF('Event Tracker'!C$4=1,2,1)))*'Utility Revenue'!C16</f>
        <v>0</v>
      </c>
      <c r="D71" s="7">
        <f>(1-('Game Assumptions'!$B$7*IF('Event Tracker'!D$4=1,2,1)))*'Utility Revenue'!D16</f>
        <v>0</v>
      </c>
      <c r="E71" s="7">
        <f>(1-('Game Assumptions'!$B$7*IF('Event Tracker'!E$4=1,2,1)))*'Utility Revenue'!E16</f>
        <v>0</v>
      </c>
      <c r="F71" s="7">
        <f>(1-('Game Assumptions'!$B$7*IF('Event Tracker'!F$4=1,2,1)))*'Utility Revenue'!F16</f>
        <v>0</v>
      </c>
      <c r="G71" s="7">
        <f>(1-('Game Assumptions'!$B$7*IF('Event Tracker'!G$4=1,2,1)))*'Utility Revenue'!G16</f>
        <v>0</v>
      </c>
      <c r="H71" s="7">
        <f>(1-('Game Assumptions'!$B$7*IF('Event Tracker'!H$4=1,2,1)))*'Utility Revenue'!H16</f>
        <v>0</v>
      </c>
      <c r="I71" s="7">
        <f>(1-('Game Assumptions'!$B$7*IF('Event Tracker'!I$4=1,2,1)))*'Utility Revenue'!I16</f>
        <v>0</v>
      </c>
      <c r="J71" s="7">
        <f>(1-('Game Assumptions'!$B$7*IF('Event Tracker'!J$4=1,2,1)))*'Utility Revenue'!J16</f>
        <v>0</v>
      </c>
      <c r="K71" s="7">
        <f>(1-('Game Assumptions'!$B$7*IF('Event Tracker'!K$4=1,2,1)))*'Utility Revenue'!K16</f>
        <v>0</v>
      </c>
      <c r="L71" s="7">
        <f>(1-('Game Assumptions'!$B$7*IF('Event Tracker'!L$4=1,2,1)))*'Utility Revenue'!L16</f>
        <v>0</v>
      </c>
    </row>
    <row r="72" spans="1:12" x14ac:dyDescent="0.25">
      <c r="A72" t="s">
        <v>75</v>
      </c>
      <c r="B72" s="7">
        <f>(1-('Game Assumptions'!$B$7*IF('Event Tracker'!B$4=1,2,1)))*'Utility Revenue'!B17</f>
        <v>0</v>
      </c>
      <c r="C72" s="7">
        <f>(1-('Game Assumptions'!$B$7*IF('Event Tracker'!C$4=1,2,1)))*'Utility Revenue'!C17</f>
        <v>0</v>
      </c>
      <c r="D72" s="7">
        <f>(1-('Game Assumptions'!$B$7*IF('Event Tracker'!D$4=1,2,1)))*'Utility Revenue'!D17</f>
        <v>0</v>
      </c>
      <c r="E72" s="7">
        <f>(1-('Game Assumptions'!$B$7*IF('Event Tracker'!E$4=1,2,1)))*'Utility Revenue'!E17</f>
        <v>0</v>
      </c>
      <c r="F72" s="7">
        <f>(1-('Game Assumptions'!$B$7*IF('Event Tracker'!F$4=1,2,1)))*'Utility Revenue'!F17</f>
        <v>0</v>
      </c>
      <c r="G72" s="7">
        <f>(1-('Game Assumptions'!$B$7*IF('Event Tracker'!G$4=1,2,1)))*'Utility Revenue'!G17</f>
        <v>0</v>
      </c>
      <c r="H72" s="7">
        <f>(1-('Game Assumptions'!$B$7*IF('Event Tracker'!H$4=1,2,1)))*'Utility Revenue'!H17</f>
        <v>0</v>
      </c>
      <c r="I72" s="7">
        <f>(1-('Game Assumptions'!$B$7*IF('Event Tracker'!I$4=1,2,1)))*'Utility Revenue'!I17</f>
        <v>0</v>
      </c>
      <c r="J72" s="7">
        <f>(1-('Game Assumptions'!$B$7*IF('Event Tracker'!J$4=1,2,1)))*'Utility Revenue'!J17</f>
        <v>0</v>
      </c>
      <c r="K72" s="7">
        <f>(1-('Game Assumptions'!$B$7*IF('Event Tracker'!K$4=1,2,1)))*'Utility Revenue'!K17</f>
        <v>0</v>
      </c>
      <c r="L72" s="7">
        <f>(1-('Game Assumptions'!$B$7*IF('Event Tracker'!L$4=1,2,1)))*'Utility Revenue'!L17</f>
        <v>0</v>
      </c>
    </row>
    <row r="73" spans="1:12" x14ac:dyDescent="0.25">
      <c r="A73" t="s">
        <v>72</v>
      </c>
      <c r="B73" s="7">
        <f>(1-('Game Assumptions'!$B$7*IF('Event Tracker'!B$4=1,2,1)))*'Utility Revenue'!B18</f>
        <v>0</v>
      </c>
      <c r="C73" s="7">
        <f>(1-('Game Assumptions'!$B$7*IF('Event Tracker'!C$4=1,2,1)))*'Utility Revenue'!C18</f>
        <v>0</v>
      </c>
      <c r="D73" s="7">
        <f>(1-('Game Assumptions'!$B$7*IF('Event Tracker'!D$4=1,2,1)))*'Utility Revenue'!D18</f>
        <v>0</v>
      </c>
      <c r="E73" s="7">
        <f>(1-('Game Assumptions'!$B$7*IF('Event Tracker'!E$4=1,2,1)))*'Utility Revenue'!E18</f>
        <v>0</v>
      </c>
      <c r="F73" s="7">
        <f>(1-('Game Assumptions'!$B$7*IF('Event Tracker'!F$4=1,2,1)))*'Utility Revenue'!F18</f>
        <v>0</v>
      </c>
      <c r="G73" s="7">
        <f>(1-('Game Assumptions'!$B$7*IF('Event Tracker'!G$4=1,2,1)))*'Utility Revenue'!G18</f>
        <v>0</v>
      </c>
      <c r="H73" s="7">
        <f>(1-('Game Assumptions'!$B$7*IF('Event Tracker'!H$4=1,2,1)))*'Utility Revenue'!H18</f>
        <v>0</v>
      </c>
      <c r="I73" s="7">
        <f>(1-('Game Assumptions'!$B$7*IF('Event Tracker'!I$4=1,2,1)))*'Utility Revenue'!I18</f>
        <v>0</v>
      </c>
      <c r="J73" s="7">
        <f>(1-('Game Assumptions'!$B$7*IF('Event Tracker'!J$4=1,2,1)))*'Utility Revenue'!J18</f>
        <v>0</v>
      </c>
      <c r="K73" s="7">
        <f>(1-('Game Assumptions'!$B$7*IF('Event Tracker'!K$4=1,2,1)))*'Utility Revenue'!K18</f>
        <v>0</v>
      </c>
      <c r="L73" s="7">
        <f>(1-('Game Assumptions'!$B$7*IF('Event Tracker'!L$4=1,2,1)))*'Utility Revenue'!L18</f>
        <v>0</v>
      </c>
    </row>
    <row r="74" spans="1:12" x14ac:dyDescent="0.25">
      <c r="A74" s="12" t="s">
        <v>77</v>
      </c>
      <c r="B74" s="7">
        <f>(1-('Game Assumptions'!$B$7*IF('Event Tracker'!B$4=1,2,1)))*'Utility Revenue'!B19</f>
        <v>0</v>
      </c>
      <c r="C74" s="7">
        <f>(1-('Game Assumptions'!$B$7*IF('Event Tracker'!C$4=1,2,1)))*'Utility Revenue'!C19</f>
        <v>0</v>
      </c>
      <c r="D74" s="7">
        <f>(1-('Game Assumptions'!$B$7*IF('Event Tracker'!D$4=1,2,1)))*'Utility Revenue'!D19</f>
        <v>0</v>
      </c>
      <c r="E74" s="7">
        <f>(1-('Game Assumptions'!$B$7*IF('Event Tracker'!E$4=1,2,1)))*'Utility Revenue'!E19</f>
        <v>0</v>
      </c>
      <c r="F74" s="7">
        <f>(1-('Game Assumptions'!$B$7*IF('Event Tracker'!F$4=1,2,1)))*'Utility Revenue'!F19</f>
        <v>0</v>
      </c>
      <c r="G74" s="7">
        <f>(1-('Game Assumptions'!$B$7*IF('Event Tracker'!G$4=1,2,1)))*'Utility Revenue'!G19</f>
        <v>0</v>
      </c>
      <c r="H74" s="7">
        <f>(1-('Game Assumptions'!$B$7*IF('Event Tracker'!H$4=1,2,1)))*'Utility Revenue'!H19</f>
        <v>0</v>
      </c>
      <c r="I74" s="7">
        <f>(1-('Game Assumptions'!$B$7*IF('Event Tracker'!I$4=1,2,1)))*'Utility Revenue'!I19</f>
        <v>0</v>
      </c>
      <c r="J74" s="7">
        <f>(1-('Game Assumptions'!$B$7*IF('Event Tracker'!J$4=1,2,1)))*'Utility Revenue'!J19</f>
        <v>0</v>
      </c>
      <c r="K74" s="7">
        <f>(1-('Game Assumptions'!$B$7*IF('Event Tracker'!K$4=1,2,1)))*'Utility Revenue'!K19</f>
        <v>0</v>
      </c>
      <c r="L74" s="7">
        <f>(1-('Game Assumptions'!$B$7*IF('Event Tracker'!L$4=1,2,1)))*'Utility Revenue'!L19</f>
        <v>0</v>
      </c>
    </row>
    <row r="75" spans="1:12" x14ac:dyDescent="0.25">
      <c r="A75" t="s">
        <v>357</v>
      </c>
      <c r="B75" s="7">
        <f>(1-('Game Assumptions'!$B$7*IF('Event Tracker'!B$4=1,2,1)))*'Utility Revenue'!B20</f>
        <v>0</v>
      </c>
      <c r="C75" s="7">
        <f>(1-('Game Assumptions'!$B$7*IF('Event Tracker'!C$4=1,2,1)))*'Utility Revenue'!C20</f>
        <v>0</v>
      </c>
      <c r="D75" s="7">
        <f>(1-('Game Assumptions'!$B$7*IF('Event Tracker'!D$4=1,2,1)))*'Utility Revenue'!D20</f>
        <v>0</v>
      </c>
      <c r="E75" s="7">
        <f>(1-('Game Assumptions'!$B$7*IF('Event Tracker'!E$4=1,2,1)))*'Utility Revenue'!E20</f>
        <v>0</v>
      </c>
      <c r="F75" s="7">
        <f>(1-('Game Assumptions'!$B$7*IF('Event Tracker'!F$4=1,2,1)))*'Utility Revenue'!F20</f>
        <v>0</v>
      </c>
      <c r="G75" s="7">
        <f>(1-('Game Assumptions'!$B$7*IF('Event Tracker'!G$4=1,2,1)))*'Utility Revenue'!G20</f>
        <v>0</v>
      </c>
      <c r="H75" s="7">
        <f>(1-('Game Assumptions'!$B$7*IF('Event Tracker'!H$4=1,2,1)))*'Utility Revenue'!H20</f>
        <v>0</v>
      </c>
      <c r="I75" s="7">
        <f>(1-('Game Assumptions'!$B$7*IF('Event Tracker'!I$4=1,2,1)))*'Utility Revenue'!I20</f>
        <v>0</v>
      </c>
      <c r="J75" s="7">
        <f>(1-('Game Assumptions'!$B$7*IF('Event Tracker'!J$4=1,2,1)))*'Utility Revenue'!J20</f>
        <v>0</v>
      </c>
      <c r="K75" s="7">
        <f>(1-('Game Assumptions'!$B$7*IF('Event Tracker'!K$4=1,2,1)))*'Utility Revenue'!K20</f>
        <v>0</v>
      </c>
      <c r="L75" s="7">
        <f>(1-('Game Assumptions'!$B$7*IF('Event Tracker'!L$4=1,2,1)))*'Utility Revenue'!L20</f>
        <v>0</v>
      </c>
    </row>
    <row r="76" spans="1:12" x14ac:dyDescent="0.25">
      <c r="A76" t="s">
        <v>358</v>
      </c>
      <c r="B76" s="7">
        <f>(1-('Game Assumptions'!$B$7*IF('Event Tracker'!B$4=1,2,1)))*'Utility Revenue'!B21</f>
        <v>0</v>
      </c>
      <c r="C76" s="7">
        <f>(1-('Game Assumptions'!$B$7*IF('Event Tracker'!C$4=1,2,1)))*'Utility Revenue'!C21</f>
        <v>0</v>
      </c>
      <c r="D76" s="7">
        <f>(1-('Game Assumptions'!$B$7*IF('Event Tracker'!D$4=1,2,1)))*'Utility Revenue'!D21</f>
        <v>0</v>
      </c>
      <c r="E76" s="7">
        <f>(1-('Game Assumptions'!$B$7*IF('Event Tracker'!E$4=1,2,1)))*'Utility Revenue'!E21</f>
        <v>0</v>
      </c>
      <c r="F76" s="7">
        <f>(1-('Game Assumptions'!$B$7*IF('Event Tracker'!F$4=1,2,1)))*'Utility Revenue'!F21</f>
        <v>0</v>
      </c>
      <c r="G76" s="7">
        <f>(1-('Game Assumptions'!$B$7*IF('Event Tracker'!G$4=1,2,1)))*'Utility Revenue'!G21</f>
        <v>0</v>
      </c>
      <c r="H76" s="7">
        <f>(1-('Game Assumptions'!$B$7*IF('Event Tracker'!H$4=1,2,1)))*'Utility Revenue'!H21</f>
        <v>0</v>
      </c>
      <c r="I76" s="7">
        <f>(1-('Game Assumptions'!$B$7*IF('Event Tracker'!I$4=1,2,1)))*'Utility Revenue'!I21</f>
        <v>0</v>
      </c>
      <c r="J76" s="7">
        <f>(1-('Game Assumptions'!$B$7*IF('Event Tracker'!J$4=1,2,1)))*'Utility Revenue'!J21</f>
        <v>0</v>
      </c>
      <c r="K76" s="7">
        <f>(1-('Game Assumptions'!$B$7*IF('Event Tracker'!K$4=1,2,1)))*'Utility Revenue'!K21</f>
        <v>0</v>
      </c>
      <c r="L76" s="7">
        <f>(1-('Game Assumptions'!$B$7*IF('Event Tracker'!L$4=1,2,1)))*'Utility Revenue'!L21</f>
        <v>0</v>
      </c>
    </row>
    <row r="77" spans="1:12" x14ac:dyDescent="0.25">
      <c r="A77" t="s">
        <v>359</v>
      </c>
      <c r="B77" s="7">
        <f>(1-('Game Assumptions'!$B$7*IF('Event Tracker'!B$4=1,2,1)))*'Utility Revenue'!B22</f>
        <v>0</v>
      </c>
      <c r="C77" s="7">
        <f>(1-('Game Assumptions'!$B$7*IF('Event Tracker'!C$4=1,2,1)))*'Utility Revenue'!C22</f>
        <v>0</v>
      </c>
      <c r="D77" s="7">
        <f>(1-('Game Assumptions'!$B$7*IF('Event Tracker'!D$4=1,2,1)))*'Utility Revenue'!D22</f>
        <v>0</v>
      </c>
      <c r="E77" s="7">
        <f>(1-('Game Assumptions'!$B$7*IF('Event Tracker'!E$4=1,2,1)))*'Utility Revenue'!E22</f>
        <v>0</v>
      </c>
      <c r="F77" s="7">
        <f>(1-('Game Assumptions'!$B$7*IF('Event Tracker'!F$4=1,2,1)))*'Utility Revenue'!F22</f>
        <v>0</v>
      </c>
      <c r="G77" s="7">
        <f>(1-('Game Assumptions'!$B$7*IF('Event Tracker'!G$4=1,2,1)))*'Utility Revenue'!G22</f>
        <v>0</v>
      </c>
      <c r="H77" s="7">
        <f>(1-('Game Assumptions'!$B$7*IF('Event Tracker'!H$4=1,2,1)))*'Utility Revenue'!H22</f>
        <v>0</v>
      </c>
      <c r="I77" s="7">
        <f>(1-('Game Assumptions'!$B$7*IF('Event Tracker'!I$4=1,2,1)))*'Utility Revenue'!I22</f>
        <v>0</v>
      </c>
      <c r="J77" s="7">
        <f>(1-('Game Assumptions'!$B$7*IF('Event Tracker'!J$4=1,2,1)))*'Utility Revenue'!J22</f>
        <v>0</v>
      </c>
      <c r="K77" s="7">
        <f>(1-('Game Assumptions'!$B$7*IF('Event Tracker'!K$4=1,2,1)))*'Utility Revenue'!K22</f>
        <v>0</v>
      </c>
      <c r="L77" s="7">
        <f>(1-('Game Assumptions'!$B$7*IF('Event Tracker'!L$4=1,2,1)))*'Utility Revenue'!L22</f>
        <v>0</v>
      </c>
    </row>
    <row r="78" spans="1:12" x14ac:dyDescent="0.25">
      <c r="A78" t="s">
        <v>360</v>
      </c>
      <c r="B78" s="7">
        <f>(1-('Game Assumptions'!$B$7*IF('Event Tracker'!B$4=1,2,1)))*'Utility Revenue'!B23</f>
        <v>0</v>
      </c>
      <c r="C78" s="7">
        <f>(1-('Game Assumptions'!$B$7*IF('Event Tracker'!C$4=1,2,1)))*'Utility Revenue'!C23</f>
        <v>0</v>
      </c>
      <c r="D78" s="7">
        <f>(1-('Game Assumptions'!$B$7*IF('Event Tracker'!D$4=1,2,1)))*'Utility Revenue'!D23</f>
        <v>0</v>
      </c>
      <c r="E78" s="7">
        <f>(1-('Game Assumptions'!$B$7*IF('Event Tracker'!E$4=1,2,1)))*'Utility Revenue'!E23</f>
        <v>0</v>
      </c>
      <c r="F78" s="7">
        <f>(1-('Game Assumptions'!$B$7*IF('Event Tracker'!F$4=1,2,1)))*'Utility Revenue'!F23</f>
        <v>0</v>
      </c>
      <c r="G78" s="7">
        <f>(1-('Game Assumptions'!$B$7*IF('Event Tracker'!G$4=1,2,1)))*'Utility Revenue'!G23</f>
        <v>0</v>
      </c>
      <c r="H78" s="7">
        <f>(1-('Game Assumptions'!$B$7*IF('Event Tracker'!H$4=1,2,1)))*'Utility Revenue'!H23</f>
        <v>0</v>
      </c>
      <c r="I78" s="7">
        <f>(1-('Game Assumptions'!$B$7*IF('Event Tracker'!I$4=1,2,1)))*'Utility Revenue'!I23</f>
        <v>0</v>
      </c>
      <c r="J78" s="7">
        <f>(1-('Game Assumptions'!$B$7*IF('Event Tracker'!J$4=1,2,1)))*'Utility Revenue'!J23</f>
        <v>0</v>
      </c>
      <c r="K78" s="7">
        <f>(1-('Game Assumptions'!$B$7*IF('Event Tracker'!K$4=1,2,1)))*'Utility Revenue'!K23</f>
        <v>0</v>
      </c>
      <c r="L78" s="7">
        <f>(1-('Game Assumptions'!$B$7*IF('Event Tracker'!L$4=1,2,1)))*'Utility Revenue'!L23</f>
        <v>0</v>
      </c>
    </row>
    <row r="79" spans="1:12" x14ac:dyDescent="0.25">
      <c r="A79" s="12" t="s">
        <v>97</v>
      </c>
      <c r="B79" s="7">
        <f>(1-('Game Assumptions'!$B$7*IF('Event Tracker'!B$4=1,2,1)))*'Utility Revenue'!B24</f>
        <v>0</v>
      </c>
      <c r="C79" s="7">
        <f>(1-('Game Assumptions'!$B$7*IF('Event Tracker'!C$4=1,2,1)))*'Utility Revenue'!C24</f>
        <v>0</v>
      </c>
      <c r="D79" s="7">
        <f>(1-('Game Assumptions'!$B$7*IF('Event Tracker'!D$4=1,2,1)))*'Utility Revenue'!D24</f>
        <v>0</v>
      </c>
      <c r="E79" s="7">
        <f>(1-('Game Assumptions'!$B$7*IF('Event Tracker'!E$4=1,2,1)))*'Utility Revenue'!E24</f>
        <v>0</v>
      </c>
      <c r="F79" s="7">
        <f>(1-('Game Assumptions'!$B$7*IF('Event Tracker'!F$4=1,2,1)))*'Utility Revenue'!F24</f>
        <v>0</v>
      </c>
      <c r="G79" s="7">
        <f>(1-('Game Assumptions'!$B$7*IF('Event Tracker'!G$4=1,2,1)))*'Utility Revenue'!G24</f>
        <v>0</v>
      </c>
      <c r="H79" s="7">
        <f>(1-('Game Assumptions'!$B$7*IF('Event Tracker'!H$4=1,2,1)))*'Utility Revenue'!H24</f>
        <v>0</v>
      </c>
      <c r="I79" s="7">
        <f>(1-('Game Assumptions'!$B$7*IF('Event Tracker'!I$4=1,2,1)))*'Utility Revenue'!I24</f>
        <v>0</v>
      </c>
      <c r="J79" s="7">
        <f>(1-('Game Assumptions'!$B$7*IF('Event Tracker'!J$4=1,2,1)))*'Utility Revenue'!J24</f>
        <v>0</v>
      </c>
      <c r="K79" s="7">
        <f>(1-('Game Assumptions'!$B$7*IF('Event Tracker'!K$4=1,2,1)))*'Utility Revenue'!K24</f>
        <v>0</v>
      </c>
      <c r="L79" s="7">
        <f>(1-('Game Assumptions'!$B$7*IF('Event Tracker'!L$4=1,2,1)))*'Utility Revenue'!L24</f>
        <v>0</v>
      </c>
    </row>
    <row r="80" spans="1:12" x14ac:dyDescent="0.25">
      <c r="A80" s="12" t="s">
        <v>98</v>
      </c>
      <c r="B80" s="7">
        <f>(1-('Game Assumptions'!$B$7*IF('Event Tracker'!B$4=1,2,1)))*'Utility Revenue'!B25</f>
        <v>0</v>
      </c>
      <c r="C80" s="7">
        <f>(1-('Game Assumptions'!$B$7*IF('Event Tracker'!C$4=1,2,1)))*'Utility Revenue'!C25</f>
        <v>0</v>
      </c>
      <c r="D80" s="7">
        <f>(1-('Game Assumptions'!$B$7*IF('Event Tracker'!D$4=1,2,1)))*'Utility Revenue'!D25</f>
        <v>0</v>
      </c>
      <c r="E80" s="7">
        <f>(1-('Game Assumptions'!$B$7*IF('Event Tracker'!E$4=1,2,1)))*'Utility Revenue'!E25</f>
        <v>0</v>
      </c>
      <c r="F80" s="7">
        <f>(1-('Game Assumptions'!$B$7*IF('Event Tracker'!F$4=1,2,1)))*'Utility Revenue'!F25</f>
        <v>0</v>
      </c>
      <c r="G80" s="7">
        <f>(1-('Game Assumptions'!$B$7*IF('Event Tracker'!G$4=1,2,1)))*'Utility Revenue'!G25</f>
        <v>0</v>
      </c>
      <c r="H80" s="7">
        <f>(1-('Game Assumptions'!$B$7*IF('Event Tracker'!H$4=1,2,1)))*'Utility Revenue'!H25</f>
        <v>0</v>
      </c>
      <c r="I80" s="7">
        <f>(1-('Game Assumptions'!$B$7*IF('Event Tracker'!I$4=1,2,1)))*'Utility Revenue'!I25</f>
        <v>0</v>
      </c>
      <c r="J80" s="7">
        <f>(1-('Game Assumptions'!$B$7*IF('Event Tracker'!J$4=1,2,1)))*'Utility Revenue'!J25</f>
        <v>0</v>
      </c>
      <c r="K80" s="7">
        <f>(1-('Game Assumptions'!$B$7*IF('Event Tracker'!K$4=1,2,1)))*'Utility Revenue'!K25</f>
        <v>0</v>
      </c>
      <c r="L80" s="7">
        <f>(1-('Game Assumptions'!$B$7*IF('Event Tracker'!L$4=1,2,1)))*'Utility Revenue'!L25</f>
        <v>0</v>
      </c>
    </row>
    <row r="81" spans="1:12" x14ac:dyDescent="0.25">
      <c r="A81" s="22" t="s">
        <v>99</v>
      </c>
      <c r="B81" s="23">
        <f>(1-('Game Assumptions'!$B$7*IF('Event Tracker'!B$4=1,2,1)))*'Utility Revenue'!B26</f>
        <v>0</v>
      </c>
      <c r="C81" s="23">
        <f>(1-('Game Assumptions'!$B$7*IF('Event Tracker'!C$4=1,2,1)))*'Utility Revenue'!C26</f>
        <v>0</v>
      </c>
      <c r="D81" s="23">
        <f>(1-('Game Assumptions'!$B$7*IF('Event Tracker'!D$4=1,2,1)))*'Utility Revenue'!D26</f>
        <v>0</v>
      </c>
      <c r="E81" s="23">
        <f>(1-('Game Assumptions'!$B$7*IF('Event Tracker'!E$4=1,2,1)))*'Utility Revenue'!E26</f>
        <v>0</v>
      </c>
      <c r="F81" s="23">
        <f>(1-('Game Assumptions'!$B$7*IF('Event Tracker'!F$4=1,2,1)))*'Utility Revenue'!F26</f>
        <v>0</v>
      </c>
      <c r="G81" s="23">
        <f>(1-('Game Assumptions'!$B$7*IF('Event Tracker'!G$4=1,2,1)))*'Utility Revenue'!G26</f>
        <v>0</v>
      </c>
      <c r="H81" s="23">
        <f>(1-('Game Assumptions'!$B$7*IF('Event Tracker'!H$4=1,2,1)))*'Utility Revenue'!H26</f>
        <v>0</v>
      </c>
      <c r="I81" s="23">
        <f>(1-('Game Assumptions'!$B$7*IF('Event Tracker'!I$4=1,2,1)))*'Utility Revenue'!I26</f>
        <v>0</v>
      </c>
      <c r="J81" s="23">
        <f>(1-('Game Assumptions'!$B$7*IF('Event Tracker'!J$4=1,2,1)))*'Utility Revenue'!J26</f>
        <v>0</v>
      </c>
      <c r="K81" s="23">
        <f>(1-('Game Assumptions'!$B$7*IF('Event Tracker'!K$4=1,2,1)))*'Utility Revenue'!K26</f>
        <v>0</v>
      </c>
      <c r="L81" s="23">
        <f>(1-('Game Assumptions'!$B$7*IF('Event Tracker'!L$4=1,2,1)))*'Utility Revenue'!L26</f>
        <v>0</v>
      </c>
    </row>
    <row r="82" spans="1:12" x14ac:dyDescent="0.25">
      <c r="A82" s="24" t="s">
        <v>111</v>
      </c>
      <c r="B82" s="31"/>
      <c r="C82" s="31"/>
      <c r="D82" s="31"/>
      <c r="E82" s="31"/>
      <c r="F82" s="31"/>
      <c r="G82" s="31"/>
      <c r="H82" s="31"/>
      <c r="I82" s="31"/>
      <c r="J82" s="31"/>
      <c r="K82" s="31"/>
      <c r="L82" s="31"/>
    </row>
    <row r="83" spans="1:12" x14ac:dyDescent="0.25">
      <c r="A83" s="4" t="s">
        <v>109</v>
      </c>
    </row>
    <row r="84" spans="1:12" x14ac:dyDescent="0.25">
      <c r="A84" t="s">
        <v>85</v>
      </c>
      <c r="B84" s="7">
        <f t="shared" ref="B84:L84" si="3">B29</f>
        <v>96053400</v>
      </c>
      <c r="C84" s="7">
        <f t="shared" si="3"/>
        <v>86697000</v>
      </c>
      <c r="D84" s="7">
        <f t="shared" si="3"/>
        <v>86697000</v>
      </c>
      <c r="E84" s="7">
        <f t="shared" si="3"/>
        <v>40057000</v>
      </c>
      <c r="F84" s="7">
        <f t="shared" si="3"/>
        <v>40057000</v>
      </c>
      <c r="G84" s="7">
        <f t="shared" si="3"/>
        <v>36938200</v>
      </c>
      <c r="H84" s="7">
        <f t="shared" si="3"/>
        <v>36938200</v>
      </c>
      <c r="I84" s="7">
        <f t="shared" si="3"/>
        <v>36938200</v>
      </c>
      <c r="J84" s="7">
        <f t="shared" si="3"/>
        <v>36938200</v>
      </c>
      <c r="K84" s="7">
        <f t="shared" si="3"/>
        <v>36938200</v>
      </c>
      <c r="L84" s="7">
        <f t="shared" si="3"/>
        <v>36938200</v>
      </c>
    </row>
    <row r="85" spans="1:12" x14ac:dyDescent="0.25">
      <c r="A85" t="s">
        <v>86</v>
      </c>
      <c r="B85" s="7">
        <f t="shared" ref="B85:L85" si="4">B30</f>
        <v>23448915</v>
      </c>
      <c r="C85" s="7">
        <f t="shared" si="4"/>
        <v>22361736.359999999</v>
      </c>
      <c r="D85" s="7">
        <f t="shared" si="4"/>
        <v>21754607.369999997</v>
      </c>
      <c r="E85" s="7">
        <f t="shared" si="4"/>
        <v>36159747</v>
      </c>
      <c r="F85" s="7">
        <f t="shared" si="4"/>
        <v>34513511.370000005</v>
      </c>
      <c r="G85" s="7">
        <f t="shared" si="4"/>
        <v>33810315</v>
      </c>
      <c r="H85" s="7">
        <f t="shared" si="4"/>
        <v>33810315</v>
      </c>
      <c r="I85" s="7">
        <f t="shared" si="4"/>
        <v>31900344.600000001</v>
      </c>
      <c r="J85" s="7">
        <f t="shared" si="4"/>
        <v>32848984.890000001</v>
      </c>
      <c r="K85" s="7">
        <f t="shared" si="4"/>
        <v>30072035.91</v>
      </c>
      <c r="L85" s="7">
        <f t="shared" si="4"/>
        <v>29757256.77</v>
      </c>
    </row>
    <row r="86" spans="1:12" x14ac:dyDescent="0.25">
      <c r="A86" s="12" t="s">
        <v>87</v>
      </c>
      <c r="B86" s="7">
        <f t="shared" ref="B86:L86" si="5">B31</f>
        <v>104381820</v>
      </c>
      <c r="C86" s="7">
        <f t="shared" si="5"/>
        <v>96688902.384000003</v>
      </c>
      <c r="D86" s="7">
        <f t="shared" si="5"/>
        <v>93068049.815999985</v>
      </c>
      <c r="E86" s="7">
        <f t="shared" si="5"/>
        <v>161397087</v>
      </c>
      <c r="F86" s="7">
        <f t="shared" si="5"/>
        <v>153927625.07999998</v>
      </c>
      <c r="G86" s="7">
        <f t="shared" si="5"/>
        <v>152566569</v>
      </c>
      <c r="H86" s="7">
        <f t="shared" si="5"/>
        <v>163466637</v>
      </c>
      <c r="I86" s="7">
        <f t="shared" si="5"/>
        <v>163807996.83999997</v>
      </c>
      <c r="J86" s="7">
        <f t="shared" si="5"/>
        <v>175645364.25999999</v>
      </c>
      <c r="K86" s="7">
        <f t="shared" si="5"/>
        <v>163043040.07999998</v>
      </c>
      <c r="L86" s="7">
        <f t="shared" si="5"/>
        <v>165005223.68399999</v>
      </c>
    </row>
    <row r="87" spans="1:12" x14ac:dyDescent="0.25">
      <c r="A87" s="102" t="s">
        <v>312</v>
      </c>
      <c r="B87" s="7">
        <f>B32</f>
        <v>0</v>
      </c>
      <c r="C87" s="7">
        <f t="shared" ref="C87:L87" si="6">C32</f>
        <v>0</v>
      </c>
      <c r="D87" s="7">
        <f t="shared" si="6"/>
        <v>0</v>
      </c>
      <c r="E87" s="7">
        <f t="shared" si="6"/>
        <v>0</v>
      </c>
      <c r="F87" s="7">
        <f t="shared" si="6"/>
        <v>0</v>
      </c>
      <c r="G87" s="7">
        <f t="shared" si="6"/>
        <v>0</v>
      </c>
      <c r="H87" s="7">
        <f t="shared" si="6"/>
        <v>0</v>
      </c>
      <c r="I87" s="7">
        <f t="shared" si="6"/>
        <v>0</v>
      </c>
      <c r="J87" s="7">
        <f t="shared" si="6"/>
        <v>0</v>
      </c>
      <c r="K87" s="7">
        <f t="shared" si="6"/>
        <v>0</v>
      </c>
      <c r="L87" s="7">
        <f t="shared" si="6"/>
        <v>0</v>
      </c>
    </row>
    <row r="88" spans="1:12" ht="15.75" thickBot="1" x14ac:dyDescent="0.3">
      <c r="A88" s="76" t="s">
        <v>254</v>
      </c>
      <c r="B88" s="36"/>
      <c r="C88" s="36"/>
      <c r="D88" s="36"/>
      <c r="E88" s="36"/>
      <c r="F88" s="36"/>
      <c r="G88" s="36"/>
      <c r="H88" s="36"/>
      <c r="I88" s="36"/>
      <c r="J88" s="36"/>
      <c r="K88" s="36"/>
      <c r="L88" s="36"/>
    </row>
    <row r="89" spans="1:12" ht="15.75" thickTop="1" x14ac:dyDescent="0.25">
      <c r="A89" s="71" t="s">
        <v>255</v>
      </c>
      <c r="B89" s="27">
        <f t="shared" ref="B89:L89" si="7">B34</f>
        <v>29791461.006910168</v>
      </c>
      <c r="C89" s="27">
        <f t="shared" si="7"/>
        <v>29791461.006910168</v>
      </c>
      <c r="D89" s="27">
        <f t="shared" si="7"/>
        <v>29791461.006910168</v>
      </c>
      <c r="E89" s="27">
        <f t="shared" si="7"/>
        <v>29791461.006910168</v>
      </c>
      <c r="F89" s="27">
        <f t="shared" si="7"/>
        <v>29791461.006910168</v>
      </c>
      <c r="G89" s="27">
        <f t="shared" si="7"/>
        <v>29791461.006910168</v>
      </c>
      <c r="H89" s="27">
        <f t="shared" si="7"/>
        <v>29791461.006910168</v>
      </c>
      <c r="I89" s="27">
        <f t="shared" si="7"/>
        <v>29791461.006910168</v>
      </c>
      <c r="J89" s="27">
        <f t="shared" si="7"/>
        <v>29791461.006910168</v>
      </c>
      <c r="K89" s="27">
        <f t="shared" si="7"/>
        <v>29791461.006910168</v>
      </c>
      <c r="L89" s="27">
        <f t="shared" si="7"/>
        <v>29791461.006910168</v>
      </c>
    </row>
    <row r="90" spans="1:12" x14ac:dyDescent="0.25">
      <c r="A90" s="73" t="s">
        <v>257</v>
      </c>
      <c r="B90" s="27">
        <f t="shared" ref="B90:L90" si="8">B35</f>
        <v>424000</v>
      </c>
      <c r="C90" s="27">
        <f t="shared" si="8"/>
        <v>424000</v>
      </c>
      <c r="D90" s="27">
        <f t="shared" si="8"/>
        <v>424000</v>
      </c>
      <c r="E90" s="27">
        <f t="shared" si="8"/>
        <v>424000</v>
      </c>
      <c r="F90" s="27">
        <f t="shared" si="8"/>
        <v>424000</v>
      </c>
      <c r="G90" s="27">
        <f t="shared" si="8"/>
        <v>424000</v>
      </c>
      <c r="H90" s="27">
        <f t="shared" si="8"/>
        <v>424000</v>
      </c>
      <c r="I90" s="27">
        <f t="shared" si="8"/>
        <v>424000</v>
      </c>
      <c r="J90" s="27">
        <f t="shared" si="8"/>
        <v>424000</v>
      </c>
      <c r="K90" s="27">
        <f t="shared" si="8"/>
        <v>424000</v>
      </c>
      <c r="L90" s="27">
        <f t="shared" si="8"/>
        <v>424000</v>
      </c>
    </row>
    <row r="91" spans="1:12" x14ac:dyDescent="0.25">
      <c r="A91" s="34" t="s">
        <v>119</v>
      </c>
      <c r="B91" s="41">
        <f>SUM(B86,B85,B84,B87,B68:B81,B64:B66,B89:B90)</f>
        <v>479099596.00691015</v>
      </c>
      <c r="C91" s="41">
        <f t="shared" ref="C91:L91" si="9">SUM(C86,C85,C84,C87,C68:C81,C64:C66,C89:C90)</f>
        <v>449713099.75091016</v>
      </c>
      <c r="D91" s="41">
        <f t="shared" si="9"/>
        <v>434235118.19291013</v>
      </c>
      <c r="E91" s="41">
        <f t="shared" si="9"/>
        <v>459079295.00691015</v>
      </c>
      <c r="F91" s="41">
        <f t="shared" si="9"/>
        <v>438713597.45691013</v>
      </c>
      <c r="G91" s="41">
        <f t="shared" si="9"/>
        <v>422280545.00691015</v>
      </c>
      <c r="H91" s="41">
        <f t="shared" si="9"/>
        <v>421930613.00691015</v>
      </c>
      <c r="I91" s="41">
        <f t="shared" si="9"/>
        <v>409112002.44691014</v>
      </c>
      <c r="J91" s="41">
        <f t="shared" si="9"/>
        <v>410648010.15691012</v>
      </c>
      <c r="K91" s="41">
        <f t="shared" si="9"/>
        <v>384018736.99691015</v>
      </c>
      <c r="L91" s="41">
        <f t="shared" si="9"/>
        <v>374416141.46091014</v>
      </c>
    </row>
    <row r="92" spans="1:12" ht="15.75" thickBot="1" x14ac:dyDescent="0.3">
      <c r="A92" s="40" t="s">
        <v>118</v>
      </c>
      <c r="B92" s="38">
        <f>'Resource Mix and Demand'!B57</f>
        <v>8000000</v>
      </c>
      <c r="C92" s="38">
        <f>'Resource Mix and Demand'!C57</f>
        <v>7800000</v>
      </c>
      <c r="D92" s="38">
        <f>'Resource Mix and Demand'!D57</f>
        <v>7700000</v>
      </c>
      <c r="E92" s="38">
        <f>'Resource Mix and Demand'!E57</f>
        <v>7500000</v>
      </c>
      <c r="F92" s="38">
        <f>'Resource Mix and Demand'!F57</f>
        <v>7300000</v>
      </c>
      <c r="G92" s="38">
        <f>'Resource Mix and Demand'!G57</f>
        <v>7400000</v>
      </c>
      <c r="H92" s="38">
        <f>'Resource Mix and Demand'!H57</f>
        <v>7200000</v>
      </c>
      <c r="I92" s="38">
        <f>'Resource Mix and Demand'!I57</f>
        <v>7000000</v>
      </c>
      <c r="J92" s="38">
        <f>'Resource Mix and Demand'!J57</f>
        <v>7200000</v>
      </c>
      <c r="K92" s="38">
        <f>'Resource Mix and Demand'!K57</f>
        <v>7100000</v>
      </c>
      <c r="L92" s="38">
        <f>'Resource Mix and Demand'!L57</f>
        <v>7000000</v>
      </c>
    </row>
    <row r="93" spans="1:12" ht="16.5" thickTop="1" thickBot="1" x14ac:dyDescent="0.3">
      <c r="A93" s="71" t="s">
        <v>252</v>
      </c>
      <c r="B93" s="74">
        <f>IF('Event Tracker'!B3=1,'Utility Revenue'!B98-'Utility Revenue'!B92,0)</f>
        <v>0</v>
      </c>
      <c r="C93" s="74">
        <f>IF('Event Tracker'!C3=1,'Utility Revenue'!C98-'Utility Revenue'!C92,0)</f>
        <v>0</v>
      </c>
      <c r="D93" s="74">
        <f>IF('Event Tracker'!D3=1,'Utility Revenue'!D98-'Utility Revenue'!D92,0)</f>
        <v>0</v>
      </c>
      <c r="E93" s="74">
        <f>IF('Event Tracker'!E3=1,'Utility Revenue'!E98-'Utility Revenue'!E92,0)</f>
        <v>0</v>
      </c>
      <c r="F93" s="74">
        <f>IF('Event Tracker'!F3=1,'Utility Revenue'!F98-'Utility Revenue'!F92,0)</f>
        <v>0</v>
      </c>
      <c r="G93" s="74">
        <f>IF('Event Tracker'!G3=1,'Utility Revenue'!G98-'Utility Revenue'!G92,0)</f>
        <v>0</v>
      </c>
      <c r="H93" s="74">
        <f>IF('Event Tracker'!H3=1,'Utility Revenue'!H98-'Utility Revenue'!H92,0)</f>
        <v>0</v>
      </c>
      <c r="I93" s="74">
        <f>IF('Event Tracker'!I3=1,'Utility Revenue'!I98-'Utility Revenue'!I92,0)</f>
        <v>0</v>
      </c>
      <c r="J93" s="74">
        <f>IF('Event Tracker'!J3=1,'Utility Revenue'!J98-'Utility Revenue'!J92,0)</f>
        <v>0</v>
      </c>
      <c r="K93" s="74">
        <f>IF('Event Tracker'!K3=1,'Utility Revenue'!K98-'Utility Revenue'!K92,0)</f>
        <v>0</v>
      </c>
      <c r="L93" s="74">
        <f>IF('Event Tracker'!L3=1,'Utility Revenue'!L98-'Utility Revenue'!L92,0)</f>
        <v>0</v>
      </c>
    </row>
    <row r="94" spans="1:12" ht="15.75" thickTop="1" x14ac:dyDescent="0.25">
      <c r="A94" s="39" t="s">
        <v>116</v>
      </c>
      <c r="B94" s="77">
        <f>B91/(SUM(B92:B93)*1000)</f>
        <v>5.9887449500863769E-2</v>
      </c>
      <c r="C94" s="77">
        <f t="shared" ref="C94:L94" si="10">C91/(SUM(C92:C93)*1000)</f>
        <v>5.7655525609091048E-2</v>
      </c>
      <c r="D94" s="77">
        <f t="shared" si="10"/>
        <v>5.6394171193884436E-2</v>
      </c>
      <c r="E94" s="77">
        <f t="shared" si="10"/>
        <v>6.1210572667588017E-2</v>
      </c>
      <c r="F94" s="77">
        <f t="shared" si="10"/>
        <v>6.0097753076289062E-2</v>
      </c>
      <c r="G94" s="77">
        <f t="shared" si="10"/>
        <v>5.7064938514447314E-2</v>
      </c>
      <c r="H94" s="77">
        <f t="shared" si="10"/>
        <v>5.860147402873752E-2</v>
      </c>
      <c r="I94" s="77">
        <f t="shared" si="10"/>
        <v>5.8444571778130019E-2</v>
      </c>
      <c r="J94" s="77">
        <f t="shared" si="10"/>
        <v>5.7034445855126403E-2</v>
      </c>
      <c r="K94" s="77">
        <f t="shared" si="10"/>
        <v>5.4087146055902841E-2</v>
      </c>
      <c r="L94" s="77">
        <f t="shared" si="10"/>
        <v>5.3488020208701449E-2</v>
      </c>
    </row>
    <row r="95" spans="1:12" x14ac:dyDescent="0.25">
      <c r="A95" s="72"/>
      <c r="B95" s="49"/>
    </row>
    <row r="97" spans="1:12" x14ac:dyDescent="0.25">
      <c r="A97" s="9" t="s">
        <v>108</v>
      </c>
      <c r="B97" s="9">
        <v>0</v>
      </c>
      <c r="C97" s="9">
        <v>1</v>
      </c>
      <c r="D97" s="9">
        <v>2</v>
      </c>
      <c r="E97" s="9">
        <v>3</v>
      </c>
      <c r="F97" s="9">
        <v>4</v>
      </c>
      <c r="G97" s="9">
        <v>5</v>
      </c>
      <c r="H97" s="9">
        <v>6</v>
      </c>
      <c r="I97" s="9">
        <v>7</v>
      </c>
      <c r="J97" s="9">
        <v>8</v>
      </c>
      <c r="K97" s="9">
        <v>9</v>
      </c>
      <c r="L97" s="9">
        <v>10</v>
      </c>
    </row>
    <row r="98" spans="1:12" x14ac:dyDescent="0.25">
      <c r="A98" s="45" t="s">
        <v>126</v>
      </c>
      <c r="B98" s="75">
        <f>'Resource Mix and Demand'!B59</f>
        <v>8000000</v>
      </c>
      <c r="C98" s="75">
        <f>'Resource Mix and Demand'!C59</f>
        <v>7747582</v>
      </c>
      <c r="D98" s="75">
        <f>'Resource Mix and Demand'!D59</f>
        <v>7730469</v>
      </c>
      <c r="E98" s="75">
        <f>'Resource Mix and Demand'!E59</f>
        <v>7475115</v>
      </c>
      <c r="F98" s="75">
        <f>'Resource Mix and Demand'!F59</f>
        <v>7167039</v>
      </c>
      <c r="G98" s="75">
        <f>'Resource Mix and Demand'!G59</f>
        <v>7402949</v>
      </c>
      <c r="H98" s="75">
        <f>'Resource Mix and Demand'!H59</f>
        <v>7275788</v>
      </c>
      <c r="I98" s="75">
        <f>'Resource Mix and Demand'!I59</f>
        <v>6956440</v>
      </c>
      <c r="J98" s="75">
        <f>'Resource Mix and Demand'!J59</f>
        <v>7239683</v>
      </c>
      <c r="K98" s="75">
        <f>'Resource Mix and Demand'!K59</f>
        <v>6971947</v>
      </c>
      <c r="L98" s="75">
        <f>'Resource Mix and Demand'!L59</f>
        <v>7086529</v>
      </c>
    </row>
    <row r="99" spans="1:12" x14ac:dyDescent="0.25">
      <c r="A99" s="12" t="s">
        <v>264</v>
      </c>
      <c r="B99" s="33">
        <f>'Game Assumptions'!B80</f>
        <v>8000000</v>
      </c>
      <c r="C99" s="33">
        <f>'Game Assumptions'!C80</f>
        <v>8000000</v>
      </c>
      <c r="D99" s="33">
        <f>'Game Assumptions'!D80</f>
        <v>8000000</v>
      </c>
      <c r="E99" s="33">
        <f>'Game Assumptions'!E80</f>
        <v>8000000</v>
      </c>
      <c r="F99" s="33">
        <f>'Game Assumptions'!F80</f>
        <v>8000000</v>
      </c>
      <c r="G99" s="33">
        <f>'Game Assumptions'!G80</f>
        <v>8000000</v>
      </c>
      <c r="H99" s="33">
        <f>'Game Assumptions'!H80</f>
        <v>8000000</v>
      </c>
      <c r="I99" s="33">
        <f>'Game Assumptions'!I80</f>
        <v>8000000</v>
      </c>
      <c r="J99" s="33">
        <f>'Game Assumptions'!J80</f>
        <v>8000000</v>
      </c>
      <c r="K99" s="33">
        <f>'Game Assumptions'!K80</f>
        <v>8000000</v>
      </c>
      <c r="L99" s="33">
        <f>'Game Assumptions'!L80</f>
        <v>8000000</v>
      </c>
    </row>
    <row r="100" spans="1:12" x14ac:dyDescent="0.25">
      <c r="A100" t="s">
        <v>131</v>
      </c>
      <c r="B100" s="25">
        <f>B98*B94*1000</f>
        <v>479099596.00691015</v>
      </c>
      <c r="C100" s="25">
        <f t="shared" ref="C100:L100" si="11">C98*C94*1000</f>
        <v>446690912.40953279</v>
      </c>
      <c r="D100" s="25">
        <f t="shared" si="11"/>
        <v>435953392.19501662</v>
      </c>
      <c r="E100" s="25">
        <f t="shared" si="11"/>
        <v>457556069.90607721</v>
      </c>
      <c r="F100" s="25">
        <f t="shared" si="11"/>
        <v>430722940.11013365</v>
      </c>
      <c r="G100" s="25">
        <f t="shared" si="11"/>
        <v>422448829.51058924</v>
      </c>
      <c r="H100" s="25">
        <f t="shared" si="11"/>
        <v>426371901.52060008</v>
      </c>
      <c r="I100" s="25">
        <f t="shared" si="11"/>
        <v>406566156.90025479</v>
      </c>
      <c r="J100" s="25">
        <f t="shared" si="11"/>
        <v>412911308.07177907</v>
      </c>
      <c r="K100" s="25">
        <f t="shared" si="11"/>
        <v>377092715.68301368</v>
      </c>
      <c r="L100" s="25">
        <f t="shared" si="11"/>
        <v>379044406.36154884</v>
      </c>
    </row>
    <row r="101" spans="1:12" x14ac:dyDescent="0.25">
      <c r="A101" t="s">
        <v>132</v>
      </c>
      <c r="B101" s="7">
        <f t="shared" ref="B101:L101" si="12">B59*B99</f>
        <v>75000000</v>
      </c>
      <c r="C101" s="7">
        <f t="shared" si="12"/>
        <v>71250000</v>
      </c>
      <c r="D101" s="7">
        <f t="shared" si="12"/>
        <v>67500000</v>
      </c>
      <c r="E101" s="7">
        <f t="shared" si="12"/>
        <v>63750000</v>
      </c>
      <c r="F101" s="7">
        <f t="shared" si="12"/>
        <v>60000000</v>
      </c>
      <c r="G101" s="7">
        <f t="shared" si="12"/>
        <v>56250000.000000015</v>
      </c>
      <c r="H101" s="7">
        <f t="shared" si="12"/>
        <v>52500000</v>
      </c>
      <c r="I101" s="7">
        <f t="shared" si="12"/>
        <v>48750000.000000007</v>
      </c>
      <c r="J101" s="7">
        <f t="shared" si="12"/>
        <v>44999999.999999993</v>
      </c>
      <c r="K101" s="7">
        <f t="shared" si="12"/>
        <v>41250000</v>
      </c>
      <c r="L101" s="7">
        <f t="shared" si="12"/>
        <v>37500000</v>
      </c>
    </row>
    <row r="102" spans="1:12" x14ac:dyDescent="0.25">
      <c r="A102" t="s">
        <v>133</v>
      </c>
      <c r="B102" s="15">
        <v>0</v>
      </c>
      <c r="C102" s="15">
        <v>0</v>
      </c>
      <c r="D102" s="15">
        <v>0</v>
      </c>
      <c r="E102" s="15">
        <v>0</v>
      </c>
      <c r="F102" s="15">
        <v>0</v>
      </c>
      <c r="G102" s="15">
        <v>0</v>
      </c>
      <c r="H102" s="15">
        <v>0</v>
      </c>
      <c r="I102" s="15">
        <v>0</v>
      </c>
      <c r="J102" s="15">
        <v>0</v>
      </c>
      <c r="K102" s="15">
        <v>0</v>
      </c>
      <c r="L102" s="15">
        <v>0</v>
      </c>
    </row>
    <row r="103" spans="1:12" x14ac:dyDescent="0.25">
      <c r="A103" s="4" t="s">
        <v>250</v>
      </c>
      <c r="B103" s="15"/>
      <c r="C103" s="15"/>
      <c r="D103" s="15"/>
      <c r="E103" s="15"/>
      <c r="F103" s="15"/>
      <c r="G103" s="15"/>
      <c r="H103" s="15"/>
      <c r="I103" s="15"/>
      <c r="J103" s="15"/>
      <c r="K103" s="15"/>
      <c r="L103" s="15"/>
    </row>
    <row r="104" spans="1:12" x14ac:dyDescent="0.25">
      <c r="A104" t="s">
        <v>251</v>
      </c>
      <c r="B104" s="7">
        <f>Dispatch!B167*-1</f>
        <v>0</v>
      </c>
      <c r="C104" s="7">
        <f>Dispatch!C167*-1</f>
        <v>0</v>
      </c>
      <c r="D104" s="7">
        <f>Dispatch!D167*-1</f>
        <v>0</v>
      </c>
      <c r="E104" s="7">
        <f>Dispatch!E167*-1</f>
        <v>0</v>
      </c>
      <c r="F104" s="7">
        <f>Dispatch!F167*-1</f>
        <v>0</v>
      </c>
      <c r="G104" s="7">
        <f>Dispatch!G167*-1</f>
        <v>0</v>
      </c>
      <c r="H104" s="7">
        <f>Dispatch!H167*-1</f>
        <v>0</v>
      </c>
      <c r="I104" s="7">
        <f>Dispatch!I167*-1</f>
        <v>0</v>
      </c>
      <c r="J104" s="7">
        <f>Dispatch!J167*-1</f>
        <v>0</v>
      </c>
      <c r="K104" s="7">
        <f>Dispatch!K167*-1</f>
        <v>0</v>
      </c>
      <c r="L104" s="7">
        <f>Dispatch!L167*-1</f>
        <v>0</v>
      </c>
    </row>
    <row r="105" spans="1:12" ht="15.75" thickBot="1" x14ac:dyDescent="0.3">
      <c r="A105" s="36" t="s">
        <v>273</v>
      </c>
      <c r="B105" s="36"/>
      <c r="C105" s="36"/>
      <c r="D105" s="36"/>
      <c r="E105" s="36"/>
      <c r="F105" s="36"/>
      <c r="G105" s="36"/>
      <c r="H105" s="36"/>
      <c r="I105" s="36"/>
      <c r="J105" s="36"/>
      <c r="K105" s="36"/>
      <c r="L105" s="36"/>
    </row>
    <row r="106" spans="1:12" ht="15.75" thickTop="1" x14ac:dyDescent="0.25">
      <c r="A106" s="26" t="s">
        <v>268</v>
      </c>
      <c r="B106" s="84">
        <v>0</v>
      </c>
      <c r="C106" s="84">
        <f>IF(('Environmental Performance'!B2-'Environmental Performance'!C2 )/'Environmental Performance'!B2&gt;0,('Environmental Performance'!B2-'Environmental Performance'!C2 )/'Environmental Performance'!B2*0.95*'Event Tracker'!C6*'Game Assumptions'!$B$11,0)</f>
        <v>0</v>
      </c>
      <c r="D106" s="84">
        <f>IF(('Environmental Performance'!C2-'Environmental Performance'!D2 )/'Environmental Performance'!C2&gt;0,('Environmental Performance'!C2-'Environmental Performance'!D2 )/'Environmental Performance'!C2*0.95*'Event Tracker'!D6*'Game Assumptions'!$B$11,0)</f>
        <v>0</v>
      </c>
      <c r="E106" s="84">
        <f>IF(('Environmental Performance'!D2-'Environmental Performance'!E2 )/'Environmental Performance'!D2&gt;0,('Environmental Performance'!D2-'Environmental Performance'!E2 )/'Environmental Performance'!D2*0.95*'Event Tracker'!E6*'Game Assumptions'!$B$11,0)</f>
        <v>0</v>
      </c>
      <c r="F106" s="84">
        <f>IF(('Environmental Performance'!E2-'Environmental Performance'!F2 )/'Environmental Performance'!E2&gt;0,('Environmental Performance'!E2-'Environmental Performance'!F2 )/'Environmental Performance'!E2*0.95*'Event Tracker'!F6*'Game Assumptions'!$B$11,0)</f>
        <v>0</v>
      </c>
      <c r="G106" s="84">
        <f>IF(('Environmental Performance'!F2-'Environmental Performance'!G2 )/'Environmental Performance'!F2&gt;0,('Environmental Performance'!F2-'Environmental Performance'!G2 )/'Environmental Performance'!F2*0.95*'Event Tracker'!G6*'Game Assumptions'!$B$11,0)</f>
        <v>0</v>
      </c>
      <c r="H106" s="84">
        <f>IF(('Environmental Performance'!G2-'Environmental Performance'!H2 )/'Environmental Performance'!G2&gt;0,('Environmental Performance'!G2-'Environmental Performance'!H2 )/'Environmental Performance'!G2*0.95*'Event Tracker'!H6*'Game Assumptions'!$B$11,0)</f>
        <v>0</v>
      </c>
      <c r="I106" s="84">
        <f>IF(('Environmental Performance'!H2-'Environmental Performance'!I2 )/'Environmental Performance'!H2&gt;0,('Environmental Performance'!H2-'Environmental Performance'!I2 )/'Environmental Performance'!H2*0.95*'Event Tracker'!I6*'Game Assumptions'!$B$11,0)</f>
        <v>0</v>
      </c>
      <c r="J106" s="84">
        <f>IF(('Environmental Performance'!I2-'Environmental Performance'!J2 )/'Environmental Performance'!I2&gt;0,('Environmental Performance'!I2-'Environmental Performance'!J2 )/'Environmental Performance'!I2*0.95*'Event Tracker'!J6*'Game Assumptions'!$B$11,0)</f>
        <v>0</v>
      </c>
      <c r="K106" s="84">
        <f>IF(('Environmental Performance'!J2-'Environmental Performance'!K2 )/'Environmental Performance'!J2&gt;0,('Environmental Performance'!J2-'Environmental Performance'!K2 )/'Environmental Performance'!J2*0.95*'Event Tracker'!K6*'Game Assumptions'!$B$11,0)</f>
        <v>0</v>
      </c>
      <c r="L106" s="84">
        <f>IF(('Environmental Performance'!K2-'Environmental Performance'!L2 )/'Environmental Performance'!K2&gt;0,('Environmental Performance'!K2-'Environmental Performance'!L2 )/'Environmental Performance'!K2*0.95*'Event Tracker'!L6*'Game Assumptions'!$B$11,0)</f>
        <v>0</v>
      </c>
    </row>
    <row r="107" spans="1:12" x14ac:dyDescent="0.25">
      <c r="A107" s="26" t="s">
        <v>269</v>
      </c>
      <c r="B107" s="84">
        <v>0</v>
      </c>
      <c r="C107" s="84">
        <f>IF('Customer Bills'!C12&gt;'Customer Bills'!B12,0,(('Customer Bills'!B12-'Customer Bills'!C12)/'Customer Bills'!B12)/(('Customer Bills'!B12-'Customer Bills'!B12*0.75)/'Customer Bills'!B12)*'Game Assumptions'!$B$12)*'Event Tracker'!C6</f>
        <v>0</v>
      </c>
      <c r="D107" s="84">
        <f>IF('Customer Bills'!D12&gt;'Customer Bills'!C12,0,(('Customer Bills'!C12-'Customer Bills'!D12)/'Customer Bills'!C12)/(('Customer Bills'!C12-'Customer Bills'!C12*0.75)/'Customer Bills'!C12)*'Game Assumptions'!$B$12)*'Event Tracker'!D6</f>
        <v>0</v>
      </c>
      <c r="E107" s="84">
        <f>IF('Customer Bills'!E12&gt;'Customer Bills'!D12,0,(('Customer Bills'!D12-'Customer Bills'!E12)/'Customer Bills'!D12)/(('Customer Bills'!D12-'Customer Bills'!D12*0.75)/'Customer Bills'!D12)*'Game Assumptions'!$B$12)*'Event Tracker'!E6</f>
        <v>0</v>
      </c>
      <c r="F107" s="84">
        <f>IF('Customer Bills'!F12&gt;'Customer Bills'!E12,0,(('Customer Bills'!E12-'Customer Bills'!F12)/'Customer Bills'!E12)/(('Customer Bills'!E12-'Customer Bills'!E12*0.75)/'Customer Bills'!E12)*'Game Assumptions'!$B$12)*'Event Tracker'!F6</f>
        <v>0</v>
      </c>
      <c r="G107" s="84">
        <f>IF('Customer Bills'!G12&gt;'Customer Bills'!F12,0,(('Customer Bills'!F12-'Customer Bills'!G12)/'Customer Bills'!F12)/(('Customer Bills'!F12-'Customer Bills'!F12*0.75)/'Customer Bills'!F12)*'Game Assumptions'!$B$12)*'Event Tracker'!G6</f>
        <v>0</v>
      </c>
      <c r="H107" s="84">
        <f>IF('Customer Bills'!H12&gt;'Customer Bills'!G12,0,(('Customer Bills'!G12-'Customer Bills'!H12)/'Customer Bills'!G12)/(('Customer Bills'!G12-'Customer Bills'!G12*0.75)/'Customer Bills'!G12)*'Game Assumptions'!$B$12)*'Event Tracker'!H6</f>
        <v>0</v>
      </c>
      <c r="I107" s="84">
        <f>IF('Customer Bills'!I12&gt;'Customer Bills'!H12,0,(('Customer Bills'!H12-'Customer Bills'!I12)/'Customer Bills'!H12)/(('Customer Bills'!H12-'Customer Bills'!H12*0.75)/'Customer Bills'!H12)*'Game Assumptions'!$B$12)*'Event Tracker'!I6</f>
        <v>0</v>
      </c>
      <c r="J107" s="84">
        <f>IF('Customer Bills'!J12&gt;'Customer Bills'!I12,0,(('Customer Bills'!I12-'Customer Bills'!J12)/'Customer Bills'!I12)/(('Customer Bills'!I12-'Customer Bills'!I12*0.75)/'Customer Bills'!I12)*'Game Assumptions'!$B$12)*'Event Tracker'!J6</f>
        <v>0</v>
      </c>
      <c r="K107" s="84">
        <f>IF('Customer Bills'!K12&gt;'Customer Bills'!J12,0,(('Customer Bills'!J12-'Customer Bills'!K12)/'Customer Bills'!J12)/(('Customer Bills'!J12-'Customer Bills'!J12*0.75)/'Customer Bills'!J12)*'Game Assumptions'!$B$12)*'Event Tracker'!K6</f>
        <v>0</v>
      </c>
      <c r="L107" s="84">
        <f>IF('Customer Bills'!L12&gt;'Customer Bills'!K12,0,(('Customer Bills'!K12-'Customer Bills'!L12)/'Customer Bills'!K12)/(('Customer Bills'!K12-'Customer Bills'!K12*0.75)/'Customer Bills'!K12)*'Game Assumptions'!$B$12)*'Event Tracker'!L6</f>
        <v>0</v>
      </c>
    </row>
    <row r="108" spans="1:12" ht="15.75" thickBot="1" x14ac:dyDescent="0.3">
      <c r="A108" s="26" t="s">
        <v>270</v>
      </c>
      <c r="B108" s="86"/>
      <c r="C108" s="86"/>
      <c r="D108" s="86"/>
      <c r="E108" s="86"/>
      <c r="F108" s="86"/>
      <c r="G108" s="86"/>
      <c r="H108" s="86"/>
      <c r="I108" s="86"/>
      <c r="J108" s="86"/>
      <c r="K108" s="86"/>
      <c r="L108" s="86"/>
    </row>
    <row r="109" spans="1:12" ht="15.75" thickTop="1" x14ac:dyDescent="0.25">
      <c r="A109" s="46" t="s">
        <v>134</v>
      </c>
      <c r="B109" s="47">
        <f>SUM(B100:B108)</f>
        <v>554099596.00691009</v>
      </c>
      <c r="C109" s="47">
        <f t="shared" ref="C109:L109" si="13">SUM(C100:C105)</f>
        <v>517940912.40953279</v>
      </c>
      <c r="D109" s="47">
        <f t="shared" si="13"/>
        <v>503453392.19501662</v>
      </c>
      <c r="E109" s="47">
        <f t="shared" si="13"/>
        <v>521306069.90607721</v>
      </c>
      <c r="F109" s="47">
        <f t="shared" si="13"/>
        <v>490722940.11013365</v>
      </c>
      <c r="G109" s="47">
        <f t="shared" si="13"/>
        <v>478698829.51058924</v>
      </c>
      <c r="H109" s="47">
        <f t="shared" si="13"/>
        <v>478871901.52060008</v>
      </c>
      <c r="I109" s="47">
        <f t="shared" si="13"/>
        <v>455316156.90025479</v>
      </c>
      <c r="J109" s="47">
        <f t="shared" si="13"/>
        <v>457911308.07177907</v>
      </c>
      <c r="K109" s="47">
        <f t="shared" si="13"/>
        <v>418342715.68301368</v>
      </c>
      <c r="L109" s="47">
        <f t="shared" si="13"/>
        <v>416544406.36154884</v>
      </c>
    </row>
    <row r="111" spans="1:12" x14ac:dyDescent="0.25">
      <c r="A111" s="9" t="s">
        <v>297</v>
      </c>
      <c r="B111" s="9">
        <v>0</v>
      </c>
      <c r="C111" s="9">
        <v>1</v>
      </c>
      <c r="D111" s="9">
        <v>2</v>
      </c>
      <c r="E111" s="9">
        <v>3</v>
      </c>
      <c r="F111" s="9">
        <v>4</v>
      </c>
      <c r="G111" s="9">
        <v>5</v>
      </c>
      <c r="H111" s="9">
        <v>6</v>
      </c>
      <c r="I111" s="9">
        <v>7</v>
      </c>
      <c r="J111" s="9">
        <v>8</v>
      </c>
      <c r="K111" s="9">
        <v>9</v>
      </c>
      <c r="L111" s="9">
        <v>10</v>
      </c>
    </row>
    <row r="112" spans="1:12" x14ac:dyDescent="0.25">
      <c r="A112" s="24" t="s">
        <v>112</v>
      </c>
    </row>
    <row r="113" spans="1:12" x14ac:dyDescent="0.25">
      <c r="A113" s="4" t="s">
        <v>361</v>
      </c>
    </row>
    <row r="114" spans="1:12" x14ac:dyDescent="0.25">
      <c r="A114" s="26" t="s">
        <v>94</v>
      </c>
      <c r="B114" s="27">
        <f>IF($B$2="DR",0,PMT('Game Assumptions'!$B$6,'Game Assumptions'!$B$14,'Game Assumptions'!$B$2*(20-B$6)/20))*-1</f>
        <v>78783354.939330965</v>
      </c>
      <c r="C114" s="27">
        <f>IF($B$2="DR",0,PMT('Game Assumptions'!$B$6,'Game Assumptions'!$B$14,'Game Assumptions'!$B$2*(20-C$6)/20))*-1</f>
        <v>74844187.19236441</v>
      </c>
      <c r="D114" s="27">
        <f>IF($B$2="DR",0,PMT('Game Assumptions'!$B$6,'Game Assumptions'!$B$14,'Game Assumptions'!$B$2*(20-D$6)/20))*-1</f>
        <v>70905019.445397854</v>
      </c>
      <c r="E114" s="27">
        <f>IF($B$2="DR",0,PMT('Game Assumptions'!$B$6,'Game Assumptions'!$B$14,'Game Assumptions'!$B$2*(20-E$6)/20))*-1</f>
        <v>66965851.698431313</v>
      </c>
      <c r="F114" s="27">
        <f>IF($B$2="DR",0,PMT('Game Assumptions'!$B$6,'Game Assumptions'!$B$14,'Game Assumptions'!$B$2*(20-F$6)/20))*-1</f>
        <v>63026683.951464765</v>
      </c>
      <c r="G114" s="27">
        <f>IF($B$2="DR",0,PMT('Game Assumptions'!$B$6,'Game Assumptions'!$B$14,'Game Assumptions'!$B$2*(20-G$6)/20))*-1</f>
        <v>59087516.204498224</v>
      </c>
      <c r="H114" s="27">
        <f>IF($B$2="DR",0,PMT('Game Assumptions'!$B$6,'Game Assumptions'!$B$14,'Game Assumptions'!$B$2*(20-H$6)/20))*-1</f>
        <v>55148348.457531668</v>
      </c>
      <c r="I114" s="27">
        <f>IF($B$2="DR",0,PMT('Game Assumptions'!$B$6,'Game Assumptions'!$B$14,'Game Assumptions'!$B$2*(20-I$6)/20))*-1</f>
        <v>51209180.710565127</v>
      </c>
      <c r="J114" s="27">
        <f>IF($B$2="DR",0,PMT('Game Assumptions'!$B$6,'Game Assumptions'!$B$14,'Game Assumptions'!$B$2*(20-J$6)/20))*-1</f>
        <v>47270012.963598572</v>
      </c>
      <c r="K114" s="27">
        <f>IF($B$2="DR",0,PMT('Game Assumptions'!$B$6,'Game Assumptions'!$B$14,'Game Assumptions'!$B$2*(20-K$6)/20))*-1</f>
        <v>43330845.216632031</v>
      </c>
      <c r="L114" s="27">
        <f>IF($B$2="DR",0,PMT('Game Assumptions'!$B$6,'Game Assumptions'!$B$14,'Game Assumptions'!$B$2*(20-L$6)/20))*-1</f>
        <v>39391677.469665483</v>
      </c>
    </row>
    <row r="115" spans="1:12" x14ac:dyDescent="0.25">
      <c r="A115" s="26" t="s">
        <v>95</v>
      </c>
      <c r="B115" s="27">
        <f>IF($B$2="DR",0,PMT('Game Assumptions'!$B$6,'Game Assumptions'!$B$14,'Game Assumptions'!$B$2*(20-B$6)/20))*-1</f>
        <v>78783354.939330965</v>
      </c>
      <c r="C115" s="27">
        <f>IF($B$2="DR",0,PMT('Game Assumptions'!$B$6,'Game Assumptions'!$B$14,'Game Assumptions'!$B$2*(20-C$6)/20))*-1</f>
        <v>74844187.19236441</v>
      </c>
      <c r="D115" s="27">
        <f>IF($B$2="DR",0,PMT('Game Assumptions'!$B$6,'Game Assumptions'!$B$14,'Game Assumptions'!$B$2*(20-D$6)/20))*-1</f>
        <v>70905019.445397854</v>
      </c>
      <c r="E115" s="27">
        <f>IF($B$2="DR",0,PMT('Game Assumptions'!$B$6,'Game Assumptions'!$B$14,'Game Assumptions'!$B$2*(20-E$6)/20))*-1</f>
        <v>66965851.698431313</v>
      </c>
      <c r="F115" s="27">
        <f>IF($B$2="DR",0,PMT('Game Assumptions'!$B$6,'Game Assumptions'!$B$14,'Game Assumptions'!$B$2*(20-F$6)/20))*-1</f>
        <v>63026683.951464765</v>
      </c>
      <c r="G115" s="27">
        <f>IF($B$2="DR",0,PMT('Game Assumptions'!$B$6,'Game Assumptions'!$B$14,'Game Assumptions'!$B$2*(20-G$6)/20))*-1</f>
        <v>59087516.204498224</v>
      </c>
      <c r="H115" s="27">
        <f>IF($B$2="DR",0,PMT('Game Assumptions'!$B$6,'Game Assumptions'!$B$14,'Game Assumptions'!$B$2*(20-H$6)/20))*-1</f>
        <v>55148348.457531668</v>
      </c>
      <c r="I115" s="27">
        <f>IF($B$2="DR",0,PMT('Game Assumptions'!$B$6,'Game Assumptions'!$B$14,'Game Assumptions'!$B$2*(20-I$6)/20))*-1</f>
        <v>51209180.710565127</v>
      </c>
      <c r="J115" s="27">
        <f>IF($B$2="DR",0,PMT('Game Assumptions'!$B$6,'Game Assumptions'!$B$14,'Game Assumptions'!$B$2*(20-J$6)/20))*-1</f>
        <v>47270012.963598572</v>
      </c>
      <c r="K115" s="27">
        <f>IF($B$2="DR",0,PMT('Game Assumptions'!$B$6,'Game Assumptions'!$B$14,'Game Assumptions'!$B$2*(20-K$6)/20))*-1</f>
        <v>43330845.216632031</v>
      </c>
      <c r="L115" s="27">
        <f>IF($B$2="DR",0,PMT('Game Assumptions'!$B$6,'Game Assumptions'!$B$14,'Game Assumptions'!$B$2*(20-L$6)/20))*-1</f>
        <v>39391677.469665483</v>
      </c>
    </row>
    <row r="116" spans="1:12" x14ac:dyDescent="0.25">
      <c r="A116" s="29" t="s">
        <v>96</v>
      </c>
      <c r="B116" s="23">
        <f>IF($B$2="DR",0,PMT('Game Assumptions'!$B$6,'Game Assumptions'!$B$14,'Game Assumptions'!$B$2*(20-B$6)/20))*-1</f>
        <v>78783354.939330965</v>
      </c>
      <c r="C116" s="23">
        <f>IF($B$2="DR",0,PMT('Game Assumptions'!$B$6,'Game Assumptions'!$B$14,'Game Assumptions'!$B$2*(20-C$6)/20))*-1</f>
        <v>74844187.19236441</v>
      </c>
      <c r="D116" s="23">
        <f>IF($B$2="DR",0,PMT('Game Assumptions'!$B$6,'Game Assumptions'!$B$14,'Game Assumptions'!$B$2*(20-D$6)/20))*-1</f>
        <v>70905019.445397854</v>
      </c>
      <c r="E116" s="23">
        <f>IF($B$2="DR",0,PMT('Game Assumptions'!$B$6,'Game Assumptions'!$B$14,'Game Assumptions'!$B$2*(20-E$6)/20))*-1</f>
        <v>66965851.698431313</v>
      </c>
      <c r="F116" s="23">
        <f>IF($B$2="DR",0,PMT('Game Assumptions'!$B$6,'Game Assumptions'!$B$14,'Game Assumptions'!$B$2*(20-F$6)/20))*-1</f>
        <v>63026683.951464765</v>
      </c>
      <c r="G116" s="23">
        <f>IF($B$2="DR",0,PMT('Game Assumptions'!$B$6,'Game Assumptions'!$B$14,'Game Assumptions'!$B$2*(20-G$6)/20))*-1</f>
        <v>59087516.204498224</v>
      </c>
      <c r="H116" s="23">
        <f>IF($B$2="DR",0,PMT('Game Assumptions'!$B$6,'Game Assumptions'!$B$14,'Game Assumptions'!$B$2*(20-H$6)/20))*-1</f>
        <v>55148348.457531668</v>
      </c>
      <c r="I116" s="23">
        <f>IF($B$2="DR",0,PMT('Game Assumptions'!$B$6,'Game Assumptions'!$B$14,'Game Assumptions'!$B$2*(20-I$6)/20))*-1</f>
        <v>51209180.710565127</v>
      </c>
      <c r="J116" s="23">
        <f>IF($B$2="DR",0,PMT('Game Assumptions'!$B$6,'Game Assumptions'!$B$14,'Game Assumptions'!$B$2*(20-J$6)/20))*-1</f>
        <v>47270012.963598572</v>
      </c>
      <c r="K116" s="23">
        <f>IF($B$2="DR",0,PMT('Game Assumptions'!$B$6,'Game Assumptions'!$B$14,'Game Assumptions'!$B$2*(20-K$6)/20))*-1</f>
        <v>43330845.216632031</v>
      </c>
      <c r="L116" s="23">
        <f>IF($B$2="DR",0,PMT('Game Assumptions'!$B$6,'Game Assumptions'!$B$14,'Game Assumptions'!$B$2*(20-L$6)/20))*-1</f>
        <v>39391677.469665483</v>
      </c>
    </row>
    <row r="117" spans="1:12" x14ac:dyDescent="0.25">
      <c r="A117" s="4" t="s">
        <v>265</v>
      </c>
    </row>
    <row r="118" spans="1:12" x14ac:dyDescent="0.25">
      <c r="A118" t="s">
        <v>70</v>
      </c>
      <c r="B118" s="7">
        <f>IF($B$2="DR",0,PMT('Game Assumptions'!$B$6,'Game Assumptions'!$B$14,'Game Assumptions'!$G26*'Resource Mix and Demand'!B2)*-1)</f>
        <v>0</v>
      </c>
      <c r="C118" s="7">
        <f>IF($B$2="DR",0,PMT('Game Assumptions'!$B$6,'Game Assumptions'!$B$14,'Game Assumptions'!$G26*'Resource Mix and Demand'!C2)*-1)+B118</f>
        <v>0</v>
      </c>
      <c r="D118" s="7">
        <f>IF($B$2="DR",0,PMT('Game Assumptions'!$B$6,'Game Assumptions'!$B$14,'Game Assumptions'!$G26*'Resource Mix and Demand'!D2)*-1)+C118</f>
        <v>0</v>
      </c>
      <c r="E118" s="7">
        <f>IF($B$2="DR",0,PMT('Game Assumptions'!$B$6,'Game Assumptions'!$B$14,'Game Assumptions'!$G26*'Resource Mix and Demand'!E2)*-1)+D118</f>
        <v>0</v>
      </c>
      <c r="F118" s="7">
        <f>IF($B$2="DR",0,PMT('Game Assumptions'!$B$6,'Game Assumptions'!$B$14,'Game Assumptions'!$G26*'Resource Mix and Demand'!F2)*-1)+E118</f>
        <v>0</v>
      </c>
      <c r="G118" s="7">
        <f>IF($B$2="DR",0,PMT('Game Assumptions'!$B$6,'Game Assumptions'!$B$14,'Game Assumptions'!$G26*'Resource Mix and Demand'!G2)*-1)+F118</f>
        <v>0</v>
      </c>
      <c r="H118" s="7">
        <f>IF($B$2="DR",0,PMT('Game Assumptions'!$B$6,'Game Assumptions'!$B$14,'Game Assumptions'!$G26*'Resource Mix and Demand'!H2)*-1)+G118</f>
        <v>0</v>
      </c>
      <c r="I118" s="7">
        <f>IF($B$2="DR",0,PMT('Game Assumptions'!$B$6,'Game Assumptions'!$B$14,'Game Assumptions'!$G26*'Resource Mix and Demand'!I2)*-1)+H118</f>
        <v>0</v>
      </c>
      <c r="J118" s="7">
        <f>IF($B$2="DR",0,PMT('Game Assumptions'!$B$6,'Game Assumptions'!$B$14,'Game Assumptions'!$G26*'Resource Mix and Demand'!J2)*-1)+I118</f>
        <v>0</v>
      </c>
      <c r="K118" s="7">
        <f>IF($B$2="DR",0,PMT('Game Assumptions'!$B$6,'Game Assumptions'!$B$14,'Game Assumptions'!$G26*'Resource Mix and Demand'!K2)*-1)+J118</f>
        <v>0</v>
      </c>
      <c r="L118" s="7">
        <f>IF($B$2="DR",0,PMT('Game Assumptions'!$B$6,'Game Assumptions'!$B$14,'Game Assumptions'!$G26*'Resource Mix and Demand'!L2)*-1)+K118</f>
        <v>0</v>
      </c>
    </row>
    <row r="119" spans="1:12" x14ac:dyDescent="0.25">
      <c r="A119" t="s">
        <v>76</v>
      </c>
      <c r="B119" s="7">
        <f>IF($B$2="DR",0,PMT('Game Assumptions'!$B$6,'Game Assumptions'!$B$14,'Game Assumptions'!$G27*'Resource Mix and Demand'!B3)*-1)</f>
        <v>0</v>
      </c>
      <c r="C119" s="7">
        <f>IF($B$2="DR",0,PMT('Game Assumptions'!$B$6,'Game Assumptions'!$B$14,'Game Assumptions'!$G27*'Resource Mix and Demand'!C3)*-1)+B119</f>
        <v>0</v>
      </c>
      <c r="D119" s="7">
        <f>IF($B$2="DR",0,PMT('Game Assumptions'!$B$6,'Game Assumptions'!$B$14,'Game Assumptions'!$G27*'Resource Mix and Demand'!D3)*-1)+C119</f>
        <v>0</v>
      </c>
      <c r="E119" s="7">
        <f>IF($B$2="DR",0,PMT('Game Assumptions'!$B$6,'Game Assumptions'!$B$14,'Game Assumptions'!$G27*'Resource Mix and Demand'!E3)*-1)+D119</f>
        <v>0</v>
      </c>
      <c r="F119" s="7">
        <f>IF($B$2="DR",0,PMT('Game Assumptions'!$B$6,'Game Assumptions'!$B$14,'Game Assumptions'!$G27*'Resource Mix and Demand'!F3)*-1)+E119</f>
        <v>0</v>
      </c>
      <c r="G119" s="7">
        <f>IF($B$2="DR",0,PMT('Game Assumptions'!$B$6,'Game Assumptions'!$B$14,'Game Assumptions'!$G27*'Resource Mix and Demand'!G3)*-1)+F119</f>
        <v>0</v>
      </c>
      <c r="H119" s="7">
        <f>IF($B$2="DR",0,PMT('Game Assumptions'!$B$6,'Game Assumptions'!$B$14,'Game Assumptions'!$G27*'Resource Mix and Demand'!H3)*-1)+G119</f>
        <v>0</v>
      </c>
      <c r="I119" s="7">
        <f>IF($B$2="DR",0,PMT('Game Assumptions'!$B$6,'Game Assumptions'!$B$14,'Game Assumptions'!$G27*'Resource Mix and Demand'!I3)*-1)+H119</f>
        <v>0</v>
      </c>
      <c r="J119" s="7">
        <f>IF($B$2="DR",0,PMT('Game Assumptions'!$B$6,'Game Assumptions'!$B$14,'Game Assumptions'!$G27*'Resource Mix and Demand'!J3)*-1)+I119</f>
        <v>0</v>
      </c>
      <c r="K119" s="7">
        <f>IF($B$2="DR",0,PMT('Game Assumptions'!$B$6,'Game Assumptions'!$B$14,'Game Assumptions'!$G27*'Resource Mix and Demand'!K3)*-1)+J119</f>
        <v>0</v>
      </c>
      <c r="L119" s="7">
        <f>IF($B$2="DR",0,PMT('Game Assumptions'!$B$6,'Game Assumptions'!$B$14,'Game Assumptions'!$G27*'Resource Mix and Demand'!L3)*-1)+K119</f>
        <v>0</v>
      </c>
    </row>
    <row r="120" spans="1:12" x14ac:dyDescent="0.25">
      <c r="A120" t="s">
        <v>71</v>
      </c>
      <c r="B120" s="7">
        <f>IF($B$2="DR",0,PMT('Game Assumptions'!$B$6,'Game Assumptions'!$B$14,'Game Assumptions'!$G28*'Resource Mix and Demand'!B4)*-1)</f>
        <v>0</v>
      </c>
      <c r="C120" s="7">
        <f>IF($B$2="DR",0,PMT('Game Assumptions'!$B$6,'Game Assumptions'!$B$14,'Game Assumptions'!$G28*'Resource Mix and Demand'!C4)*-1)+B120</f>
        <v>0</v>
      </c>
      <c r="D120" s="7">
        <f>IF($B$2="DR",0,PMT('Game Assumptions'!$B$6,'Game Assumptions'!$B$14,'Game Assumptions'!$G28*'Resource Mix and Demand'!D4)*-1)+C120</f>
        <v>0</v>
      </c>
      <c r="E120" s="7">
        <f>IF($B$2="DR",0,PMT('Game Assumptions'!$B$6,'Game Assumptions'!$B$14,'Game Assumptions'!$G28*'Resource Mix and Demand'!E4)*-1)+D120</f>
        <v>0</v>
      </c>
      <c r="F120" s="7">
        <f>IF($B$2="DR",0,PMT('Game Assumptions'!$B$6,'Game Assumptions'!$B$14,'Game Assumptions'!$G28*'Resource Mix and Demand'!F4)*-1)+E120</f>
        <v>0</v>
      </c>
      <c r="G120" s="7">
        <f>IF($B$2="DR",0,PMT('Game Assumptions'!$B$6,'Game Assumptions'!$B$14,'Game Assumptions'!$G28*'Resource Mix and Demand'!G4)*-1)+F120</f>
        <v>0</v>
      </c>
      <c r="H120" s="7">
        <f>IF($B$2="DR",0,PMT('Game Assumptions'!$B$6,'Game Assumptions'!$B$14,'Game Assumptions'!$G28*'Resource Mix and Demand'!H4)*-1)+G120</f>
        <v>0</v>
      </c>
      <c r="I120" s="7">
        <f>IF($B$2="DR",0,PMT('Game Assumptions'!$B$6,'Game Assumptions'!$B$14,'Game Assumptions'!$G28*'Resource Mix and Demand'!I4)*-1)+H120</f>
        <v>0</v>
      </c>
      <c r="J120" s="7">
        <f>IF($B$2="DR",0,PMT('Game Assumptions'!$B$6,'Game Assumptions'!$B$14,'Game Assumptions'!$G28*'Resource Mix and Demand'!J4)*-1)+I120</f>
        <v>0</v>
      </c>
      <c r="K120" s="7">
        <f>IF($B$2="DR",0,PMT('Game Assumptions'!$B$6,'Game Assumptions'!$B$14,'Game Assumptions'!$G28*'Resource Mix and Demand'!K4)*-1)+J120</f>
        <v>0</v>
      </c>
      <c r="L120" s="7">
        <f>IF($B$2="DR",0,PMT('Game Assumptions'!$B$6,'Game Assumptions'!$B$14,'Game Assumptions'!$G28*'Resource Mix and Demand'!L4)*-1)+K120</f>
        <v>0</v>
      </c>
    </row>
    <row r="121" spans="1:12" x14ac:dyDescent="0.25">
      <c r="A121" t="s">
        <v>74</v>
      </c>
      <c r="B121" s="7">
        <f>IF($B$2="DR",0,PMT('Game Assumptions'!$B$6,'Game Assumptions'!$B$14,'Game Assumptions'!$G29*'Resource Mix and Demand'!B5)*-1)</f>
        <v>0</v>
      </c>
      <c r="C121" s="7">
        <f>IF($B$2="DR",0,PMT('Game Assumptions'!$B$6,'Game Assumptions'!$B$14,'Game Assumptions'!$G29*'Resource Mix and Demand'!C5)*-1)+B121</f>
        <v>0</v>
      </c>
      <c r="D121" s="7">
        <f>IF($B$2="DR",0,PMT('Game Assumptions'!$B$6,'Game Assumptions'!$B$14,'Game Assumptions'!$G29*'Resource Mix and Demand'!D5)*-1)+C121</f>
        <v>0</v>
      </c>
      <c r="E121" s="7">
        <f>IF($B$2="DR",0,PMT('Game Assumptions'!$B$6,'Game Assumptions'!$B$14,'Game Assumptions'!$G29*'Resource Mix and Demand'!E5)*-1)+D121</f>
        <v>0</v>
      </c>
      <c r="F121" s="7">
        <f>IF($B$2="DR",0,PMT('Game Assumptions'!$B$6,'Game Assumptions'!$B$14,'Game Assumptions'!$G29*'Resource Mix and Demand'!F5)*-1)+E121</f>
        <v>0</v>
      </c>
      <c r="G121" s="7">
        <f>IF($B$2="DR",0,PMT('Game Assumptions'!$B$6,'Game Assumptions'!$B$14,'Game Assumptions'!$G29*'Resource Mix and Demand'!G5)*-1)+F121</f>
        <v>0</v>
      </c>
      <c r="H121" s="7">
        <f>IF($B$2="DR",0,PMT('Game Assumptions'!$B$6,'Game Assumptions'!$B$14,'Game Assumptions'!$G29*'Resource Mix and Demand'!H5)*-1)+G121</f>
        <v>0</v>
      </c>
      <c r="I121" s="7">
        <f>IF($B$2="DR",0,PMT('Game Assumptions'!$B$6,'Game Assumptions'!$B$14,'Game Assumptions'!$G29*'Resource Mix and Demand'!I5)*-1)+H121</f>
        <v>0</v>
      </c>
      <c r="J121" s="7">
        <f>IF($B$2="DR",0,PMT('Game Assumptions'!$B$6,'Game Assumptions'!$B$14,'Game Assumptions'!$G29*'Resource Mix and Demand'!J5)*-1)+I121</f>
        <v>0</v>
      </c>
      <c r="K121" s="7">
        <f>IF($B$2="DR",0,PMT('Game Assumptions'!$B$6,'Game Assumptions'!$B$14,'Game Assumptions'!$G29*'Resource Mix and Demand'!K5)*-1)+J121</f>
        <v>0</v>
      </c>
      <c r="L121" s="7">
        <f>IF($B$2="DR",0,PMT('Game Assumptions'!$B$6,'Game Assumptions'!$B$14,'Game Assumptions'!$G29*'Resource Mix and Demand'!L5)*-1)+K121</f>
        <v>0</v>
      </c>
    </row>
    <row r="122" spans="1:12" x14ac:dyDescent="0.25">
      <c r="A122" t="s">
        <v>75</v>
      </c>
      <c r="B122" s="7">
        <f>IF($B$2="DR",0,PMT('Game Assumptions'!$B$6,'Game Assumptions'!$B$14,'Game Assumptions'!$G30*'Resource Mix and Demand'!B6)*-1)</f>
        <v>0</v>
      </c>
      <c r="C122" s="7">
        <f>IF($B$2="DR",0,PMT('Game Assumptions'!$B$6,'Game Assumptions'!$B$14,'Game Assumptions'!$G30*'Resource Mix and Demand'!C6)*-1)+B122</f>
        <v>0</v>
      </c>
      <c r="D122" s="7">
        <f>IF($B$2="DR",0,PMT('Game Assumptions'!$B$6,'Game Assumptions'!$B$14,'Game Assumptions'!$G30*'Resource Mix and Demand'!D6)*-1)+C122</f>
        <v>0</v>
      </c>
      <c r="E122" s="7">
        <f>IF($B$2="DR",0,PMT('Game Assumptions'!$B$6,'Game Assumptions'!$B$14,'Game Assumptions'!$G30*'Resource Mix and Demand'!E6)*-1)+D122</f>
        <v>0</v>
      </c>
      <c r="F122" s="7">
        <f>IF($B$2="DR",0,PMT('Game Assumptions'!$B$6,'Game Assumptions'!$B$14,'Game Assumptions'!$G30*'Resource Mix and Demand'!F6)*-1)+E122</f>
        <v>0</v>
      </c>
      <c r="G122" s="7">
        <f>IF($B$2="DR",0,PMT('Game Assumptions'!$B$6,'Game Assumptions'!$B$14,'Game Assumptions'!$G30*'Resource Mix and Demand'!G6)*-1)+F122</f>
        <v>0</v>
      </c>
      <c r="H122" s="7">
        <f>IF($B$2="DR",0,PMT('Game Assumptions'!$B$6,'Game Assumptions'!$B$14,'Game Assumptions'!$G30*'Resource Mix and Demand'!H6)*-1)+G122</f>
        <v>0</v>
      </c>
      <c r="I122" s="7">
        <f>IF($B$2="DR",0,PMT('Game Assumptions'!$B$6,'Game Assumptions'!$B$14,'Game Assumptions'!$G30*'Resource Mix and Demand'!I6)*-1)+H122</f>
        <v>0</v>
      </c>
      <c r="J122" s="7">
        <f>IF($B$2="DR",0,PMT('Game Assumptions'!$B$6,'Game Assumptions'!$B$14,'Game Assumptions'!$G30*'Resource Mix and Demand'!J6)*-1)+I122</f>
        <v>0</v>
      </c>
      <c r="K122" s="7">
        <f>IF($B$2="DR",0,PMT('Game Assumptions'!$B$6,'Game Assumptions'!$B$14,'Game Assumptions'!$G30*'Resource Mix and Demand'!K6)*-1)+J122</f>
        <v>0</v>
      </c>
      <c r="L122" s="7">
        <f>IF($B$2="DR",0,PMT('Game Assumptions'!$B$6,'Game Assumptions'!$B$14,'Game Assumptions'!$G30*'Resource Mix and Demand'!L6)*-1)+K122</f>
        <v>0</v>
      </c>
    </row>
    <row r="123" spans="1:12" x14ac:dyDescent="0.25">
      <c r="A123" t="s">
        <v>72</v>
      </c>
      <c r="B123" s="7">
        <f>IF($B$2="DR",0,PMT('Game Assumptions'!$B$6,'Game Assumptions'!$B$14,'Game Assumptions'!$G31*'Resource Mix and Demand'!B7)*-1)</f>
        <v>0</v>
      </c>
      <c r="C123" s="7">
        <f>IF($B$2="DR",0,PMT('Game Assumptions'!$B$6,'Game Assumptions'!$B$14,'Game Assumptions'!$G31*'Resource Mix and Demand'!C7)*-1)+B123</f>
        <v>0</v>
      </c>
      <c r="D123" s="7">
        <f>IF($B$2="DR",0,PMT('Game Assumptions'!$B$6,'Game Assumptions'!$B$14,'Game Assumptions'!$G31*'Resource Mix and Demand'!D7)*-1)+C123</f>
        <v>0</v>
      </c>
      <c r="E123" s="7">
        <f>IF($B$2="DR",0,PMT('Game Assumptions'!$B$6,'Game Assumptions'!$B$14,'Game Assumptions'!$G31*'Resource Mix and Demand'!E7)*-1)+D123</f>
        <v>0</v>
      </c>
      <c r="F123" s="7">
        <f>IF($B$2="DR",0,PMT('Game Assumptions'!$B$6,'Game Assumptions'!$B$14,'Game Assumptions'!$G31*'Resource Mix and Demand'!F7)*-1)+E123</f>
        <v>0</v>
      </c>
      <c r="G123" s="7">
        <f>IF($B$2="DR",0,PMT('Game Assumptions'!$B$6,'Game Assumptions'!$B$14,'Game Assumptions'!$G31*'Resource Mix and Demand'!G7)*-1)+F123</f>
        <v>0</v>
      </c>
      <c r="H123" s="7">
        <f>IF($B$2="DR",0,PMT('Game Assumptions'!$B$6,'Game Assumptions'!$B$14,'Game Assumptions'!$G31*'Resource Mix and Demand'!H7)*-1)+G123</f>
        <v>0</v>
      </c>
      <c r="I123" s="7">
        <f>IF($B$2="DR",0,PMT('Game Assumptions'!$B$6,'Game Assumptions'!$B$14,'Game Assumptions'!$G31*'Resource Mix and Demand'!I7)*-1)+H123</f>
        <v>0</v>
      </c>
      <c r="J123" s="7">
        <f>IF($B$2="DR",0,PMT('Game Assumptions'!$B$6,'Game Assumptions'!$B$14,'Game Assumptions'!$G31*'Resource Mix and Demand'!J7)*-1)+I123</f>
        <v>0</v>
      </c>
      <c r="K123" s="7">
        <f>IF($B$2="DR",0,PMT('Game Assumptions'!$B$6,'Game Assumptions'!$B$14,'Game Assumptions'!$G31*'Resource Mix and Demand'!K7)*-1)+J123</f>
        <v>0</v>
      </c>
      <c r="L123" s="7">
        <f>IF($B$2="DR",0,PMT('Game Assumptions'!$B$6,'Game Assumptions'!$B$14,'Game Assumptions'!$G31*'Resource Mix and Demand'!L7)*-1)+K123</f>
        <v>0</v>
      </c>
    </row>
    <row r="124" spans="1:12" x14ac:dyDescent="0.25">
      <c r="A124" s="12" t="s">
        <v>77</v>
      </c>
      <c r="B124" s="7">
        <f>IF($B$2="DR",0,PMT('Game Assumptions'!$B$6,'Game Assumptions'!$B$14,'Game Assumptions'!$G32*'Resource Mix and Demand'!B8)*-1)</f>
        <v>0</v>
      </c>
      <c r="C124" s="7">
        <f>IF($B$2="DR",0,PMT('Game Assumptions'!$B$6,'Game Assumptions'!$B$14,'Game Assumptions'!$G32*'Resource Mix and Demand'!C8)*-1)</f>
        <v>0</v>
      </c>
      <c r="D124" s="7">
        <f>IF($B$2="DR",0,PMT('Game Assumptions'!$B$6,'Game Assumptions'!$B$14,'Game Assumptions'!$G32*'Resource Mix and Demand'!D8)*-1)</f>
        <v>0</v>
      </c>
      <c r="E124" s="7">
        <f>IF($B$2="DR",0,PMT('Game Assumptions'!$B$6,'Game Assumptions'!$B$14,'Game Assumptions'!$G32*'Resource Mix and Demand'!E8)*-1)</f>
        <v>0</v>
      </c>
      <c r="F124" s="7">
        <f>IF($B$2="DR",0,PMT('Game Assumptions'!$B$6,'Game Assumptions'!$B$14,'Game Assumptions'!$G32*'Resource Mix and Demand'!F8)*-1)</f>
        <v>0</v>
      </c>
      <c r="G124" s="7">
        <f>IF($B$2="DR",0,PMT('Game Assumptions'!$B$6,'Game Assumptions'!$B$14,'Game Assumptions'!$G32*'Resource Mix and Demand'!G8)*-1)</f>
        <v>0</v>
      </c>
      <c r="H124" s="7">
        <f>IF($B$2="DR",0,PMT('Game Assumptions'!$B$6,'Game Assumptions'!$B$14,'Game Assumptions'!$G32*'Resource Mix and Demand'!H8)*-1)</f>
        <v>0</v>
      </c>
      <c r="I124" s="7">
        <f>IF($B$2="DR",0,PMT('Game Assumptions'!$B$6,'Game Assumptions'!$B$14,'Game Assumptions'!$G32*'Resource Mix and Demand'!I8)*-1)</f>
        <v>0</v>
      </c>
      <c r="J124" s="7">
        <f>IF($B$2="DR",0,PMT('Game Assumptions'!$B$6,'Game Assumptions'!$B$14,'Game Assumptions'!$G32*'Resource Mix and Demand'!J8)*-1)</f>
        <v>0</v>
      </c>
      <c r="K124" s="7">
        <f>IF($B$2="DR",0,PMT('Game Assumptions'!$B$6,'Game Assumptions'!$B$14,'Game Assumptions'!$G32*'Resource Mix and Demand'!K8)*-1)</f>
        <v>0</v>
      </c>
      <c r="L124" s="7">
        <f>IF($B$2="DR",0,PMT('Game Assumptions'!$B$6,'Game Assumptions'!$B$14,'Game Assumptions'!$G32*'Resource Mix and Demand'!L8)*-1)</f>
        <v>0</v>
      </c>
    </row>
    <row r="125" spans="1:12" x14ac:dyDescent="0.25">
      <c r="A125" t="s">
        <v>357</v>
      </c>
      <c r="B125" s="111">
        <f>IF($B$2="DR",0,PMT('Game Assumptions'!$B$6,'Game Assumptions'!$B$14,Reliability!B9*'Game Assumptions'!$G33))*-1</f>
        <v>0</v>
      </c>
      <c r="C125" s="111">
        <f>IF($B$2="DR",0,PMT('Game Assumptions'!$B$6,'Game Assumptions'!$B$14,Reliability!C9*'Game Assumptions'!$G33))*-1+B125</f>
        <v>0</v>
      </c>
      <c r="D125" s="111">
        <f>IF($B$2="DR",0,PMT('Game Assumptions'!$B$6,'Game Assumptions'!$B$14,Reliability!D9*'Game Assumptions'!$G33))*-1+C125</f>
        <v>0</v>
      </c>
      <c r="E125" s="111">
        <f>IF($B$2="DR",0,PMT('Game Assumptions'!$B$6,'Game Assumptions'!$B$14,Reliability!E9*'Game Assumptions'!$G33))*-1+D125</f>
        <v>0</v>
      </c>
      <c r="F125" s="111">
        <f>IF($B$2="DR",0,PMT('Game Assumptions'!$B$6,'Game Assumptions'!$B$14,Reliability!F9*'Game Assumptions'!$G33))*-1+E125</f>
        <v>0</v>
      </c>
      <c r="G125" s="111">
        <f>IF($B$2="DR",0,PMT('Game Assumptions'!$B$6,'Game Assumptions'!$B$14,Reliability!G9*'Game Assumptions'!$G33))*-1+F125</f>
        <v>0</v>
      </c>
      <c r="H125" s="111">
        <f>IF($B$2="DR",0,PMT('Game Assumptions'!$B$6,'Game Assumptions'!$B$14,Reliability!H9*'Game Assumptions'!$G33))*-1+G125</f>
        <v>0</v>
      </c>
      <c r="I125" s="111">
        <f>IF($B$2="DR",0,PMT('Game Assumptions'!$B$6,'Game Assumptions'!$B$14,Reliability!I9*'Game Assumptions'!$G33))*-1+H125</f>
        <v>0</v>
      </c>
      <c r="J125" s="111">
        <f>IF($B$2="DR",0,PMT('Game Assumptions'!$B$6,'Game Assumptions'!$B$14,Reliability!J9*'Game Assumptions'!$G33))*-1+I125</f>
        <v>0</v>
      </c>
      <c r="K125" s="111">
        <f>IF($B$2="DR",0,PMT('Game Assumptions'!$B$6,'Game Assumptions'!$B$14,Reliability!K9*'Game Assumptions'!$G33))*-1+J125</f>
        <v>0</v>
      </c>
      <c r="L125" s="111">
        <f>IF($B$2="DR",0,PMT('Game Assumptions'!$B$6,'Game Assumptions'!$B$14,Reliability!L9*'Game Assumptions'!$G33))*-1+K125</f>
        <v>0</v>
      </c>
    </row>
    <row r="126" spans="1:12" x14ac:dyDescent="0.25">
      <c r="A126" t="s">
        <v>358</v>
      </c>
      <c r="B126" s="111">
        <f>IF($B$2="DR",0,PMT('Game Assumptions'!$B$6,'Game Assumptions'!$B$14,Reliability!B10*'Game Assumptions'!$G34))*-1</f>
        <v>0</v>
      </c>
      <c r="C126" s="111">
        <f>IF($B$2="DR",0,PMT('Game Assumptions'!$B$6,'Game Assumptions'!$B$14,Reliability!C10*'Game Assumptions'!$G34))*-1+B126</f>
        <v>0</v>
      </c>
      <c r="D126" s="111">
        <f>IF($B$2="DR",0,PMT('Game Assumptions'!$B$6,'Game Assumptions'!$B$14,Reliability!D10*'Game Assumptions'!$G34))*-1+C126</f>
        <v>0</v>
      </c>
      <c r="E126" s="111">
        <f>IF($B$2="DR",0,PMT('Game Assumptions'!$B$6,'Game Assumptions'!$B$14,Reliability!E10*'Game Assumptions'!$G34))*-1+D126</f>
        <v>0</v>
      </c>
      <c r="F126" s="111">
        <f>IF($B$2="DR",0,PMT('Game Assumptions'!$B$6,'Game Assumptions'!$B$14,Reliability!F10*'Game Assumptions'!$G34))*-1+E126</f>
        <v>0</v>
      </c>
      <c r="G126" s="111">
        <f>IF($B$2="DR",0,PMT('Game Assumptions'!$B$6,'Game Assumptions'!$B$14,Reliability!G10*'Game Assumptions'!$G34))*-1+F126</f>
        <v>0</v>
      </c>
      <c r="H126" s="111">
        <f>IF($B$2="DR",0,PMT('Game Assumptions'!$B$6,'Game Assumptions'!$B$14,Reliability!H10*'Game Assumptions'!$G34))*-1+G126</f>
        <v>0</v>
      </c>
      <c r="I126" s="111">
        <f>IF($B$2="DR",0,PMT('Game Assumptions'!$B$6,'Game Assumptions'!$B$14,Reliability!I10*'Game Assumptions'!$G34))*-1+H126</f>
        <v>0</v>
      </c>
      <c r="J126" s="111">
        <f>IF($B$2="DR",0,PMT('Game Assumptions'!$B$6,'Game Assumptions'!$B$14,Reliability!J10*'Game Assumptions'!$G34))*-1+I126</f>
        <v>0</v>
      </c>
      <c r="K126" s="111">
        <f>IF($B$2="DR",0,PMT('Game Assumptions'!$B$6,'Game Assumptions'!$B$14,Reliability!K10*'Game Assumptions'!$G34))*-1+J126</f>
        <v>0</v>
      </c>
      <c r="L126" s="111">
        <f>IF($B$2="DR",0,PMT('Game Assumptions'!$B$6,'Game Assumptions'!$B$14,Reliability!L10*'Game Assumptions'!$G34))*-1+K126</f>
        <v>0</v>
      </c>
    </row>
    <row r="127" spans="1:12" x14ac:dyDescent="0.25">
      <c r="A127" t="s">
        <v>359</v>
      </c>
      <c r="B127" s="111">
        <f>IF($B$2="DR",0,PMT('Game Assumptions'!$B$6,'Game Assumptions'!$B$14,Reliability!B11*'Game Assumptions'!$G35))*-1</f>
        <v>0</v>
      </c>
      <c r="C127" s="111">
        <f>IF($B$2="DR",0,PMT('Game Assumptions'!$B$6,'Game Assumptions'!$B$14,Reliability!C11*'Game Assumptions'!$G35))*-1+B127</f>
        <v>0</v>
      </c>
      <c r="D127" s="111">
        <f>IF($B$2="DR",0,PMT('Game Assumptions'!$B$6,'Game Assumptions'!$B$14,Reliability!D11*'Game Assumptions'!$G35))*-1+C127</f>
        <v>0</v>
      </c>
      <c r="E127" s="111">
        <f>IF($B$2="DR",0,PMT('Game Assumptions'!$B$6,'Game Assumptions'!$B$14,Reliability!E11*'Game Assumptions'!$G35))*-1+D127</f>
        <v>0</v>
      </c>
      <c r="F127" s="111">
        <f>IF($B$2="DR",0,PMT('Game Assumptions'!$B$6,'Game Assumptions'!$B$14,Reliability!F11*'Game Assumptions'!$G35))*-1+E127</f>
        <v>0</v>
      </c>
      <c r="G127" s="111">
        <f>IF($B$2="DR",0,PMT('Game Assumptions'!$B$6,'Game Assumptions'!$B$14,Reliability!G11*'Game Assumptions'!$G35))*-1+F127</f>
        <v>0</v>
      </c>
      <c r="H127" s="111">
        <f>IF($B$2="DR",0,PMT('Game Assumptions'!$B$6,'Game Assumptions'!$B$14,Reliability!H11*'Game Assumptions'!$G35))*-1+G127</f>
        <v>0</v>
      </c>
      <c r="I127" s="111">
        <f>IF($B$2="DR",0,PMT('Game Assumptions'!$B$6,'Game Assumptions'!$B$14,Reliability!I11*'Game Assumptions'!$G35))*-1+H127</f>
        <v>0</v>
      </c>
      <c r="J127" s="111">
        <f>IF($B$2="DR",0,PMT('Game Assumptions'!$B$6,'Game Assumptions'!$B$14,Reliability!J11*'Game Assumptions'!$G35))*-1+I127</f>
        <v>0</v>
      </c>
      <c r="K127" s="111">
        <f>IF($B$2="DR",0,PMT('Game Assumptions'!$B$6,'Game Assumptions'!$B$14,Reliability!K11*'Game Assumptions'!$G35))*-1+J127</f>
        <v>0</v>
      </c>
      <c r="L127" s="111">
        <f>IF($B$2="DR",0,PMT('Game Assumptions'!$B$6,'Game Assumptions'!$B$14,Reliability!L11*'Game Assumptions'!$G35))*-1+K127</f>
        <v>0</v>
      </c>
    </row>
    <row r="128" spans="1:12" x14ac:dyDescent="0.25">
      <c r="A128" t="s">
        <v>360</v>
      </c>
      <c r="B128" s="111">
        <f>IF($B$2="DR",0,PMT('Game Assumptions'!$B$6,'Game Assumptions'!$B$14,Reliability!B12*'Game Assumptions'!$G36))*-1</f>
        <v>0</v>
      </c>
      <c r="C128" s="111">
        <f>IF($B$2="DR",0,PMT('Game Assumptions'!$B$6,'Game Assumptions'!$B$14,Reliability!C12*'Game Assumptions'!$G36))*-1+B128</f>
        <v>0</v>
      </c>
      <c r="D128" s="111">
        <f>IF($B$2="DR",0,PMT('Game Assumptions'!$B$6,'Game Assumptions'!$B$14,Reliability!D12*'Game Assumptions'!$G36))*-1+C128</f>
        <v>0</v>
      </c>
      <c r="E128" s="111">
        <f>IF($B$2="DR",0,PMT('Game Assumptions'!$B$6,'Game Assumptions'!$B$14,Reliability!E12*'Game Assumptions'!$G36))*-1+D128</f>
        <v>0</v>
      </c>
      <c r="F128" s="111">
        <f>IF($B$2="DR",0,PMT('Game Assumptions'!$B$6,'Game Assumptions'!$B$14,Reliability!F12*'Game Assumptions'!$G36))*-1+E128</f>
        <v>0</v>
      </c>
      <c r="G128" s="111">
        <f>IF($B$2="DR",0,PMT('Game Assumptions'!$B$6,'Game Assumptions'!$B$14,Reliability!G12*'Game Assumptions'!$G36))*-1+F128</f>
        <v>0</v>
      </c>
      <c r="H128" s="111">
        <f>IF($B$2="DR",0,PMT('Game Assumptions'!$B$6,'Game Assumptions'!$B$14,Reliability!H12*'Game Assumptions'!$G36))*-1+G128</f>
        <v>0</v>
      </c>
      <c r="I128" s="111">
        <f>IF($B$2="DR",0,PMT('Game Assumptions'!$B$6,'Game Assumptions'!$B$14,Reliability!I12*'Game Assumptions'!$G36))*-1+H128</f>
        <v>0</v>
      </c>
      <c r="J128" s="111">
        <f>IF($B$2="DR",0,PMT('Game Assumptions'!$B$6,'Game Assumptions'!$B$14,Reliability!J12*'Game Assumptions'!$G36))*-1+I128</f>
        <v>0</v>
      </c>
      <c r="K128" s="111">
        <f>IF($B$2="DR",0,PMT('Game Assumptions'!$B$6,'Game Assumptions'!$B$14,Reliability!K12*'Game Assumptions'!$G36))*-1+J128</f>
        <v>0</v>
      </c>
      <c r="L128" s="111">
        <f>IF($B$2="DR",0,PMT('Game Assumptions'!$B$6,'Game Assumptions'!$B$14,Reliability!L12*'Game Assumptions'!$G36))*-1+K128</f>
        <v>0</v>
      </c>
    </row>
    <row r="129" spans="1:12" x14ac:dyDescent="0.25">
      <c r="A129" s="12" t="s">
        <v>97</v>
      </c>
      <c r="B129" s="7">
        <f>Reliability!B38*'Game Assumptions'!$B$109</f>
        <v>0</v>
      </c>
      <c r="C129" s="111">
        <f>IF($B$2="DR",0,PMT('Game Assumptions'!$B$6,'Game Assumptions'!$B$14,Reliability!C14*'Game Assumptions'!$G37))*-1+B129</f>
        <v>0</v>
      </c>
      <c r="D129" s="111">
        <f>IF($B$2="DR",0,PMT('Game Assumptions'!$B$6,'Game Assumptions'!$B$14,Reliability!D14*'Game Assumptions'!$G37))*-1+C129</f>
        <v>0</v>
      </c>
      <c r="E129" s="111">
        <f>IF($B$2="DR",0,PMT('Game Assumptions'!$B$6,'Game Assumptions'!$B$14,Reliability!E14*'Game Assumptions'!$G37))*-1+D129</f>
        <v>0</v>
      </c>
      <c r="F129" s="111">
        <f>IF($B$2="DR",0,PMT('Game Assumptions'!$B$6,'Game Assumptions'!$B$14,Reliability!F14*'Game Assumptions'!$G37))*-1+E129</f>
        <v>0</v>
      </c>
      <c r="G129" s="111">
        <f>IF($B$2="DR",0,PMT('Game Assumptions'!$B$6,'Game Assumptions'!$B$14,Reliability!G14*'Game Assumptions'!$G37))*-1+F129</f>
        <v>0</v>
      </c>
      <c r="H129" s="111">
        <f>IF($B$2="DR",0,PMT('Game Assumptions'!$B$6,'Game Assumptions'!$B$14,Reliability!H14*'Game Assumptions'!$G37))*-1+G129</f>
        <v>0</v>
      </c>
      <c r="I129" s="111">
        <f>IF($B$2="DR",0,PMT('Game Assumptions'!$B$6,'Game Assumptions'!$B$14,Reliability!I14*'Game Assumptions'!$G37))*-1+H129</f>
        <v>0</v>
      </c>
      <c r="J129" s="111">
        <f>IF($B$2="DR",0,PMT('Game Assumptions'!$B$6,'Game Assumptions'!$B$14,Reliability!J14*'Game Assumptions'!$G37))*-1+I129</f>
        <v>0</v>
      </c>
      <c r="K129" s="111">
        <f>IF($B$2="DR",0,PMT('Game Assumptions'!$B$6,'Game Assumptions'!$B$14,Reliability!K14*'Game Assumptions'!$G37))*-1+J129</f>
        <v>0</v>
      </c>
      <c r="L129" s="111">
        <f>IF($B$2="DR",0,PMT('Game Assumptions'!$B$6,'Game Assumptions'!$B$14,Reliability!L14*'Game Assumptions'!$G37))*-1+K129</f>
        <v>0</v>
      </c>
    </row>
    <row r="130" spans="1:12" x14ac:dyDescent="0.25">
      <c r="A130" s="12" t="s">
        <v>98</v>
      </c>
      <c r="B130" s="7">
        <f>PMT('Game Assumptions'!$B$6,'Game Assumptions'!$B$14,SUM('Game Assumptions'!$B$133:$B$134)*Reliability!B13)*-1</f>
        <v>0</v>
      </c>
      <c r="C130" s="111">
        <f>PMT('Game Assumptions'!$B$6,'Game Assumptions'!$B$14,SUM('Game Assumptions'!$B$133:$B$134)*Reliability!C13)*-1+B130</f>
        <v>0</v>
      </c>
      <c r="D130" s="111">
        <f>PMT('Game Assumptions'!$B$6,'Game Assumptions'!$B$14,SUM('Game Assumptions'!$B$133:$B$134)*Reliability!D13)*-1+C130</f>
        <v>0</v>
      </c>
      <c r="E130" s="111">
        <f>PMT('Game Assumptions'!$B$6,'Game Assumptions'!$B$14,SUM('Game Assumptions'!$B$133:$B$134)*Reliability!E13)*-1+D130</f>
        <v>0</v>
      </c>
      <c r="F130" s="111">
        <f>PMT('Game Assumptions'!$B$6,'Game Assumptions'!$B$14,SUM('Game Assumptions'!$B$133:$B$134)*Reliability!F13)*-1+E130</f>
        <v>0</v>
      </c>
      <c r="G130" s="111">
        <f>PMT('Game Assumptions'!$B$6,'Game Assumptions'!$B$14,SUM('Game Assumptions'!$B$133:$B$134)*Reliability!G13)*-1+F130</f>
        <v>0</v>
      </c>
      <c r="H130" s="111">
        <f>PMT('Game Assumptions'!$B$6,'Game Assumptions'!$B$14,SUM('Game Assumptions'!$B$133:$B$134)*Reliability!H13)*-1+G130</f>
        <v>0</v>
      </c>
      <c r="I130" s="111">
        <f>PMT('Game Assumptions'!$B$6,'Game Assumptions'!$B$14,SUM('Game Assumptions'!$B$133:$B$134)*Reliability!I13)*-1+H130</f>
        <v>0</v>
      </c>
      <c r="J130" s="111">
        <f>PMT('Game Assumptions'!$B$6,'Game Assumptions'!$B$14,SUM('Game Assumptions'!$B$133:$B$134)*Reliability!J13)*-1+I130</f>
        <v>0</v>
      </c>
      <c r="K130" s="111">
        <f>PMT('Game Assumptions'!$B$6,'Game Assumptions'!$B$14,SUM('Game Assumptions'!$B$133:$B$134)*Reliability!K13)*-1+J130</f>
        <v>0</v>
      </c>
      <c r="L130" s="111">
        <f>PMT('Game Assumptions'!$B$6,'Game Assumptions'!$B$14,SUM('Game Assumptions'!$B$133:$B$134)*Reliability!L13)*-1+K130</f>
        <v>0</v>
      </c>
    </row>
    <row r="131" spans="1:12" x14ac:dyDescent="0.25">
      <c r="A131" s="22" t="s">
        <v>99</v>
      </c>
      <c r="B131" s="82"/>
      <c r="C131" s="82"/>
      <c r="D131" s="82"/>
      <c r="E131" s="82"/>
      <c r="F131" s="82"/>
      <c r="G131" s="82"/>
      <c r="H131" s="82"/>
      <c r="I131" s="82"/>
      <c r="J131" s="82"/>
      <c r="K131" s="82"/>
      <c r="L131" s="82"/>
    </row>
    <row r="132" spans="1:12" x14ac:dyDescent="0.25">
      <c r="A132" s="34" t="s">
        <v>111</v>
      </c>
      <c r="B132" s="45"/>
      <c r="C132" s="45"/>
      <c r="D132" s="45"/>
      <c r="E132" s="45"/>
      <c r="F132" s="45"/>
      <c r="G132" s="45"/>
      <c r="H132" s="45"/>
      <c r="I132" s="45"/>
      <c r="J132" s="45"/>
      <c r="K132" s="45"/>
      <c r="L132" s="45"/>
    </row>
    <row r="133" spans="1:12" x14ac:dyDescent="0.25">
      <c r="A133" s="52" t="s">
        <v>109</v>
      </c>
      <c r="B133" s="45"/>
      <c r="C133" s="45"/>
      <c r="D133" s="45"/>
      <c r="E133" s="45"/>
      <c r="F133" s="45"/>
      <c r="G133" s="45"/>
      <c r="H133" s="45"/>
      <c r="I133" s="45"/>
      <c r="J133" s="45"/>
      <c r="K133" s="45"/>
      <c r="L133" s="45"/>
    </row>
    <row r="134" spans="1:12" x14ac:dyDescent="0.25">
      <c r="A134" t="s">
        <v>85</v>
      </c>
      <c r="B134" s="25">
        <f t="shared" ref="B134:L134" si="14">B29</f>
        <v>96053400</v>
      </c>
      <c r="C134" s="25">
        <f t="shared" si="14"/>
        <v>86697000</v>
      </c>
      <c r="D134" s="25">
        <f t="shared" si="14"/>
        <v>86697000</v>
      </c>
      <c r="E134" s="25">
        <f t="shared" si="14"/>
        <v>40057000</v>
      </c>
      <c r="F134" s="25">
        <f t="shared" si="14"/>
        <v>40057000</v>
      </c>
      <c r="G134" s="25">
        <f t="shared" si="14"/>
        <v>36938200</v>
      </c>
      <c r="H134" s="25">
        <f t="shared" si="14"/>
        <v>36938200</v>
      </c>
      <c r="I134" s="25">
        <f t="shared" si="14"/>
        <v>36938200</v>
      </c>
      <c r="J134" s="25">
        <f t="shared" si="14"/>
        <v>36938200</v>
      </c>
      <c r="K134" s="25">
        <f t="shared" si="14"/>
        <v>36938200</v>
      </c>
      <c r="L134" s="25">
        <f t="shared" si="14"/>
        <v>36938200</v>
      </c>
    </row>
    <row r="135" spans="1:12" x14ac:dyDescent="0.25">
      <c r="A135" t="s">
        <v>86</v>
      </c>
      <c r="B135" s="25">
        <f t="shared" ref="B135:L135" si="15">B30</f>
        <v>23448915</v>
      </c>
      <c r="C135" s="25">
        <f t="shared" si="15"/>
        <v>22361736.359999999</v>
      </c>
      <c r="D135" s="25">
        <f t="shared" si="15"/>
        <v>21754607.369999997</v>
      </c>
      <c r="E135" s="25">
        <f t="shared" si="15"/>
        <v>36159747</v>
      </c>
      <c r="F135" s="25">
        <f t="shared" si="15"/>
        <v>34513511.370000005</v>
      </c>
      <c r="G135" s="25">
        <f t="shared" si="15"/>
        <v>33810315</v>
      </c>
      <c r="H135" s="25">
        <f t="shared" si="15"/>
        <v>33810315</v>
      </c>
      <c r="I135" s="25">
        <f t="shared" si="15"/>
        <v>31900344.600000001</v>
      </c>
      <c r="J135" s="25">
        <f t="shared" si="15"/>
        <v>32848984.890000001</v>
      </c>
      <c r="K135" s="25">
        <f t="shared" si="15"/>
        <v>30072035.91</v>
      </c>
      <c r="L135" s="25">
        <f t="shared" si="15"/>
        <v>29757256.77</v>
      </c>
    </row>
    <row r="136" spans="1:12" x14ac:dyDescent="0.25">
      <c r="A136" s="12" t="s">
        <v>87</v>
      </c>
      <c r="B136" s="103">
        <f t="shared" ref="B136:L136" si="16">B31</f>
        <v>104381820</v>
      </c>
      <c r="C136" s="103">
        <f t="shared" si="16"/>
        <v>96688902.384000003</v>
      </c>
      <c r="D136" s="103">
        <f t="shared" si="16"/>
        <v>93068049.815999985</v>
      </c>
      <c r="E136" s="103">
        <f t="shared" si="16"/>
        <v>161397087</v>
      </c>
      <c r="F136" s="103">
        <f t="shared" si="16"/>
        <v>153927625.07999998</v>
      </c>
      <c r="G136" s="103">
        <f t="shared" si="16"/>
        <v>152566569</v>
      </c>
      <c r="H136" s="103">
        <f t="shared" si="16"/>
        <v>163466637</v>
      </c>
      <c r="I136" s="103">
        <f t="shared" si="16"/>
        <v>163807996.83999997</v>
      </c>
      <c r="J136" s="103">
        <f t="shared" si="16"/>
        <v>175645364.25999999</v>
      </c>
      <c r="K136" s="103">
        <f t="shared" si="16"/>
        <v>163043040.07999998</v>
      </c>
      <c r="L136" s="103">
        <f t="shared" si="16"/>
        <v>165005223.68399999</v>
      </c>
    </row>
    <row r="137" spans="1:12" x14ac:dyDescent="0.25">
      <c r="A137" s="22" t="s">
        <v>313</v>
      </c>
      <c r="B137" s="35">
        <f t="shared" ref="B137:L137" si="17">B32</f>
        <v>0</v>
      </c>
      <c r="C137" s="35">
        <f t="shared" si="17"/>
        <v>0</v>
      </c>
      <c r="D137" s="35">
        <f t="shared" si="17"/>
        <v>0</v>
      </c>
      <c r="E137" s="35">
        <f t="shared" si="17"/>
        <v>0</v>
      </c>
      <c r="F137" s="35">
        <f t="shared" si="17"/>
        <v>0</v>
      </c>
      <c r="G137" s="35">
        <f t="shared" si="17"/>
        <v>0</v>
      </c>
      <c r="H137" s="35">
        <f t="shared" si="17"/>
        <v>0</v>
      </c>
      <c r="I137" s="35">
        <f t="shared" si="17"/>
        <v>0</v>
      </c>
      <c r="J137" s="35">
        <f t="shared" si="17"/>
        <v>0</v>
      </c>
      <c r="K137" s="35">
        <f t="shared" si="17"/>
        <v>0</v>
      </c>
      <c r="L137" s="35">
        <f t="shared" si="17"/>
        <v>0</v>
      </c>
    </row>
    <row r="138" spans="1:12" x14ac:dyDescent="0.25">
      <c r="A138" s="83" t="s">
        <v>254</v>
      </c>
      <c r="B138" s="35"/>
      <c r="C138" s="35"/>
      <c r="D138" s="35"/>
      <c r="E138" s="35"/>
      <c r="F138" s="35"/>
      <c r="G138" s="35"/>
      <c r="H138" s="35"/>
      <c r="I138" s="35"/>
      <c r="J138" s="35"/>
      <c r="K138" s="35"/>
      <c r="L138" s="35"/>
    </row>
    <row r="139" spans="1:12" x14ac:dyDescent="0.25">
      <c r="A139" s="71" t="s">
        <v>255</v>
      </c>
      <c r="B139" s="25">
        <f t="shared" ref="B139:L139" si="18">B34</f>
        <v>29791461.006910168</v>
      </c>
      <c r="C139" s="25">
        <f t="shared" si="18"/>
        <v>29791461.006910168</v>
      </c>
      <c r="D139" s="25">
        <f t="shared" si="18"/>
        <v>29791461.006910168</v>
      </c>
      <c r="E139" s="25">
        <f t="shared" si="18"/>
        <v>29791461.006910168</v>
      </c>
      <c r="F139" s="25">
        <f t="shared" si="18"/>
        <v>29791461.006910168</v>
      </c>
      <c r="G139" s="25">
        <f t="shared" si="18"/>
        <v>29791461.006910168</v>
      </c>
      <c r="H139" s="25">
        <f t="shared" si="18"/>
        <v>29791461.006910168</v>
      </c>
      <c r="I139" s="25">
        <f t="shared" si="18"/>
        <v>29791461.006910168</v>
      </c>
      <c r="J139" s="25">
        <f t="shared" si="18"/>
        <v>29791461.006910168</v>
      </c>
      <c r="K139" s="25">
        <f t="shared" si="18"/>
        <v>29791461.006910168</v>
      </c>
      <c r="L139" s="25">
        <f t="shared" si="18"/>
        <v>29791461.006910168</v>
      </c>
    </row>
    <row r="140" spans="1:12" x14ac:dyDescent="0.25">
      <c r="A140" s="73" t="s">
        <v>257</v>
      </c>
      <c r="B140" s="25">
        <f t="shared" ref="B140:L140" si="19">B35</f>
        <v>424000</v>
      </c>
      <c r="C140" s="25">
        <f t="shared" si="19"/>
        <v>424000</v>
      </c>
      <c r="D140" s="25">
        <f t="shared" si="19"/>
        <v>424000</v>
      </c>
      <c r="E140" s="25">
        <f t="shared" si="19"/>
        <v>424000</v>
      </c>
      <c r="F140" s="25">
        <f t="shared" si="19"/>
        <v>424000</v>
      </c>
      <c r="G140" s="25">
        <f t="shared" si="19"/>
        <v>424000</v>
      </c>
      <c r="H140" s="25">
        <f t="shared" si="19"/>
        <v>424000</v>
      </c>
      <c r="I140" s="25">
        <f t="shared" si="19"/>
        <v>424000</v>
      </c>
      <c r="J140" s="25">
        <f t="shared" si="19"/>
        <v>424000</v>
      </c>
      <c r="K140" s="25">
        <f t="shared" si="19"/>
        <v>424000</v>
      </c>
      <c r="L140" s="25">
        <f t="shared" si="19"/>
        <v>424000</v>
      </c>
    </row>
    <row r="141" spans="1:12" ht="15.75" thickBot="1" x14ac:dyDescent="0.3">
      <c r="A141" s="97" t="s">
        <v>296</v>
      </c>
      <c r="B141" s="98">
        <f>SUM(B114:B131,B134:B137,B139:B140)</f>
        <v>490449660.82490307</v>
      </c>
      <c r="C141" s="98">
        <f t="shared" ref="C141:L141" si="20">SUM(C114:C131,C134:C137,C139:C140)</f>
        <v>460495661.32800341</v>
      </c>
      <c r="D141" s="98">
        <f t="shared" si="20"/>
        <v>444450176.5291037</v>
      </c>
      <c r="E141" s="98">
        <f t="shared" si="20"/>
        <v>468726850.10220408</v>
      </c>
      <c r="F141" s="98">
        <f t="shared" si="20"/>
        <v>447793649.31130439</v>
      </c>
      <c r="G141" s="98">
        <f t="shared" si="20"/>
        <v>430793093.62040478</v>
      </c>
      <c r="H141" s="98">
        <f t="shared" si="20"/>
        <v>429875658.37950516</v>
      </c>
      <c r="I141" s="98">
        <f t="shared" si="20"/>
        <v>416489544.57860547</v>
      </c>
      <c r="J141" s="98">
        <f t="shared" si="20"/>
        <v>417458049.04770583</v>
      </c>
      <c r="K141" s="98">
        <f t="shared" si="20"/>
        <v>390261272.64680618</v>
      </c>
      <c r="L141" s="98">
        <f t="shared" si="20"/>
        <v>380091173.8699066</v>
      </c>
    </row>
    <row r="142" spans="1:12" ht="16.5" thickTop="1" thickBot="1" x14ac:dyDescent="0.3">
      <c r="A142" s="95" t="s">
        <v>298</v>
      </c>
      <c r="B142" s="99">
        <f t="shared" ref="B142:L142" si="21">B109-B141</f>
        <v>63649935.182007015</v>
      </c>
      <c r="C142" s="99">
        <f t="shared" si="21"/>
        <v>57445251.081529379</v>
      </c>
      <c r="D142" s="99">
        <f t="shared" si="21"/>
        <v>59003215.665912926</v>
      </c>
      <c r="E142" s="99">
        <f t="shared" si="21"/>
        <v>52579219.803873122</v>
      </c>
      <c r="F142" s="99">
        <f t="shared" si="21"/>
        <v>42929290.798829257</v>
      </c>
      <c r="G142" s="99">
        <f t="shared" si="21"/>
        <v>47905735.890184462</v>
      </c>
      <c r="H142" s="99">
        <f t="shared" si="21"/>
        <v>48996243.141094923</v>
      </c>
      <c r="I142" s="99">
        <f t="shared" si="21"/>
        <v>38826612.321649313</v>
      </c>
      <c r="J142" s="99">
        <f t="shared" si="21"/>
        <v>40453259.024073243</v>
      </c>
      <c r="K142" s="99">
        <f t="shared" si="21"/>
        <v>28081443.036207497</v>
      </c>
      <c r="L142" s="99">
        <f t="shared" si="21"/>
        <v>36453232.491642237</v>
      </c>
    </row>
    <row r="143" spans="1:12" ht="15.75" thickTop="1" x14ac:dyDescent="0.25"/>
    <row r="145" spans="2:2" x14ac:dyDescent="0.25">
      <c r="B145" s="18"/>
    </row>
    <row r="148" spans="2:2" x14ac:dyDescent="0.25">
      <c r="B148" s="6"/>
    </row>
  </sheetData>
  <conditionalFormatting sqref="A9:XFD9 A13:XFD18 A20:XFD22 A40:XFD40 A44:XFD49 A51:XFD53 A64:XFD64 B68:XFD73 B75:XFD77 A114:XFD114 A118:XFD123 A125:XFD127">
    <cfRule type="expression" dxfId="2" priority="3">
      <formula>$B$2="DR"</formula>
    </cfRule>
  </conditionalFormatting>
  <conditionalFormatting sqref="A32:XFD32 A87:XFD87 A137:XFD137">
    <cfRule type="expression" dxfId="1" priority="2">
      <formula>$B$2="GTDR"</formula>
    </cfRule>
  </conditionalFormatting>
  <conditionalFormatting sqref="A68:A73 A75:A77">
    <cfRule type="expression" dxfId="0" priority="1">
      <formula>$B$2="DR"</formula>
    </cfRule>
  </conditionalFormatting>
  <pageMargins left="0.7" right="0.7" top="0.75" bottom="0.75" header="0.3" footer="0.3"/>
  <pageSetup orientation="portrait" r:id="rId1"/>
  <cellWatches>
    <cellWatch r="C98"/>
  </cellWatche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5"/>
  </sheetPr>
  <dimension ref="A1:O3"/>
  <sheetViews>
    <sheetView workbookViewId="0">
      <selection activeCell="C2" sqref="C2"/>
    </sheetView>
  </sheetViews>
  <sheetFormatPr defaultRowHeight="15" x14ac:dyDescent="0.25"/>
  <cols>
    <col min="1" max="1" width="27.140625" bestFit="1" customWidth="1"/>
    <col min="14" max="14" width="14" bestFit="1" customWidth="1"/>
  </cols>
  <sheetData>
    <row r="1" spans="1:15" ht="15.75" thickBot="1" x14ac:dyDescent="0.3">
      <c r="A1" s="9" t="s">
        <v>171</v>
      </c>
      <c r="B1" s="9">
        <v>0</v>
      </c>
      <c r="C1" s="9">
        <v>1</v>
      </c>
      <c r="D1" s="9">
        <v>2</v>
      </c>
      <c r="E1" s="9">
        <v>3</v>
      </c>
      <c r="F1" s="9">
        <v>4</v>
      </c>
      <c r="G1" s="9">
        <v>5</v>
      </c>
      <c r="H1" s="9">
        <v>6</v>
      </c>
      <c r="I1" s="9">
        <v>7</v>
      </c>
      <c r="J1" s="9">
        <v>8</v>
      </c>
      <c r="K1" s="9">
        <v>9</v>
      </c>
      <c r="L1" s="9">
        <v>10</v>
      </c>
      <c r="N1" s="121" t="s">
        <v>321</v>
      </c>
      <c r="O1" s="121">
        <f>Current_Round</f>
        <v>0</v>
      </c>
    </row>
    <row r="2" spans="1:15" x14ac:dyDescent="0.25">
      <c r="A2" t="s">
        <v>172</v>
      </c>
      <c r="B2">
        <f>SUMPRODUCT(Dispatch!B118:B119,'Game Assumptions'!$K$26:$K$27)</f>
        <v>2761460</v>
      </c>
      <c r="C2">
        <f>SUMPRODUCT(Dispatch!C118:C119,'Game Assumptions'!$K$26:$K$27)</f>
        <v>2351115.56</v>
      </c>
      <c r="D2">
        <f>SUMPRODUCT(Dispatch!D118:D119,'Game Assumptions'!$K$26:$K$27)</f>
        <v>2295713.895</v>
      </c>
      <c r="E2">
        <f>SUMPRODUCT(Dispatch!E118:E119,'Game Assumptions'!$K$26:$K$27)</f>
        <v>4380000</v>
      </c>
      <c r="F2">
        <f>SUMPRODUCT(Dispatch!F118:F119,'Game Assumptions'!$K$26:$K$27)</f>
        <v>4229777.8949999996</v>
      </c>
      <c r="G2">
        <f>SUMPRODUCT(Dispatch!G118:G119,'Game Assumptions'!$K$26:$K$27)</f>
        <v>3814980</v>
      </c>
      <c r="H2">
        <f>SUMPRODUCT(Dispatch!H118:H119,'Game Assumptions'!$K$26:$K$27)</f>
        <v>3814980</v>
      </c>
      <c r="I2">
        <f>SUMPRODUCT(Dispatch!I118:I119,'Game Assumptions'!$K$26:$K$27)</f>
        <v>3640691.5999999996</v>
      </c>
      <c r="J2">
        <f>SUMPRODUCT(Dispatch!J118:J119,'Game Assumptions'!$K$26:$K$27)</f>
        <v>3727256.8149999999</v>
      </c>
      <c r="K2">
        <f>SUMPRODUCT(Dispatch!K118:K119,'Game Assumptions'!$K$26:$K$27)</f>
        <v>3473854.9849999999</v>
      </c>
      <c r="L2">
        <f>SUMPRODUCT(Dispatch!L118:L119,'Game Assumptions'!$K$26:$K$27)</f>
        <v>3445130.7949999999</v>
      </c>
    </row>
    <row r="3" spans="1:15" x14ac:dyDescent="0.25">
      <c r="A3" t="s">
        <v>412</v>
      </c>
      <c r="B3">
        <f>B2*2000/Dispatch!B106</f>
        <v>699.94550408719351</v>
      </c>
      <c r="C3">
        <f>C2*2000/Dispatch!C106</f>
        <v>620.79165925150619</v>
      </c>
      <c r="D3">
        <f>D2*2000/Dispatch!D106</f>
        <v>613.58123795018548</v>
      </c>
      <c r="E3">
        <f>E2*2000/Dispatch!E106</f>
        <v>1226.5068287447837</v>
      </c>
      <c r="F3">
        <f>F2*2000/Dispatch!F106</f>
        <v>1255.5369772829374</v>
      </c>
      <c r="G3">
        <f>G2*2000/Dispatch!G106</f>
        <v>1111.2025386232287</v>
      </c>
      <c r="H3">
        <f>H2*2000/Dispatch!H106</f>
        <v>1152.3916859412614</v>
      </c>
      <c r="I3">
        <f>I2*2000/Dispatch!I106</f>
        <v>1179.66424838232</v>
      </c>
      <c r="J3">
        <f>J2*2000/Dispatch!J106</f>
        <v>1180.3515301948237</v>
      </c>
      <c r="K3">
        <f>K2*2000/Dispatch!K106</f>
        <v>1178.2455669373342</v>
      </c>
      <c r="L3">
        <f>L2*2000/Dispatch!L106</f>
        <v>1177.9878150420768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theme="5"/>
  </sheetPr>
  <dimension ref="A1:O128"/>
  <sheetViews>
    <sheetView topLeftCell="A8" workbookViewId="0">
      <selection activeCell="R10" sqref="R10"/>
    </sheetView>
  </sheetViews>
  <sheetFormatPr defaultRowHeight="15" x14ac:dyDescent="0.25"/>
  <cols>
    <col min="1" max="1" width="47.85546875" customWidth="1"/>
    <col min="14" max="14" width="13.140625" bestFit="1" customWidth="1"/>
    <col min="15" max="15" width="10.140625" customWidth="1"/>
  </cols>
  <sheetData>
    <row r="1" spans="1:15" ht="15.75" thickBot="1" x14ac:dyDescent="0.3">
      <c r="A1" s="9" t="s">
        <v>185</v>
      </c>
      <c r="B1" s="9">
        <v>0</v>
      </c>
      <c r="C1" s="9">
        <v>1</v>
      </c>
      <c r="D1" s="9">
        <v>2</v>
      </c>
      <c r="E1" s="9">
        <v>3</v>
      </c>
      <c r="F1" s="9">
        <v>4</v>
      </c>
      <c r="G1" s="9">
        <v>5</v>
      </c>
      <c r="H1" s="9">
        <v>6</v>
      </c>
      <c r="I1" s="9">
        <v>7</v>
      </c>
      <c r="J1" s="9">
        <v>8</v>
      </c>
      <c r="K1" s="9">
        <v>9</v>
      </c>
      <c r="L1" s="9">
        <v>10</v>
      </c>
      <c r="N1" s="120" t="s">
        <v>321</v>
      </c>
      <c r="O1" s="108">
        <f>'Event Tracker'!P1</f>
        <v>0</v>
      </c>
    </row>
    <row r="2" spans="1:15" x14ac:dyDescent="0.25">
      <c r="A2" t="s">
        <v>213</v>
      </c>
      <c r="B2">
        <v>100</v>
      </c>
      <c r="C2">
        <v>100</v>
      </c>
      <c r="D2">
        <v>100</v>
      </c>
      <c r="E2">
        <v>100</v>
      </c>
      <c r="F2">
        <v>100</v>
      </c>
      <c r="G2">
        <v>100</v>
      </c>
      <c r="H2">
        <v>100</v>
      </c>
      <c r="I2">
        <v>100</v>
      </c>
      <c r="J2">
        <v>100</v>
      </c>
      <c r="K2">
        <v>100</v>
      </c>
      <c r="L2">
        <v>100</v>
      </c>
    </row>
    <row r="3" spans="1:15" x14ac:dyDescent="0.25">
      <c r="A3" t="s">
        <v>187</v>
      </c>
      <c r="B3">
        <v>10</v>
      </c>
      <c r="C3">
        <v>10</v>
      </c>
      <c r="D3">
        <v>10</v>
      </c>
      <c r="E3">
        <v>10</v>
      </c>
      <c r="F3">
        <v>10</v>
      </c>
      <c r="G3">
        <v>10</v>
      </c>
      <c r="H3">
        <v>10</v>
      </c>
      <c r="I3">
        <v>10</v>
      </c>
      <c r="J3">
        <v>10</v>
      </c>
      <c r="K3">
        <v>10</v>
      </c>
      <c r="L3">
        <v>10</v>
      </c>
    </row>
    <row r="4" spans="1:15" x14ac:dyDescent="0.25">
      <c r="A4" t="s">
        <v>186</v>
      </c>
      <c r="B4">
        <v>35</v>
      </c>
      <c r="C4">
        <v>35</v>
      </c>
      <c r="D4">
        <v>35</v>
      </c>
      <c r="E4">
        <v>35</v>
      </c>
      <c r="F4">
        <v>35</v>
      </c>
      <c r="G4">
        <v>35</v>
      </c>
      <c r="H4">
        <v>35</v>
      </c>
      <c r="I4">
        <v>35</v>
      </c>
      <c r="J4">
        <v>35</v>
      </c>
      <c r="K4">
        <v>35</v>
      </c>
      <c r="L4">
        <v>35</v>
      </c>
    </row>
    <row r="5" spans="1:15" x14ac:dyDescent="0.25">
      <c r="A5" t="s">
        <v>41</v>
      </c>
      <c r="B5">
        <v>35</v>
      </c>
      <c r="C5">
        <v>35</v>
      </c>
      <c r="D5">
        <v>35</v>
      </c>
      <c r="E5">
        <v>35</v>
      </c>
      <c r="F5">
        <v>35</v>
      </c>
      <c r="G5">
        <v>35</v>
      </c>
      <c r="H5">
        <v>35</v>
      </c>
      <c r="I5">
        <v>35</v>
      </c>
      <c r="J5">
        <v>35</v>
      </c>
      <c r="K5">
        <v>35</v>
      </c>
      <c r="L5">
        <v>35</v>
      </c>
    </row>
    <row r="6" spans="1:15" x14ac:dyDescent="0.25">
      <c r="A6" t="s">
        <v>444</v>
      </c>
      <c r="B6" s="16">
        <f>B65-SUM(B85:B87)</f>
        <v>1771.4840182648402</v>
      </c>
      <c r="C6" s="16">
        <f>B6</f>
        <v>1771.4840182648402</v>
      </c>
      <c r="D6" s="16">
        <f t="shared" ref="D6:L6" si="0">C6</f>
        <v>1771.4840182648402</v>
      </c>
      <c r="E6" s="16">
        <f t="shared" si="0"/>
        <v>1771.4840182648402</v>
      </c>
      <c r="F6" s="16">
        <f t="shared" si="0"/>
        <v>1771.4840182648402</v>
      </c>
      <c r="G6" s="16">
        <f t="shared" si="0"/>
        <v>1771.4840182648402</v>
      </c>
      <c r="H6" s="16">
        <f t="shared" si="0"/>
        <v>1771.4840182648402</v>
      </c>
      <c r="I6" s="16">
        <f t="shared" si="0"/>
        <v>1771.4840182648402</v>
      </c>
      <c r="J6" s="16">
        <f t="shared" si="0"/>
        <v>1771.4840182648402</v>
      </c>
      <c r="K6" s="16">
        <f t="shared" si="0"/>
        <v>1771.4840182648402</v>
      </c>
      <c r="L6" s="16">
        <f t="shared" si="0"/>
        <v>1771.4840182648402</v>
      </c>
    </row>
    <row r="8" spans="1:15" x14ac:dyDescent="0.25">
      <c r="A8" s="9" t="s">
        <v>188</v>
      </c>
      <c r="B8" s="9">
        <v>0</v>
      </c>
      <c r="C8" s="9">
        <v>1</v>
      </c>
      <c r="D8" s="9">
        <v>2</v>
      </c>
      <c r="E8" s="9">
        <v>3</v>
      </c>
      <c r="F8" s="9">
        <v>4</v>
      </c>
      <c r="G8" s="9">
        <v>5</v>
      </c>
      <c r="H8" s="9">
        <v>6</v>
      </c>
      <c r="I8" s="9">
        <v>7</v>
      </c>
      <c r="J8" s="9">
        <v>8</v>
      </c>
      <c r="K8" s="9">
        <v>9</v>
      </c>
      <c r="L8" s="9">
        <v>10</v>
      </c>
    </row>
    <row r="9" spans="1:15" x14ac:dyDescent="0.25">
      <c r="A9" t="s">
        <v>213</v>
      </c>
      <c r="B9" s="89">
        <v>0</v>
      </c>
      <c r="C9" s="89">
        <f>Gameplay!$D$17</f>
        <v>0</v>
      </c>
      <c r="D9" s="89">
        <f>Gameplay!$D$17</f>
        <v>0</v>
      </c>
      <c r="E9" s="89">
        <f>Gameplay!$D$17</f>
        <v>0</v>
      </c>
      <c r="F9" s="89">
        <f>Gameplay!$D$17</f>
        <v>0</v>
      </c>
      <c r="G9" s="89">
        <f>Gameplay!$D$17</f>
        <v>0</v>
      </c>
      <c r="H9" s="89">
        <f>Gameplay!$D$17</f>
        <v>0</v>
      </c>
      <c r="I9" s="89">
        <f>Gameplay!$D$17</f>
        <v>0</v>
      </c>
      <c r="J9" s="89">
        <f>Gameplay!$D$17</f>
        <v>0</v>
      </c>
      <c r="K9" s="89">
        <f>Gameplay!$D$17</f>
        <v>0</v>
      </c>
      <c r="L9" s="89">
        <f>Gameplay!$D$17</f>
        <v>0</v>
      </c>
    </row>
    <row r="10" spans="1:15" x14ac:dyDescent="0.25">
      <c r="A10" t="s">
        <v>187</v>
      </c>
      <c r="B10" s="89">
        <v>0</v>
      </c>
      <c r="C10" s="89">
        <f>Gameplay!$D$18</f>
        <v>0</v>
      </c>
      <c r="D10" s="89">
        <f>Gameplay!$D$18</f>
        <v>0</v>
      </c>
      <c r="E10" s="89">
        <f>Gameplay!$D$18</f>
        <v>0</v>
      </c>
      <c r="F10" s="89">
        <f>Gameplay!$D$18</f>
        <v>0</v>
      </c>
      <c r="G10" s="89">
        <f>Gameplay!$D$18</f>
        <v>0</v>
      </c>
      <c r="H10" s="89">
        <f>Gameplay!$D$18</f>
        <v>0</v>
      </c>
      <c r="I10" s="89">
        <f>Gameplay!$D$18</f>
        <v>0</v>
      </c>
      <c r="J10" s="89">
        <f>Gameplay!$D$18</f>
        <v>0</v>
      </c>
      <c r="K10" s="89">
        <f>Gameplay!$D$18</f>
        <v>0</v>
      </c>
      <c r="L10" s="89">
        <f>Gameplay!$D$18</f>
        <v>0</v>
      </c>
    </row>
    <row r="11" spans="1:15" x14ac:dyDescent="0.25">
      <c r="A11" t="s">
        <v>186</v>
      </c>
      <c r="B11" s="89">
        <v>0</v>
      </c>
      <c r="C11" s="89">
        <f>Gameplay!$D$19</f>
        <v>0</v>
      </c>
      <c r="D11" s="89">
        <f>Gameplay!$D$19</f>
        <v>0</v>
      </c>
      <c r="E11" s="89">
        <f>Gameplay!$D$19</f>
        <v>0</v>
      </c>
      <c r="F11" s="89">
        <f>Gameplay!$D$19</f>
        <v>0</v>
      </c>
      <c r="G11" s="89">
        <f>Gameplay!$D$19</f>
        <v>0</v>
      </c>
      <c r="H11" s="89">
        <f>Gameplay!$D$19</f>
        <v>0</v>
      </c>
      <c r="I11" s="89">
        <f>Gameplay!$D$19</f>
        <v>0</v>
      </c>
      <c r="J11" s="89">
        <f>Gameplay!$D$19</f>
        <v>0</v>
      </c>
      <c r="K11" s="89">
        <f>Gameplay!$D$19</f>
        <v>0</v>
      </c>
      <c r="L11" s="89">
        <f>Gameplay!$D$19</f>
        <v>0</v>
      </c>
    </row>
    <row r="12" spans="1:15" x14ac:dyDescent="0.25">
      <c r="A12" t="s">
        <v>41</v>
      </c>
      <c r="B12" s="89">
        <v>0</v>
      </c>
      <c r="C12" s="89">
        <f>Gameplay!$D$20</f>
        <v>0</v>
      </c>
      <c r="D12" s="89">
        <f>Gameplay!$D$20</f>
        <v>0</v>
      </c>
      <c r="E12" s="89">
        <f>Gameplay!$D$20</f>
        <v>0</v>
      </c>
      <c r="F12" s="89">
        <f>Gameplay!$D$20</f>
        <v>0</v>
      </c>
      <c r="G12" s="89">
        <f>Gameplay!$D$20</f>
        <v>0</v>
      </c>
      <c r="H12" s="89">
        <f>Gameplay!$D$20</f>
        <v>0</v>
      </c>
      <c r="I12" s="89">
        <f>Gameplay!$D$20</f>
        <v>0</v>
      </c>
      <c r="J12" s="89">
        <f>Gameplay!$D$20</f>
        <v>0</v>
      </c>
      <c r="K12" s="89">
        <f>Gameplay!$D$20</f>
        <v>0</v>
      </c>
      <c r="L12" s="89">
        <f>Gameplay!$D$20</f>
        <v>0</v>
      </c>
    </row>
    <row r="13" spans="1:15" x14ac:dyDescent="0.25">
      <c r="A13" t="s">
        <v>444</v>
      </c>
      <c r="B13" s="89">
        <v>0</v>
      </c>
      <c r="C13" s="89">
        <f>Gameplay!$D$22</f>
        <v>0</v>
      </c>
      <c r="D13" s="89">
        <f>Gameplay!$D$22</f>
        <v>0</v>
      </c>
      <c r="E13" s="89">
        <f>Gameplay!$D$22</f>
        <v>0</v>
      </c>
      <c r="F13" s="89">
        <f>Gameplay!$D$22</f>
        <v>0</v>
      </c>
      <c r="G13" s="89">
        <f>Gameplay!$D$22</f>
        <v>0</v>
      </c>
      <c r="H13" s="89">
        <f>Gameplay!$D$22</f>
        <v>0</v>
      </c>
      <c r="I13" s="89">
        <f>Gameplay!$D$22</f>
        <v>0</v>
      </c>
      <c r="J13" s="89">
        <f>Gameplay!$D$22</f>
        <v>0</v>
      </c>
      <c r="K13" s="89">
        <f>Gameplay!$D$22</f>
        <v>0</v>
      </c>
      <c r="L13" s="89">
        <f>Gameplay!$D$22</f>
        <v>0</v>
      </c>
    </row>
    <row r="15" spans="1:15" x14ac:dyDescent="0.25">
      <c r="A15" s="9" t="s">
        <v>349</v>
      </c>
      <c r="B15" s="9">
        <v>0</v>
      </c>
      <c r="C15" s="9">
        <v>1</v>
      </c>
      <c r="D15" s="9">
        <v>2</v>
      </c>
      <c r="E15" s="9">
        <v>3</v>
      </c>
      <c r="F15" s="9">
        <v>4</v>
      </c>
      <c r="G15" s="9">
        <v>5</v>
      </c>
      <c r="H15" s="9">
        <v>6</v>
      </c>
      <c r="I15" s="9">
        <v>7</v>
      </c>
      <c r="J15" s="9">
        <v>8</v>
      </c>
      <c r="K15" s="9">
        <v>9</v>
      </c>
      <c r="L15" s="9">
        <v>10</v>
      </c>
    </row>
    <row r="16" spans="1:15" x14ac:dyDescent="0.25">
      <c r="B16">
        <f>MAX(1*(INDEX('Event Tracker'!$B$7:$L$7,1,MATCH('Event Tracker'!$P$1,'Event Tracker'!$B$1:$L$1,0))*'Game Assumptions'!$B$128),1)</f>
        <v>1</v>
      </c>
      <c r="C16">
        <f>MAX(1*(INDEX('Event Tracker'!$B$7:$L$7,1,MATCH('Event Tracker'!$P$1,'Event Tracker'!$B$1:$L$1,0))*'Game Assumptions'!$B$128),1)</f>
        <v>1</v>
      </c>
      <c r="D16">
        <f>MAX(1*(INDEX('Event Tracker'!$B$7:$L$7,1,MATCH('Event Tracker'!$P$1,'Event Tracker'!$B$1:$L$1,0))*'Game Assumptions'!$B$128),1)</f>
        <v>1</v>
      </c>
      <c r="E16">
        <f>MAX(1*(INDEX('Event Tracker'!$B$7:$L$7,1,MATCH('Event Tracker'!$P$1,'Event Tracker'!$B$1:$L$1,0))*'Game Assumptions'!$B$128),1)</f>
        <v>1</v>
      </c>
      <c r="F16">
        <f>MAX(1*(INDEX('Event Tracker'!$B$7:$L$7,1,MATCH('Event Tracker'!$P$1,'Event Tracker'!$B$1:$L$1,0))*'Game Assumptions'!$B$128),1)</f>
        <v>1</v>
      </c>
      <c r="G16">
        <f>MAX(1*(INDEX('Event Tracker'!$B$7:$L$7,1,MATCH('Event Tracker'!$P$1,'Event Tracker'!$B$1:$L$1,0))*'Game Assumptions'!$B$128),1)</f>
        <v>1</v>
      </c>
      <c r="H16">
        <f>MAX(1*(INDEX('Event Tracker'!$B$7:$L$7,1,MATCH('Event Tracker'!$P$1,'Event Tracker'!$B$1:$L$1,0))*'Game Assumptions'!$B$128),1)</f>
        <v>1</v>
      </c>
      <c r="I16">
        <f>MAX(1*(INDEX('Event Tracker'!$B$7:$L$7,1,MATCH('Event Tracker'!$P$1,'Event Tracker'!$B$1:$L$1,0))*'Game Assumptions'!$B$128),1)</f>
        <v>1</v>
      </c>
      <c r="J16">
        <f>MAX(1*(INDEX('Event Tracker'!$B$7:$L$7,1,MATCH('Event Tracker'!$P$1,'Event Tracker'!$B$1:$L$1,0))*'Game Assumptions'!$B$128),1)</f>
        <v>1</v>
      </c>
      <c r="K16">
        <f>MAX(1*(INDEX('Event Tracker'!$B$7:$L$7,1,MATCH('Event Tracker'!$P$1,'Event Tracker'!$B$1:$L$1,0))*'Game Assumptions'!$B$128),1)</f>
        <v>1</v>
      </c>
      <c r="L16">
        <f>MAX(1*(INDEX('Event Tracker'!$B$7:$L$7,1,MATCH('Event Tracker'!$P$1,'Event Tracker'!$B$1:$L$1,0))*'Game Assumptions'!$B$128),1)</f>
        <v>1</v>
      </c>
    </row>
    <row r="18" spans="1:12" x14ac:dyDescent="0.25">
      <c r="A18" s="9" t="s">
        <v>189</v>
      </c>
      <c r="B18" s="9">
        <v>0</v>
      </c>
      <c r="C18" s="9">
        <v>1</v>
      </c>
      <c r="D18" s="9">
        <v>2</v>
      </c>
      <c r="E18" s="9">
        <v>3</v>
      </c>
      <c r="F18" s="9">
        <v>4</v>
      </c>
      <c r="G18" s="9">
        <v>5</v>
      </c>
      <c r="H18" s="9">
        <v>6</v>
      </c>
      <c r="I18" s="9">
        <v>7</v>
      </c>
      <c r="J18" s="9">
        <v>8</v>
      </c>
      <c r="K18" s="9">
        <v>9</v>
      </c>
      <c r="L18" s="9">
        <v>10</v>
      </c>
    </row>
    <row r="19" spans="1:12" x14ac:dyDescent="0.25">
      <c r="A19" t="s">
        <v>213</v>
      </c>
      <c r="B19">
        <f>(B9+B2)*$B$16</f>
        <v>100</v>
      </c>
      <c r="C19">
        <f t="shared" ref="C19:L19" si="1">(C9+B19)*$B$16</f>
        <v>100</v>
      </c>
      <c r="D19">
        <f t="shared" si="1"/>
        <v>100</v>
      </c>
      <c r="E19">
        <f t="shared" si="1"/>
        <v>100</v>
      </c>
      <c r="F19">
        <f t="shared" si="1"/>
        <v>100</v>
      </c>
      <c r="G19">
        <f t="shared" si="1"/>
        <v>100</v>
      </c>
      <c r="H19">
        <f t="shared" si="1"/>
        <v>100</v>
      </c>
      <c r="I19">
        <f t="shared" si="1"/>
        <v>100</v>
      </c>
      <c r="J19">
        <f t="shared" si="1"/>
        <v>100</v>
      </c>
      <c r="K19">
        <f t="shared" si="1"/>
        <v>100</v>
      </c>
      <c r="L19">
        <f t="shared" si="1"/>
        <v>100</v>
      </c>
    </row>
    <row r="20" spans="1:12" x14ac:dyDescent="0.25">
      <c r="A20" t="s">
        <v>187</v>
      </c>
      <c r="B20">
        <f>(B10+B3)*$B$16</f>
        <v>10</v>
      </c>
      <c r="C20">
        <f t="shared" ref="C20:L20" si="2">(C10+B20)*$B$16</f>
        <v>10</v>
      </c>
      <c r="D20">
        <f t="shared" si="2"/>
        <v>10</v>
      </c>
      <c r="E20">
        <f t="shared" si="2"/>
        <v>10</v>
      </c>
      <c r="F20">
        <f t="shared" si="2"/>
        <v>10</v>
      </c>
      <c r="G20">
        <f t="shared" si="2"/>
        <v>10</v>
      </c>
      <c r="H20">
        <f t="shared" si="2"/>
        <v>10</v>
      </c>
      <c r="I20">
        <f t="shared" si="2"/>
        <v>10</v>
      </c>
      <c r="J20">
        <f t="shared" si="2"/>
        <v>10</v>
      </c>
      <c r="K20">
        <f t="shared" si="2"/>
        <v>10</v>
      </c>
      <c r="L20">
        <f t="shared" si="2"/>
        <v>10</v>
      </c>
    </row>
    <row r="21" spans="1:12" x14ac:dyDescent="0.25">
      <c r="A21" t="s">
        <v>186</v>
      </c>
      <c r="B21">
        <f>(B11+B4)*$B$16</f>
        <v>35</v>
      </c>
      <c r="C21">
        <f t="shared" ref="C21:L21" si="3">(C11+B21)*$B$16</f>
        <v>35</v>
      </c>
      <c r="D21">
        <f t="shared" si="3"/>
        <v>35</v>
      </c>
      <c r="E21">
        <f t="shared" si="3"/>
        <v>35</v>
      </c>
      <c r="F21">
        <f t="shared" si="3"/>
        <v>35</v>
      </c>
      <c r="G21">
        <f t="shared" si="3"/>
        <v>35</v>
      </c>
      <c r="H21">
        <f t="shared" si="3"/>
        <v>35</v>
      </c>
      <c r="I21">
        <f t="shared" si="3"/>
        <v>35</v>
      </c>
      <c r="J21">
        <f t="shared" si="3"/>
        <v>35</v>
      </c>
      <c r="K21">
        <f t="shared" si="3"/>
        <v>35</v>
      </c>
      <c r="L21">
        <f t="shared" si="3"/>
        <v>35</v>
      </c>
    </row>
    <row r="22" spans="1:12" x14ac:dyDescent="0.25">
      <c r="A22" t="s">
        <v>41</v>
      </c>
      <c r="B22">
        <f>(B12+B5)*$B$16</f>
        <v>35</v>
      </c>
      <c r="C22">
        <f t="shared" ref="C22:L22" si="4">(C12+B22)*$B$16</f>
        <v>35</v>
      </c>
      <c r="D22">
        <f t="shared" si="4"/>
        <v>35</v>
      </c>
      <c r="E22">
        <f t="shared" si="4"/>
        <v>35</v>
      </c>
      <c r="F22">
        <f t="shared" si="4"/>
        <v>35</v>
      </c>
      <c r="G22">
        <f t="shared" si="4"/>
        <v>35</v>
      </c>
      <c r="H22">
        <f t="shared" si="4"/>
        <v>35</v>
      </c>
      <c r="I22">
        <f t="shared" si="4"/>
        <v>35</v>
      </c>
      <c r="J22">
        <f t="shared" si="4"/>
        <v>35</v>
      </c>
      <c r="K22">
        <f t="shared" si="4"/>
        <v>35</v>
      </c>
      <c r="L22">
        <f t="shared" si="4"/>
        <v>35</v>
      </c>
    </row>
    <row r="23" spans="1:12" x14ac:dyDescent="0.25">
      <c r="A23" t="s">
        <v>444</v>
      </c>
      <c r="B23" s="16">
        <f>(B13+B6)*$B$16</f>
        <v>1771.4840182648402</v>
      </c>
      <c r="C23" s="16">
        <f t="shared" ref="C23:L23" si="5">(C13+C6)*$B$16</f>
        <v>1771.4840182648402</v>
      </c>
      <c r="D23" s="16">
        <f t="shared" si="5"/>
        <v>1771.4840182648402</v>
      </c>
      <c r="E23" s="16">
        <f t="shared" si="5"/>
        <v>1771.4840182648402</v>
      </c>
      <c r="F23" s="16">
        <f t="shared" si="5"/>
        <v>1771.4840182648402</v>
      </c>
      <c r="G23" s="16">
        <f t="shared" si="5"/>
        <v>1771.4840182648402</v>
      </c>
      <c r="H23" s="16">
        <f t="shared" si="5"/>
        <v>1771.4840182648402</v>
      </c>
      <c r="I23" s="16">
        <f t="shared" si="5"/>
        <v>1771.4840182648402</v>
      </c>
      <c r="J23" s="16">
        <f t="shared" si="5"/>
        <v>1771.4840182648402</v>
      </c>
      <c r="K23" s="16">
        <f t="shared" si="5"/>
        <v>1771.4840182648402</v>
      </c>
      <c r="L23" s="16">
        <f t="shared" si="5"/>
        <v>1771.4840182648402</v>
      </c>
    </row>
    <row r="24" spans="1:12" x14ac:dyDescent="0.25">
      <c r="A24" t="s">
        <v>300</v>
      </c>
      <c r="B24" s="89">
        <f>'Resource Mix and Demand'!B30</f>
        <v>10</v>
      </c>
      <c r="C24" s="89">
        <f>'Resource Mix and Demand'!C30</f>
        <v>10</v>
      </c>
      <c r="D24" s="89">
        <f>'Resource Mix and Demand'!D30</f>
        <v>10</v>
      </c>
      <c r="E24" s="89">
        <f>'Resource Mix and Demand'!E30</f>
        <v>10</v>
      </c>
      <c r="F24" s="89">
        <f>'Resource Mix and Demand'!F30</f>
        <v>10</v>
      </c>
      <c r="G24" s="89">
        <f>'Resource Mix and Demand'!G30</f>
        <v>10</v>
      </c>
      <c r="H24" s="89">
        <f>'Resource Mix and Demand'!H30</f>
        <v>10</v>
      </c>
      <c r="I24" s="89">
        <f>'Resource Mix and Demand'!I30</f>
        <v>10</v>
      </c>
      <c r="J24" s="89">
        <f>'Resource Mix and Demand'!J30</f>
        <v>10</v>
      </c>
      <c r="K24" s="89">
        <f>'Resource Mix and Demand'!K30</f>
        <v>10</v>
      </c>
      <c r="L24" s="89">
        <f>'Resource Mix and Demand'!L30</f>
        <v>10</v>
      </c>
    </row>
    <row r="25" spans="1:12" x14ac:dyDescent="0.25">
      <c r="A25" t="s">
        <v>301</v>
      </c>
      <c r="B25" s="89">
        <f>'Resource Mix and Demand'!B31</f>
        <v>10</v>
      </c>
      <c r="C25" s="89">
        <f>'Resource Mix and Demand'!C31</f>
        <v>16</v>
      </c>
      <c r="D25" s="89">
        <f>'Resource Mix and Demand'!D31</f>
        <v>23</v>
      </c>
      <c r="E25" s="89">
        <f>'Resource Mix and Demand'!E31</f>
        <v>31</v>
      </c>
      <c r="F25" s="89">
        <f>'Resource Mix and Demand'!F31</f>
        <v>40</v>
      </c>
      <c r="G25" s="89">
        <f>'Resource Mix and Demand'!G31</f>
        <v>50</v>
      </c>
      <c r="H25" s="89">
        <f>'Resource Mix and Demand'!H31</f>
        <v>61</v>
      </c>
      <c r="I25" s="89">
        <f>'Resource Mix and Demand'!I31</f>
        <v>73</v>
      </c>
      <c r="J25" s="89">
        <f>'Resource Mix and Demand'!J31</f>
        <v>86</v>
      </c>
      <c r="K25" s="89">
        <f>'Resource Mix and Demand'!K31</f>
        <v>100</v>
      </c>
      <c r="L25" s="89">
        <f>'Resource Mix and Demand'!L31</f>
        <v>115</v>
      </c>
    </row>
    <row r="26" spans="1:12" x14ac:dyDescent="0.25">
      <c r="A26" t="s">
        <v>302</v>
      </c>
      <c r="B26" s="89">
        <f>'Resource Mix and Demand'!B32</f>
        <v>10</v>
      </c>
      <c r="C26" s="89">
        <f>'Resource Mix and Demand'!C32</f>
        <v>15</v>
      </c>
      <c r="D26" s="89">
        <f>'Resource Mix and Demand'!D32</f>
        <v>21</v>
      </c>
      <c r="E26" s="89">
        <f>'Resource Mix and Demand'!E32</f>
        <v>28</v>
      </c>
      <c r="F26" s="89">
        <f>'Resource Mix and Demand'!F32</f>
        <v>36</v>
      </c>
      <c r="G26" s="89">
        <f>'Resource Mix and Demand'!G32</f>
        <v>45</v>
      </c>
      <c r="H26" s="89">
        <f>'Resource Mix and Demand'!H32</f>
        <v>55</v>
      </c>
      <c r="I26" s="89">
        <f>'Resource Mix and Demand'!I32</f>
        <v>66</v>
      </c>
      <c r="J26" s="89">
        <f>'Resource Mix and Demand'!J32</f>
        <v>78</v>
      </c>
      <c r="K26" s="89">
        <f>'Resource Mix and Demand'!K32</f>
        <v>91</v>
      </c>
      <c r="L26" s="89">
        <f>'Resource Mix and Demand'!L32</f>
        <v>105</v>
      </c>
    </row>
    <row r="28" spans="1:12" x14ac:dyDescent="0.25">
      <c r="A28" s="9" t="s">
        <v>190</v>
      </c>
      <c r="B28" s="9">
        <v>0</v>
      </c>
      <c r="C28" s="9">
        <v>1</v>
      </c>
      <c r="D28" s="9">
        <v>2</v>
      </c>
      <c r="E28" s="9">
        <v>3</v>
      </c>
      <c r="F28" s="9">
        <v>4</v>
      </c>
      <c r="G28" s="9">
        <v>5</v>
      </c>
      <c r="H28" s="9">
        <v>6</v>
      </c>
      <c r="I28" s="9">
        <v>7</v>
      </c>
      <c r="J28" s="9">
        <v>8</v>
      </c>
      <c r="K28" s="9">
        <v>9</v>
      </c>
      <c r="L28" s="9">
        <v>10</v>
      </c>
    </row>
    <row r="29" spans="1:12" x14ac:dyDescent="0.25">
      <c r="A29" t="s">
        <v>213</v>
      </c>
      <c r="B29">
        <f>'Game Assumptions'!B95</f>
        <v>7.7837837837837833</v>
      </c>
      <c r="C29">
        <f>B29</f>
        <v>7.7837837837837833</v>
      </c>
      <c r="D29">
        <f t="shared" ref="D29:L29" si="6">C29</f>
        <v>7.7837837837837833</v>
      </c>
      <c r="E29">
        <f t="shared" si="6"/>
        <v>7.7837837837837833</v>
      </c>
      <c r="F29">
        <f t="shared" si="6"/>
        <v>7.7837837837837833</v>
      </c>
      <c r="G29">
        <f t="shared" si="6"/>
        <v>7.7837837837837833</v>
      </c>
      <c r="H29">
        <f t="shared" si="6"/>
        <v>7.7837837837837833</v>
      </c>
      <c r="I29">
        <f t="shared" si="6"/>
        <v>7.7837837837837833</v>
      </c>
      <c r="J29">
        <f t="shared" si="6"/>
        <v>7.7837837837837833</v>
      </c>
      <c r="K29">
        <f t="shared" si="6"/>
        <v>7.7837837837837833</v>
      </c>
      <c r="L29">
        <f t="shared" si="6"/>
        <v>7.7837837837837833</v>
      </c>
    </row>
    <row r="30" spans="1:12" x14ac:dyDescent="0.25">
      <c r="A30" t="s">
        <v>187</v>
      </c>
      <c r="B30">
        <f>'Game Assumptions'!B96</f>
        <v>7.7837837837837833</v>
      </c>
      <c r="C30">
        <f t="shared" ref="C30:L32" si="7">B30</f>
        <v>7.7837837837837833</v>
      </c>
      <c r="D30">
        <f t="shared" si="7"/>
        <v>7.7837837837837833</v>
      </c>
      <c r="E30">
        <f t="shared" si="7"/>
        <v>7.7837837837837833</v>
      </c>
      <c r="F30">
        <f t="shared" si="7"/>
        <v>7.7837837837837833</v>
      </c>
      <c r="G30">
        <f t="shared" si="7"/>
        <v>7.7837837837837833</v>
      </c>
      <c r="H30">
        <f t="shared" si="7"/>
        <v>7.7837837837837833</v>
      </c>
      <c r="I30">
        <f t="shared" si="7"/>
        <v>7.7837837837837833</v>
      </c>
      <c r="J30">
        <f t="shared" si="7"/>
        <v>7.7837837837837833</v>
      </c>
      <c r="K30">
        <f t="shared" si="7"/>
        <v>7.7837837837837833</v>
      </c>
      <c r="L30">
        <f t="shared" si="7"/>
        <v>7.7837837837837833</v>
      </c>
    </row>
    <row r="31" spans="1:12" x14ac:dyDescent="0.25">
      <c r="A31" t="s">
        <v>186</v>
      </c>
      <c r="B31">
        <f>'Game Assumptions'!B99</f>
        <v>3.9782233435134779</v>
      </c>
      <c r="C31">
        <f t="shared" si="7"/>
        <v>3.9782233435134779</v>
      </c>
      <c r="D31">
        <f t="shared" si="7"/>
        <v>3.9782233435134779</v>
      </c>
      <c r="E31">
        <f t="shared" si="7"/>
        <v>3.9782233435134779</v>
      </c>
      <c r="F31">
        <f t="shared" si="7"/>
        <v>3.9782233435134779</v>
      </c>
      <c r="G31">
        <f t="shared" si="7"/>
        <v>3.9782233435134779</v>
      </c>
      <c r="H31">
        <f t="shared" si="7"/>
        <v>3.9782233435134779</v>
      </c>
      <c r="I31">
        <f t="shared" si="7"/>
        <v>3.9782233435134779</v>
      </c>
      <c r="J31">
        <f t="shared" si="7"/>
        <v>3.9782233435134779</v>
      </c>
      <c r="K31">
        <f t="shared" si="7"/>
        <v>3.9782233435134779</v>
      </c>
      <c r="L31">
        <f t="shared" si="7"/>
        <v>3.9782233435134779</v>
      </c>
    </row>
    <row r="32" spans="1:12" x14ac:dyDescent="0.25">
      <c r="A32" t="s">
        <v>41</v>
      </c>
      <c r="B32">
        <f>'Game Assumptions'!B100</f>
        <v>1.6666666666666665</v>
      </c>
      <c r="C32">
        <f t="shared" si="7"/>
        <v>1.6666666666666665</v>
      </c>
      <c r="D32">
        <f t="shared" si="7"/>
        <v>1.6666666666666665</v>
      </c>
      <c r="E32">
        <f t="shared" si="7"/>
        <v>1.6666666666666665</v>
      </c>
      <c r="F32">
        <f t="shared" si="7"/>
        <v>1.6666666666666665</v>
      </c>
      <c r="G32">
        <f t="shared" si="7"/>
        <v>1.6666666666666665</v>
      </c>
      <c r="H32">
        <f t="shared" si="7"/>
        <v>1.6666666666666665</v>
      </c>
      <c r="I32">
        <f t="shared" si="7"/>
        <v>1.6666666666666665</v>
      </c>
      <c r="J32">
        <f t="shared" si="7"/>
        <v>1.6666666666666665</v>
      </c>
      <c r="K32">
        <f t="shared" si="7"/>
        <v>1.6666666666666665</v>
      </c>
      <c r="L32">
        <f t="shared" si="7"/>
        <v>1.6666666666666665</v>
      </c>
    </row>
    <row r="34" spans="1:12" x14ac:dyDescent="0.25">
      <c r="A34" s="9" t="s">
        <v>195</v>
      </c>
      <c r="B34" s="9">
        <v>0</v>
      </c>
      <c r="C34" s="9">
        <v>1</v>
      </c>
      <c r="D34" s="9">
        <v>2</v>
      </c>
      <c r="E34" s="9">
        <v>3</v>
      </c>
      <c r="F34" s="9">
        <v>4</v>
      </c>
      <c r="G34" s="9">
        <v>5</v>
      </c>
      <c r="H34" s="9">
        <v>6</v>
      </c>
      <c r="I34" s="9">
        <v>7</v>
      </c>
      <c r="J34" s="9">
        <v>8</v>
      </c>
      <c r="K34" s="9">
        <v>9</v>
      </c>
      <c r="L34" s="9">
        <v>10</v>
      </c>
    </row>
    <row r="35" spans="1:12" x14ac:dyDescent="0.25">
      <c r="A35" t="s">
        <v>194</v>
      </c>
      <c r="B35">
        <f>'Game Assumptions'!B106</f>
        <v>5000</v>
      </c>
      <c r="C35">
        <f>B35</f>
        <v>5000</v>
      </c>
      <c r="D35">
        <f t="shared" ref="D35:L35" si="8">C35</f>
        <v>5000</v>
      </c>
      <c r="E35">
        <f t="shared" si="8"/>
        <v>5000</v>
      </c>
      <c r="F35">
        <f t="shared" si="8"/>
        <v>5000</v>
      </c>
      <c r="G35">
        <f t="shared" si="8"/>
        <v>5000</v>
      </c>
      <c r="H35">
        <f t="shared" si="8"/>
        <v>5000</v>
      </c>
      <c r="I35">
        <f t="shared" si="8"/>
        <v>5000</v>
      </c>
      <c r="J35">
        <f t="shared" si="8"/>
        <v>5000</v>
      </c>
      <c r="K35">
        <f t="shared" si="8"/>
        <v>5000</v>
      </c>
      <c r="L35">
        <f t="shared" si="8"/>
        <v>5000</v>
      </c>
    </row>
    <row r="37" spans="1:12" x14ac:dyDescent="0.25">
      <c r="A37" s="9" t="s">
        <v>196</v>
      </c>
      <c r="B37" s="9">
        <v>0</v>
      </c>
      <c r="C37" s="9">
        <v>1</v>
      </c>
      <c r="D37" s="9">
        <v>2</v>
      </c>
      <c r="E37" s="9">
        <v>3</v>
      </c>
      <c r="F37" s="9">
        <v>4</v>
      </c>
      <c r="G37" s="9">
        <v>5</v>
      </c>
      <c r="H37" s="9">
        <v>6</v>
      </c>
      <c r="I37" s="9">
        <v>7</v>
      </c>
      <c r="J37" s="9">
        <v>8</v>
      </c>
      <c r="K37" s="9">
        <v>9</v>
      </c>
      <c r="L37" s="9">
        <v>10</v>
      </c>
    </row>
    <row r="38" spans="1:12" x14ac:dyDescent="0.25">
      <c r="A38" t="s">
        <v>194</v>
      </c>
      <c r="B38" s="89">
        <v>0</v>
      </c>
      <c r="C38" s="89">
        <f>Gameplay!$D$21</f>
        <v>0</v>
      </c>
      <c r="D38" s="89">
        <f>Gameplay!$D$21</f>
        <v>0</v>
      </c>
      <c r="E38" s="89">
        <f>Gameplay!$D$21</f>
        <v>0</v>
      </c>
      <c r="F38" s="89">
        <f>Gameplay!$D$21</f>
        <v>0</v>
      </c>
      <c r="G38" s="89">
        <f>Gameplay!$D$21</f>
        <v>0</v>
      </c>
      <c r="H38" s="89">
        <f>Gameplay!$D$21</f>
        <v>0</v>
      </c>
      <c r="I38" s="89">
        <f>Gameplay!$D$21</f>
        <v>0</v>
      </c>
      <c r="J38" s="89">
        <f>Gameplay!$D$21</f>
        <v>0</v>
      </c>
      <c r="K38" s="89">
        <f>Gameplay!$D$21</f>
        <v>0</v>
      </c>
      <c r="L38" s="89">
        <f>Gameplay!$D$21</f>
        <v>0</v>
      </c>
    </row>
    <row r="39" spans="1:12" x14ac:dyDescent="0.25">
      <c r="B39" s="89"/>
      <c r="C39" s="89"/>
      <c r="D39" s="89"/>
      <c r="E39" s="89"/>
      <c r="F39" s="89"/>
      <c r="G39" s="89"/>
      <c r="H39" s="89"/>
      <c r="I39" s="89"/>
      <c r="J39" s="89"/>
      <c r="K39" s="89"/>
      <c r="L39" s="89"/>
    </row>
    <row r="40" spans="1:12" x14ac:dyDescent="0.25">
      <c r="A40" s="9" t="s">
        <v>197</v>
      </c>
      <c r="B40" s="9">
        <v>0</v>
      </c>
      <c r="C40" s="9">
        <v>1</v>
      </c>
      <c r="D40" s="9">
        <v>2</v>
      </c>
      <c r="E40" s="9">
        <v>3</v>
      </c>
      <c r="F40" s="9">
        <v>4</v>
      </c>
      <c r="G40" s="9">
        <v>5</v>
      </c>
      <c r="H40" s="9">
        <v>6</v>
      </c>
      <c r="I40" s="9">
        <v>7</v>
      </c>
      <c r="J40" s="9">
        <v>8</v>
      </c>
      <c r="K40" s="9">
        <v>9</v>
      </c>
      <c r="L40" s="9">
        <v>10</v>
      </c>
    </row>
    <row r="41" spans="1:12" x14ac:dyDescent="0.25">
      <c r="A41" t="s">
        <v>194</v>
      </c>
      <c r="B41">
        <f>B38+B35</f>
        <v>5000</v>
      </c>
      <c r="C41">
        <f>C38+B41</f>
        <v>5000</v>
      </c>
      <c r="D41">
        <f t="shared" ref="D41:L41" si="9">D38+C41</f>
        <v>5000</v>
      </c>
      <c r="E41">
        <f t="shared" si="9"/>
        <v>5000</v>
      </c>
      <c r="F41">
        <f t="shared" si="9"/>
        <v>5000</v>
      </c>
      <c r="G41">
        <f t="shared" si="9"/>
        <v>5000</v>
      </c>
      <c r="H41">
        <f t="shared" si="9"/>
        <v>5000</v>
      </c>
      <c r="I41">
        <f t="shared" si="9"/>
        <v>5000</v>
      </c>
      <c r="J41">
        <f t="shared" si="9"/>
        <v>5000</v>
      </c>
      <c r="K41">
        <f t="shared" si="9"/>
        <v>5000</v>
      </c>
      <c r="L41">
        <f t="shared" si="9"/>
        <v>5000</v>
      </c>
    </row>
    <row r="43" spans="1:12" x14ac:dyDescent="0.25">
      <c r="A43" s="9" t="s">
        <v>198</v>
      </c>
      <c r="B43" s="9">
        <v>0</v>
      </c>
      <c r="C43" s="9">
        <v>1</v>
      </c>
      <c r="D43" s="9">
        <v>2</v>
      </c>
      <c r="E43" s="9">
        <v>3</v>
      </c>
      <c r="F43" s="9">
        <v>4</v>
      </c>
      <c r="G43" s="9">
        <v>5</v>
      </c>
      <c r="H43" s="9">
        <v>6</v>
      </c>
      <c r="I43" s="9">
        <v>7</v>
      </c>
      <c r="J43" s="9">
        <v>8</v>
      </c>
      <c r="K43" s="9">
        <v>9</v>
      </c>
      <c r="L43" s="9">
        <v>10</v>
      </c>
    </row>
    <row r="44" spans="1:12" x14ac:dyDescent="0.25">
      <c r="A44" t="s">
        <v>199</v>
      </c>
      <c r="B44">
        <v>0</v>
      </c>
      <c r="C44">
        <f>(C41-B41)/B41</f>
        <v>0</v>
      </c>
      <c r="D44">
        <f t="shared" ref="D44:L44" si="10">(D41-C41)/C41</f>
        <v>0</v>
      </c>
      <c r="E44">
        <f t="shared" si="10"/>
        <v>0</v>
      </c>
      <c r="F44">
        <f t="shared" si="10"/>
        <v>0</v>
      </c>
      <c r="G44">
        <f t="shared" si="10"/>
        <v>0</v>
      </c>
      <c r="H44">
        <f t="shared" si="10"/>
        <v>0</v>
      </c>
      <c r="I44">
        <f t="shared" si="10"/>
        <v>0</v>
      </c>
      <c r="J44">
        <f t="shared" si="10"/>
        <v>0</v>
      </c>
      <c r="K44">
        <f t="shared" si="10"/>
        <v>0</v>
      </c>
      <c r="L44">
        <f t="shared" si="10"/>
        <v>0</v>
      </c>
    </row>
    <row r="46" spans="1:12" x14ac:dyDescent="0.25">
      <c r="A46" s="9" t="s">
        <v>182</v>
      </c>
      <c r="B46" s="9">
        <v>0</v>
      </c>
      <c r="C46" s="9">
        <v>1</v>
      </c>
      <c r="D46" s="9">
        <v>2</v>
      </c>
      <c r="E46" s="9">
        <v>3</v>
      </c>
      <c r="F46" s="9">
        <v>4</v>
      </c>
      <c r="G46" s="9">
        <v>5</v>
      </c>
      <c r="H46" s="9">
        <v>6</v>
      </c>
      <c r="I46" s="9">
        <v>7</v>
      </c>
      <c r="J46" s="9">
        <v>8</v>
      </c>
      <c r="K46" s="9">
        <v>9</v>
      </c>
      <c r="L46" s="9">
        <v>10</v>
      </c>
    </row>
    <row r="47" spans="1:12" x14ac:dyDescent="0.25">
      <c r="A47" t="s">
        <v>200</v>
      </c>
      <c r="B47">
        <f>'Game Assumptions'!$B$103</f>
        <v>0.186</v>
      </c>
      <c r="C47">
        <f>(1+C44)*B47</f>
        <v>0.186</v>
      </c>
      <c r="D47">
        <f t="shared" ref="D47:L47" si="11">(1+D44)*C47</f>
        <v>0.186</v>
      </c>
      <c r="E47">
        <f t="shared" si="11"/>
        <v>0.186</v>
      </c>
      <c r="F47">
        <f t="shared" si="11"/>
        <v>0.186</v>
      </c>
      <c r="G47">
        <f t="shared" si="11"/>
        <v>0.186</v>
      </c>
      <c r="H47">
        <f t="shared" si="11"/>
        <v>0.186</v>
      </c>
      <c r="I47">
        <f t="shared" si="11"/>
        <v>0.186</v>
      </c>
      <c r="J47">
        <f t="shared" si="11"/>
        <v>0.186</v>
      </c>
      <c r="K47">
        <f t="shared" si="11"/>
        <v>0.186</v>
      </c>
      <c r="L47">
        <f t="shared" si="11"/>
        <v>0.186</v>
      </c>
    </row>
    <row r="49" spans="1:12" x14ac:dyDescent="0.25">
      <c r="A49" s="9" t="s">
        <v>289</v>
      </c>
      <c r="B49" s="9">
        <v>0</v>
      </c>
      <c r="C49" s="9">
        <v>1</v>
      </c>
      <c r="D49" s="9">
        <v>2</v>
      </c>
      <c r="E49" s="9">
        <v>3</v>
      </c>
      <c r="F49" s="9">
        <v>4</v>
      </c>
      <c r="G49" s="9">
        <v>5</v>
      </c>
      <c r="H49" s="9">
        <v>6</v>
      </c>
      <c r="I49" s="9">
        <v>7</v>
      </c>
      <c r="J49" s="9">
        <v>8</v>
      </c>
      <c r="K49" s="9">
        <v>9</v>
      </c>
      <c r="L49" s="9">
        <v>10</v>
      </c>
    </row>
    <row r="50" spans="1:12" x14ac:dyDescent="0.25">
      <c r="A50" t="s">
        <v>288</v>
      </c>
      <c r="B50">
        <f>IF('Event Tracker'!B5&gt;0,'Game Assumptions'!$B$125,1)</f>
        <v>1</v>
      </c>
      <c r="C50">
        <f>IF('Event Tracker'!C5&gt;0,'Game Assumptions'!$B$125,1)</f>
        <v>1</v>
      </c>
      <c r="D50">
        <f>IF('Event Tracker'!D5&gt;0,'Game Assumptions'!$B$125,1)</f>
        <v>1</v>
      </c>
      <c r="E50">
        <f>IF('Event Tracker'!E5&gt;0,'Game Assumptions'!$B$125,1)</f>
        <v>1</v>
      </c>
      <c r="F50">
        <f>IF('Event Tracker'!F5&gt;0,'Game Assumptions'!$B$125,1)</f>
        <v>1</v>
      </c>
      <c r="G50">
        <f>IF('Event Tracker'!G5&gt;0,'Game Assumptions'!$B$125,1)</f>
        <v>1</v>
      </c>
      <c r="H50">
        <f>IF('Event Tracker'!H5&gt;0,'Game Assumptions'!$B$125,1)</f>
        <v>1</v>
      </c>
      <c r="I50">
        <f>IF('Event Tracker'!I5&gt;0,'Game Assumptions'!$B$125,1)</f>
        <v>1</v>
      </c>
      <c r="J50">
        <f>IF('Event Tracker'!J5&gt;0,'Game Assumptions'!$B$125,1)</f>
        <v>1</v>
      </c>
      <c r="K50">
        <f>IF('Event Tracker'!K5&gt;0,'Game Assumptions'!$B$125,1)</f>
        <v>1</v>
      </c>
      <c r="L50">
        <f>IF('Event Tracker'!L5&gt;0,'Game Assumptions'!$B$125,1)</f>
        <v>1</v>
      </c>
    </row>
    <row r="52" spans="1:12" x14ac:dyDescent="0.25">
      <c r="A52" s="9" t="s">
        <v>201</v>
      </c>
      <c r="B52" s="9">
        <v>0</v>
      </c>
      <c r="C52" s="9">
        <v>1</v>
      </c>
      <c r="D52" s="9">
        <v>2</v>
      </c>
      <c r="E52" s="9">
        <v>3</v>
      </c>
      <c r="F52" s="9">
        <v>4</v>
      </c>
      <c r="G52" s="9">
        <v>5</v>
      </c>
      <c r="H52" s="9">
        <v>6</v>
      </c>
      <c r="I52" s="9">
        <v>7</v>
      </c>
      <c r="J52" s="9">
        <v>8</v>
      </c>
      <c r="K52" s="9">
        <v>9</v>
      </c>
      <c r="L52" s="9">
        <v>10</v>
      </c>
    </row>
    <row r="53" spans="1:12" x14ac:dyDescent="0.25">
      <c r="A53" t="s">
        <v>202</v>
      </c>
      <c r="B53">
        <f t="shared" ref="B53:L53" si="12">SUMPRODUCT(B19:B22,B29:B32)*B47*B50</f>
        <v>196.00445018248894</v>
      </c>
      <c r="C53">
        <f t="shared" si="12"/>
        <v>196.00445018248894</v>
      </c>
      <c r="D53">
        <f t="shared" si="12"/>
        <v>196.00445018248894</v>
      </c>
      <c r="E53">
        <f t="shared" si="12"/>
        <v>196.00445018248894</v>
      </c>
      <c r="F53">
        <f t="shared" si="12"/>
        <v>196.00445018248894</v>
      </c>
      <c r="G53">
        <f t="shared" si="12"/>
        <v>196.00445018248894</v>
      </c>
      <c r="H53">
        <f t="shared" si="12"/>
        <v>196.00445018248894</v>
      </c>
      <c r="I53">
        <f t="shared" si="12"/>
        <v>196.00445018248894</v>
      </c>
      <c r="J53">
        <f t="shared" si="12"/>
        <v>196.00445018248894</v>
      </c>
      <c r="K53">
        <f t="shared" si="12"/>
        <v>196.00445018248894</v>
      </c>
      <c r="L53">
        <f t="shared" si="12"/>
        <v>196.00445018248894</v>
      </c>
    </row>
    <row r="55" spans="1:12" x14ac:dyDescent="0.25">
      <c r="A55" s="9" t="s">
        <v>203</v>
      </c>
      <c r="B55" s="9">
        <v>0</v>
      </c>
      <c r="C55" s="9">
        <v>1</v>
      </c>
      <c r="D55" s="9">
        <v>2</v>
      </c>
      <c r="E55" s="9">
        <v>3</v>
      </c>
      <c r="F55" s="9">
        <v>4</v>
      </c>
      <c r="G55" s="9">
        <v>5</v>
      </c>
      <c r="H55" s="9">
        <v>6</v>
      </c>
      <c r="I55" s="9">
        <v>7</v>
      </c>
      <c r="J55" s="9">
        <v>8</v>
      </c>
      <c r="K55" s="9">
        <v>9</v>
      </c>
      <c r="L55" s="9">
        <v>10</v>
      </c>
    </row>
    <row r="56" spans="1:12" x14ac:dyDescent="0.25">
      <c r="A56" t="s">
        <v>305</v>
      </c>
      <c r="B56" s="89">
        <f>SUM('Resource Mix and Demand'!B27,'Resource Mix and Demand'!B32)</f>
        <v>60</v>
      </c>
      <c r="C56" s="89">
        <f>SUM('Resource Mix and Demand'!C27,'Resource Mix and Demand'!C32)</f>
        <v>65</v>
      </c>
      <c r="D56" s="89">
        <f>SUM('Resource Mix and Demand'!D27,'Resource Mix and Demand'!D32)</f>
        <v>71</v>
      </c>
      <c r="E56" s="89">
        <f>SUM('Resource Mix and Demand'!E27,'Resource Mix and Demand'!E32)</f>
        <v>78</v>
      </c>
      <c r="F56" s="89">
        <f>SUM('Resource Mix and Demand'!F27,'Resource Mix and Demand'!F32)</f>
        <v>86</v>
      </c>
      <c r="G56" s="89">
        <f>SUM('Resource Mix and Demand'!G27,'Resource Mix and Demand'!G32)</f>
        <v>95</v>
      </c>
      <c r="H56" s="89">
        <f>SUM('Resource Mix and Demand'!H27,'Resource Mix and Demand'!H32)</f>
        <v>105</v>
      </c>
      <c r="I56" s="89">
        <f>SUM('Resource Mix and Demand'!I27,'Resource Mix and Demand'!I32)</f>
        <v>116</v>
      </c>
      <c r="J56" s="89">
        <f>SUM('Resource Mix and Demand'!J27,'Resource Mix and Demand'!J32)</f>
        <v>128</v>
      </c>
      <c r="K56" s="89">
        <f>SUM('Resource Mix and Demand'!K27,'Resource Mix and Demand'!K32)</f>
        <v>141</v>
      </c>
      <c r="L56" s="89">
        <f>SUM('Resource Mix and Demand'!L27,'Resource Mix and Demand'!L32)</f>
        <v>155</v>
      </c>
    </row>
    <row r="57" spans="1:12" x14ac:dyDescent="0.25">
      <c r="A57" t="s">
        <v>10</v>
      </c>
      <c r="B57">
        <f>'Resource Mix and Demand'!B28</f>
        <v>50</v>
      </c>
      <c r="C57">
        <f>'Resource Mix and Demand'!C28</f>
        <v>50</v>
      </c>
      <c r="D57">
        <f>'Resource Mix and Demand'!D28</f>
        <v>50</v>
      </c>
      <c r="E57">
        <f>'Resource Mix and Demand'!E28</f>
        <v>50</v>
      </c>
      <c r="F57">
        <f>'Resource Mix and Demand'!F28</f>
        <v>50</v>
      </c>
      <c r="G57">
        <f>'Resource Mix and Demand'!G28</f>
        <v>50</v>
      </c>
      <c r="H57">
        <f>'Resource Mix and Demand'!H28</f>
        <v>50</v>
      </c>
      <c r="I57">
        <f>'Resource Mix and Demand'!I28</f>
        <v>50</v>
      </c>
      <c r="J57">
        <f>'Resource Mix and Demand'!J28</f>
        <v>50</v>
      </c>
      <c r="K57">
        <f>'Resource Mix and Demand'!K28</f>
        <v>50</v>
      </c>
      <c r="L57">
        <f>'Resource Mix and Demand'!L28</f>
        <v>50</v>
      </c>
    </row>
    <row r="58" spans="1:12" x14ac:dyDescent="0.25">
      <c r="A58" t="s">
        <v>204</v>
      </c>
      <c r="B58">
        <f>MAX(B56:B57)</f>
        <v>60</v>
      </c>
      <c r="C58">
        <f t="shared" ref="C58:L58" si="13">MAX(C56:C57)</f>
        <v>65</v>
      </c>
      <c r="D58">
        <f t="shared" si="13"/>
        <v>71</v>
      </c>
      <c r="E58">
        <f t="shared" si="13"/>
        <v>78</v>
      </c>
      <c r="F58">
        <f t="shared" si="13"/>
        <v>86</v>
      </c>
      <c r="G58">
        <f t="shared" si="13"/>
        <v>95</v>
      </c>
      <c r="H58">
        <f t="shared" si="13"/>
        <v>105</v>
      </c>
      <c r="I58">
        <f t="shared" si="13"/>
        <v>116</v>
      </c>
      <c r="J58">
        <f t="shared" si="13"/>
        <v>128</v>
      </c>
      <c r="K58">
        <f t="shared" si="13"/>
        <v>141</v>
      </c>
      <c r="L58">
        <f t="shared" si="13"/>
        <v>155</v>
      </c>
    </row>
    <row r="60" spans="1:12" x14ac:dyDescent="0.25">
      <c r="A60" s="9" t="s">
        <v>207</v>
      </c>
      <c r="B60" s="9">
        <v>0</v>
      </c>
      <c r="C60" s="9">
        <v>1</v>
      </c>
      <c r="D60" s="9">
        <v>2</v>
      </c>
      <c r="E60" s="9">
        <v>3</v>
      </c>
      <c r="F60" s="9">
        <v>4</v>
      </c>
      <c r="G60" s="9">
        <v>5</v>
      </c>
      <c r="H60" s="9">
        <v>6</v>
      </c>
      <c r="I60" s="9">
        <v>7</v>
      </c>
      <c r="J60" s="9">
        <v>8</v>
      </c>
      <c r="K60" s="9">
        <v>9</v>
      </c>
      <c r="L60" s="9">
        <v>10</v>
      </c>
    </row>
    <row r="61" spans="1:12" x14ac:dyDescent="0.25">
      <c r="A61" t="s">
        <v>208</v>
      </c>
      <c r="B61">
        <f>IF(B$53&lt;B56,(B56-B$53)*8760*'Game Assumptions'!$G$56,0)</f>
        <v>0</v>
      </c>
      <c r="C61">
        <f>IF(C$53&lt;C56,(C56-C$53)*8760*'Game Assumptions'!$G$56,0)</f>
        <v>0</v>
      </c>
      <c r="D61">
        <f>IF(D$53&lt;D56,(D56-D$53)*8760*'Game Assumptions'!$G$56,0)</f>
        <v>0</v>
      </c>
      <c r="E61">
        <f>IF(E$53&lt;E56,(E56-E$53)*8760*'Game Assumptions'!$G$56,0)</f>
        <v>0</v>
      </c>
      <c r="F61">
        <f>IF(F$53&lt;F56,(F56-F$53)*8760*'Game Assumptions'!$G$56,0)</f>
        <v>0</v>
      </c>
      <c r="G61">
        <f>IF(G$53&lt;G56,(G56-G$53)*8760*'Game Assumptions'!$G$56,0)</f>
        <v>0</v>
      </c>
      <c r="H61">
        <f>IF(H$53&lt;H56,(H56-H$53)*8760*'Game Assumptions'!$G$56,0)</f>
        <v>0</v>
      </c>
      <c r="I61">
        <f>IF(I$53&lt;I56,(I56-I$53)*8760*'Game Assumptions'!$G$56,0)</f>
        <v>0</v>
      </c>
      <c r="J61">
        <f>IF(J$53&lt;J56,(J56-J$53)*8760*'Game Assumptions'!$G$56,0)</f>
        <v>0</v>
      </c>
      <c r="K61">
        <f>IF(K$53&lt;K56,(K56-K$53)*8760*'Game Assumptions'!$G$56,0)</f>
        <v>0</v>
      </c>
      <c r="L61">
        <f>IF(L$53&lt;L56,(L56-L$53)*8760*'Game Assumptions'!$G$56,0)</f>
        <v>0</v>
      </c>
    </row>
    <row r="62" spans="1:12" x14ac:dyDescent="0.25">
      <c r="A62" t="s">
        <v>209</v>
      </c>
      <c r="B62">
        <f>IF(B$53&lt;B57,(B57-B$53)*8760*'Game Assumptions'!$G$56,0)</f>
        <v>0</v>
      </c>
      <c r="C62">
        <f>IF(C$53&lt;C57,(C57-C$53)*8760*'Game Assumptions'!$G$56,0)</f>
        <v>0</v>
      </c>
      <c r="D62">
        <f>IF(D$53&lt;D57,(D57-D$53)*8760*'Game Assumptions'!$G$56,0)</f>
        <v>0</v>
      </c>
      <c r="E62">
        <f>IF(E$53&lt;E57,(E57-E$53)*8760*'Game Assumptions'!$G$56,0)</f>
        <v>0</v>
      </c>
      <c r="F62">
        <f>IF(F$53&lt;F57,(F57-F$53)*8760*'Game Assumptions'!$G$56,0)</f>
        <v>0</v>
      </c>
      <c r="G62">
        <f>IF(G$53&lt;G57,(G57-G$53)*8760*'Game Assumptions'!$G$56,0)</f>
        <v>0</v>
      </c>
      <c r="H62">
        <f>IF(H$53&lt;H57,(H57-H$53)*8760*'Game Assumptions'!$G$56,0)</f>
        <v>0</v>
      </c>
      <c r="I62">
        <f>IF(I$53&lt;I57,(I57-I$53)*8760*'Game Assumptions'!$G$56,0)</f>
        <v>0</v>
      </c>
      <c r="J62">
        <f>IF(J$53&lt;J57,(J57-J$53)*8760*'Game Assumptions'!$G$56,0)</f>
        <v>0</v>
      </c>
      <c r="K62">
        <f>IF(K$53&lt;K57,(K57-K$53)*8760*'Game Assumptions'!$G$56,0)</f>
        <v>0</v>
      </c>
      <c r="L62">
        <f>IF(L$53&lt;L57,(L57-L$53)*8760*'Game Assumptions'!$G$56,0)</f>
        <v>0</v>
      </c>
    </row>
    <row r="64" spans="1:12" x14ac:dyDescent="0.25">
      <c r="A64" s="9" t="s">
        <v>211</v>
      </c>
      <c r="B64" s="9">
        <v>0</v>
      </c>
      <c r="C64" s="9">
        <v>1</v>
      </c>
      <c r="D64" s="9">
        <v>2</v>
      </c>
      <c r="E64" s="9">
        <v>3</v>
      </c>
      <c r="F64" s="9">
        <v>4</v>
      </c>
      <c r="G64" s="9">
        <v>5</v>
      </c>
      <c r="H64" s="9">
        <v>6</v>
      </c>
      <c r="I64" s="9">
        <v>7</v>
      </c>
      <c r="J64" s="9">
        <v>8</v>
      </c>
      <c r="K64" s="9">
        <v>9</v>
      </c>
      <c r="L64" s="9">
        <v>10</v>
      </c>
    </row>
    <row r="65" spans="1:12" x14ac:dyDescent="0.25">
      <c r="A65" t="s">
        <v>210</v>
      </c>
      <c r="B65">
        <f>'Resource Mix and Demand'!B57/8760/('Game Assumptions'!$B$73*(1-'Game Assumptions'!$B$76)^Reliability!B64)</f>
        <v>1826.4840182648402</v>
      </c>
      <c r="C65">
        <f>'Resource Mix and Demand'!C57/8760/('Game Assumptions'!$B$73*(1-'Game Assumptions'!$B$76)^Reliability!C64)</f>
        <v>1835.8988843383704</v>
      </c>
      <c r="D65">
        <f>'Resource Mix and Demand'!D57/8760/('Game Assumptions'!$B$73*(1-'Game Assumptions'!$B$76)^Reliability!D64)</f>
        <v>1868.4141434582939</v>
      </c>
      <c r="E65">
        <f>'Resource Mix and Demand'!E57/8760/('Game Assumptions'!$B$73*(1-'Game Assumptions'!$B$76)^Reliability!E64)</f>
        <v>1876.168975222547</v>
      </c>
      <c r="F65">
        <f>'Resource Mix and Demand'!F57/8760/('Game Assumptions'!$B$73*(1-'Game Assumptions'!$B$76)^Reliability!F64)</f>
        <v>1882.6162912886041</v>
      </c>
      <c r="G65">
        <f>'Resource Mix and Demand'!G57/8760/('Game Assumptions'!$B$73*(1-'Game Assumptions'!$B$76)^Reliability!G64)</f>
        <v>1967.4284077864243</v>
      </c>
      <c r="H65">
        <f>'Resource Mix and Demand'!H57/8760/('Game Assumptions'!$B$73*(1-'Game Assumptions'!$B$76)^Reliability!H64)</f>
        <v>1973.4584196241647</v>
      </c>
      <c r="I65">
        <f>'Resource Mix and Demand'!I57/8760/('Game Assumptions'!$B$73*(1-'Game Assumptions'!$B$76)^Reliability!I64)</f>
        <v>1977.9795156599589</v>
      </c>
      <c r="J65">
        <f>'Resource Mix and Demand'!J57/8760/('Game Assumptions'!$B$73*(1-'Game Assumptions'!$B$76)^Reliability!J64)</f>
        <v>2097.4156867086458</v>
      </c>
      <c r="K65">
        <f>'Resource Mix and Demand'!K57/8760/('Game Assumptions'!$B$73*(1-'Game Assumptions'!$B$76)^Reliability!K64)</f>
        <v>2132.2524879197285</v>
      </c>
      <c r="L65">
        <f>'Resource Mix and Demand'!L57/8760/('Game Assumptions'!$B$73*(1-'Game Assumptions'!$B$76)^Reliability!L64)</f>
        <v>2167.2378997296501</v>
      </c>
    </row>
    <row r="67" spans="1:12" x14ac:dyDescent="0.25">
      <c r="A67" s="9" t="s">
        <v>212</v>
      </c>
      <c r="B67" s="9">
        <v>0</v>
      </c>
      <c r="C67" s="9">
        <v>1</v>
      </c>
      <c r="D67" s="9">
        <v>2</v>
      </c>
      <c r="E67" s="9">
        <v>3</v>
      </c>
      <c r="F67" s="9">
        <v>4</v>
      </c>
      <c r="G67" s="9">
        <v>5</v>
      </c>
      <c r="H67" s="9">
        <v>6</v>
      </c>
      <c r="I67" s="9">
        <v>7</v>
      </c>
      <c r="J67" s="9">
        <v>8</v>
      </c>
      <c r="K67" s="9">
        <v>9</v>
      </c>
      <c r="L67" s="9">
        <v>10</v>
      </c>
    </row>
    <row r="68" spans="1:12" x14ac:dyDescent="0.25">
      <c r="A68" t="s">
        <v>210</v>
      </c>
      <c r="B68">
        <f>'Resource Mix and Demand'!B60/8760/(('Game Assumptions'!$B$73*(1-'Game Assumptions'!$B$76)^Reliability!B67)+'Event Tracker'!B5*'Game Assumptions'!$B$74)-'Resource Mix and Demand'!B64</f>
        <v>1826.4840182648402</v>
      </c>
      <c r="C68">
        <f>'Resource Mix and Demand'!C60/8760/(('Game Assumptions'!$B$73*(1-'Game Assumptions'!$B$76)^Reliability!C67)+'Event Tracker'!C5*'Game Assumptions'!$B$74)-'Resource Mix and Demand'!C64</f>
        <v>1823.5611730923129</v>
      </c>
      <c r="D68">
        <f>'Resource Mix and Demand'!D60/8760/(('Game Assumptions'!$B$73*(1-'Game Assumptions'!$B$76)^Reliability!D67)+'Event Tracker'!D5*'Game Assumptions'!$B$74)-'Resource Mix and Demand'!D64</f>
        <v>1875.8074824890773</v>
      </c>
      <c r="E68">
        <f>'Resource Mix and Demand'!E60/8760/(('Game Assumptions'!$B$73*(1-'Game Assumptions'!$B$76)^Reliability!E67)+'Event Tracker'!E5*'Game Assumptions'!$B$74)-'Resource Mix and Demand'!E64</f>
        <v>1869.9438465627586</v>
      </c>
      <c r="F68">
        <f>'Resource Mix and Demand'!F60/8760/(('Game Assumptions'!$B$73*(1-'Game Assumptions'!$B$76)^Reliability!F67)+'Event Tracker'!F5*'Game Assumptions'!$B$74)-'Resource Mix and Demand'!F64</f>
        <v>1848.3266276302447</v>
      </c>
      <c r="G68">
        <f>'Resource Mix and Demand'!G60/8760/(('Game Assumptions'!$B$73*(1-'Game Assumptions'!$B$76)^Reliability!G67)+'Event Tracker'!G5*'Game Assumptions'!$B$74)-'Resource Mix and Demand'!G64</f>
        <v>1968.2124545937975</v>
      </c>
      <c r="H68">
        <f>'Resource Mix and Demand'!H60/8760/(('Game Assumptions'!$B$73*(1-'Game Assumptions'!$B$76)^Reliability!H67)+'Event Tracker'!H5*'Game Assumptions'!$B$74)-'Resource Mix and Demand'!H64</f>
        <v>1994.2312622222864</v>
      </c>
      <c r="I68">
        <f>'Resource Mix and Demand'!I60/8760/(('Game Assumptions'!$B$73*(1-'Game Assumptions'!$B$76)^Reliability!I67)+'Event Tracker'!I5*'Game Assumptions'!$B$74)-'Resource Mix and Demand'!I64</f>
        <v>1965.6708317025093</v>
      </c>
      <c r="J68">
        <f>'Resource Mix and Demand'!J60/8760/(('Game Assumptions'!$B$73*(1-'Game Assumptions'!$B$76)^Reliability!J67)+'Event Tracker'!J5*'Game Assumptions'!$B$74)-'Resource Mix and Demand'!J64</f>
        <v>2108.9756515274871</v>
      </c>
      <c r="K68">
        <f>'Resource Mix and Demand'!K60/8760/(('Game Assumptions'!$B$73*(1-'Game Assumptions'!$B$76)^Reliability!K67)+'Event Tracker'!K5*'Game Assumptions'!$B$74)-'Resource Mix and Demand'!K64</f>
        <v>2093.7959628724634</v>
      </c>
      <c r="L68">
        <f>'Resource Mix and Demand'!L60/8760/(('Game Assumptions'!$B$73*(1-'Game Assumptions'!$B$76)^Reliability!L67)+'Event Tracker'!L5*'Game Assumptions'!$B$74)-'Resource Mix and Demand'!L64</f>
        <v>2194.0277466190369</v>
      </c>
    </row>
    <row r="70" spans="1:12" x14ac:dyDescent="0.25">
      <c r="A70" s="9" t="s">
        <v>431</v>
      </c>
      <c r="B70" s="9">
        <v>0</v>
      </c>
      <c r="C70" s="9">
        <v>1</v>
      </c>
      <c r="D70" s="9">
        <v>2</v>
      </c>
      <c r="E70" s="9">
        <v>3</v>
      </c>
      <c r="F70" s="9">
        <v>4</v>
      </c>
      <c r="G70" s="9">
        <v>5</v>
      </c>
      <c r="H70" s="9">
        <v>6</v>
      </c>
      <c r="I70" s="9">
        <v>7</v>
      </c>
      <c r="J70" s="9">
        <v>8</v>
      </c>
      <c r="K70" s="9">
        <v>9</v>
      </c>
      <c r="L70" s="9">
        <v>10</v>
      </c>
    </row>
    <row r="71" spans="1:12" x14ac:dyDescent="0.25">
      <c r="A71" t="s">
        <v>7</v>
      </c>
      <c r="B71" s="16">
        <f>'Resource Mix and Demand'!B24*INDEX('Game Assumptions'!$H$53:$H$61,MATCH(Reliability!$A71,'Game Assumptions'!$F$53:$F$61,0),1)</f>
        <v>525</v>
      </c>
      <c r="C71" s="16">
        <f>'Resource Mix and Demand'!C24*INDEX('Game Assumptions'!$H$53:$H$61,MATCH(Reliability!$A71,'Game Assumptions'!$F$53:$F$61,0),1)</f>
        <v>300</v>
      </c>
      <c r="D71" s="16">
        <f>'Resource Mix and Demand'!D24*INDEX('Game Assumptions'!$H$53:$H$61,MATCH(Reliability!$A71,'Game Assumptions'!$F$53:$F$61,0),1)</f>
        <v>300</v>
      </c>
      <c r="E71" s="16">
        <f>'Resource Mix and Demand'!E24*INDEX('Game Assumptions'!$H$53:$H$61,MATCH(Reliability!$A71,'Game Assumptions'!$F$53:$F$61,0),1)</f>
        <v>300</v>
      </c>
      <c r="F71" s="16">
        <f>'Resource Mix and Demand'!F24*INDEX('Game Assumptions'!$H$53:$H$61,MATCH(Reliability!$A71,'Game Assumptions'!$F$53:$F$61,0),1)</f>
        <v>300</v>
      </c>
      <c r="G71" s="16">
        <f>'Resource Mix and Demand'!G24*INDEX('Game Assumptions'!$H$53:$H$61,MATCH(Reliability!$A71,'Game Assumptions'!$F$53:$F$61,0),1)</f>
        <v>225</v>
      </c>
      <c r="H71" s="16">
        <f>'Resource Mix and Demand'!H24*INDEX('Game Assumptions'!$H$53:$H$61,MATCH(Reliability!$A71,'Game Assumptions'!$F$53:$F$61,0),1)</f>
        <v>225</v>
      </c>
      <c r="I71" s="16">
        <f>'Resource Mix and Demand'!I24*INDEX('Game Assumptions'!$H$53:$H$61,MATCH(Reliability!$A71,'Game Assumptions'!$F$53:$F$61,0),1)</f>
        <v>225</v>
      </c>
      <c r="J71" s="16">
        <f>'Resource Mix and Demand'!J24*INDEX('Game Assumptions'!$H$53:$H$61,MATCH(Reliability!$A71,'Game Assumptions'!$F$53:$F$61,0),1)</f>
        <v>225</v>
      </c>
      <c r="K71" s="16">
        <f>'Resource Mix and Demand'!K24*INDEX('Game Assumptions'!$H$53:$H$61,MATCH(Reliability!$A71,'Game Assumptions'!$F$53:$F$61,0),1)</f>
        <v>225</v>
      </c>
      <c r="L71" s="16">
        <f>'Resource Mix and Demand'!L24*INDEX('Game Assumptions'!$H$53:$H$61,MATCH(Reliability!$A71,'Game Assumptions'!$F$53:$F$61,0),1)</f>
        <v>225</v>
      </c>
    </row>
    <row r="72" spans="1:12" x14ac:dyDescent="0.25">
      <c r="A72" t="s">
        <v>8</v>
      </c>
      <c r="B72" s="16">
        <f>'Resource Mix and Demand'!B25*INDEX('Game Assumptions'!$H$53:$H$61,MATCH(Reliability!$A72,'Game Assumptions'!$F$53:$F$61,0),1)</f>
        <v>850</v>
      </c>
      <c r="C72" s="16">
        <f>'Resource Mix and Demand'!C25*INDEX('Game Assumptions'!$H$53:$H$61,MATCH(Reliability!$A72,'Game Assumptions'!$F$53:$F$61,0),1)</f>
        <v>850</v>
      </c>
      <c r="D72" s="16">
        <f>'Resource Mix and Demand'!D25*INDEX('Game Assumptions'!$H$53:$H$61,MATCH(Reliability!$A72,'Game Assumptions'!$F$53:$F$61,0),1)</f>
        <v>850</v>
      </c>
      <c r="E72" s="16">
        <f>'Resource Mix and Demand'!E25*INDEX('Game Assumptions'!$H$53:$H$61,MATCH(Reliability!$A72,'Game Assumptions'!$F$53:$F$61,0),1)</f>
        <v>850</v>
      </c>
      <c r="F72" s="16">
        <f>'Resource Mix and Demand'!F25*INDEX('Game Assumptions'!$H$53:$H$61,MATCH(Reliability!$A72,'Game Assumptions'!$F$53:$F$61,0),1)</f>
        <v>850</v>
      </c>
      <c r="G72" s="16">
        <f>'Resource Mix and Demand'!G25*INDEX('Game Assumptions'!$H$53:$H$61,MATCH(Reliability!$A72,'Game Assumptions'!$F$53:$F$61,0),1)</f>
        <v>850</v>
      </c>
      <c r="H72" s="16">
        <f>'Resource Mix and Demand'!H25*INDEX('Game Assumptions'!$H$53:$H$61,MATCH(Reliability!$A72,'Game Assumptions'!$F$53:$F$61,0),1)</f>
        <v>850</v>
      </c>
      <c r="I72" s="16">
        <f>'Resource Mix and Demand'!I25*INDEX('Game Assumptions'!$H$53:$H$61,MATCH(Reliability!$A72,'Game Assumptions'!$F$53:$F$61,0),1)</f>
        <v>850</v>
      </c>
      <c r="J72" s="16">
        <f>'Resource Mix and Demand'!J25*INDEX('Game Assumptions'!$H$53:$H$61,MATCH(Reliability!$A72,'Game Assumptions'!$F$53:$F$61,0),1)</f>
        <v>850</v>
      </c>
      <c r="K72" s="16">
        <f>'Resource Mix and Demand'!K25*INDEX('Game Assumptions'!$H$53:$H$61,MATCH(Reliability!$A72,'Game Assumptions'!$F$53:$F$61,0),1)</f>
        <v>850</v>
      </c>
      <c r="L72" s="16">
        <f>'Resource Mix and Demand'!L25*INDEX('Game Assumptions'!$H$53:$H$61,MATCH(Reliability!$A72,'Game Assumptions'!$F$53:$F$61,0),1)</f>
        <v>850</v>
      </c>
    </row>
    <row r="73" spans="1:12" x14ac:dyDescent="0.25">
      <c r="A73" t="s">
        <v>13</v>
      </c>
      <c r="B73" s="16">
        <f>'Resource Mix and Demand'!B26*INDEX('Game Assumptions'!$H$53:$H$61,MATCH(Reliability!$A73,'Game Assumptions'!$F$53:$F$61,0),1)</f>
        <v>540</v>
      </c>
      <c r="C73" s="16">
        <f>'Resource Mix and Demand'!C26*INDEX('Game Assumptions'!$H$53:$H$61,MATCH(Reliability!$A73,'Game Assumptions'!$F$53:$F$61,0),1)</f>
        <v>540</v>
      </c>
      <c r="D73" s="16">
        <f>'Resource Mix and Demand'!D26*INDEX('Game Assumptions'!$H$53:$H$61,MATCH(Reliability!$A73,'Game Assumptions'!$F$53:$F$61,0),1)</f>
        <v>540</v>
      </c>
      <c r="E73" s="16">
        <f>'Resource Mix and Demand'!E26*INDEX('Game Assumptions'!$H$53:$H$61,MATCH(Reliability!$A73,'Game Assumptions'!$F$53:$F$61,0),1)</f>
        <v>90</v>
      </c>
      <c r="F73" s="16">
        <f>'Resource Mix and Demand'!F26*INDEX('Game Assumptions'!$H$53:$H$61,MATCH(Reliability!$A73,'Game Assumptions'!$F$53:$F$61,0),1)</f>
        <v>90</v>
      </c>
      <c r="G73" s="16">
        <f>'Resource Mix and Demand'!G26*INDEX('Game Assumptions'!$H$53:$H$61,MATCH(Reliability!$A73,'Game Assumptions'!$F$53:$F$61,0),1)</f>
        <v>90</v>
      </c>
      <c r="H73" s="16">
        <f>'Resource Mix and Demand'!H26*INDEX('Game Assumptions'!$H$53:$H$61,MATCH(Reliability!$A73,'Game Assumptions'!$F$53:$F$61,0),1)</f>
        <v>90</v>
      </c>
      <c r="I73" s="16">
        <f>'Resource Mix and Demand'!I26*INDEX('Game Assumptions'!$H$53:$H$61,MATCH(Reliability!$A73,'Game Assumptions'!$F$53:$F$61,0),1)</f>
        <v>90</v>
      </c>
      <c r="J73" s="16">
        <f>'Resource Mix and Demand'!J26*INDEX('Game Assumptions'!$H$53:$H$61,MATCH(Reliability!$A73,'Game Assumptions'!$F$53:$F$61,0),1)</f>
        <v>90</v>
      </c>
      <c r="K73" s="16">
        <f>'Resource Mix and Demand'!K26*INDEX('Game Assumptions'!$H$53:$H$61,MATCH(Reliability!$A73,'Game Assumptions'!$F$53:$F$61,0),1)</f>
        <v>90</v>
      </c>
      <c r="L73" s="16">
        <f>'Resource Mix and Demand'!L26*INDEX('Game Assumptions'!$H$53:$H$61,MATCH(Reliability!$A73,'Game Assumptions'!$F$53:$F$61,0),1)</f>
        <v>90</v>
      </c>
    </row>
    <row r="74" spans="1:12" x14ac:dyDescent="0.25">
      <c r="A74" t="s">
        <v>9</v>
      </c>
      <c r="B74" s="16">
        <f>IF(B53&lt;SUM('Resource Mix and Demand'!B27,'Resource Mix and Demand'!B32),B53,SUM('Resource Mix and Demand'!B27,'Resource Mix and Demand'!B32))*INDEX('Game Assumptions'!$H$53:$H$61,MATCH(Reliability!$A74,'Game Assumptions'!$F$53:$F$61,0),1)</f>
        <v>15</v>
      </c>
      <c r="C74" s="16">
        <f>IF(C53&lt;SUM('Resource Mix and Demand'!C27,'Resource Mix and Demand'!C32),C53,SUM('Resource Mix and Demand'!C27,'Resource Mix and Demand'!C32))*INDEX('Game Assumptions'!$H$53:$H$61,MATCH(Reliability!$A74,'Game Assumptions'!$F$53:$F$61,0),1)</f>
        <v>16.25</v>
      </c>
      <c r="D74" s="16">
        <f>IF(D53&lt;SUM('Resource Mix and Demand'!D27,'Resource Mix and Demand'!D32),D53,SUM('Resource Mix and Demand'!D27,'Resource Mix and Demand'!D32))*INDEX('Game Assumptions'!$H$53:$H$61,MATCH(Reliability!$A74,'Game Assumptions'!$F$53:$F$61,0),1)</f>
        <v>17.75</v>
      </c>
      <c r="E74" s="16">
        <f>IF(E53&lt;SUM('Resource Mix and Demand'!E27,'Resource Mix and Demand'!E32),E53,SUM('Resource Mix and Demand'!E27,'Resource Mix and Demand'!E32))*INDEX('Game Assumptions'!$H$53:$H$61,MATCH(Reliability!$A74,'Game Assumptions'!$F$53:$F$61,0),1)</f>
        <v>19.5</v>
      </c>
      <c r="F74" s="16">
        <f>IF(F53&lt;SUM('Resource Mix and Demand'!F27,'Resource Mix and Demand'!F32),F53,SUM('Resource Mix and Demand'!F27,'Resource Mix and Demand'!F32))*INDEX('Game Assumptions'!$H$53:$H$61,MATCH(Reliability!$A74,'Game Assumptions'!$F$53:$F$61,0),1)</f>
        <v>21.5</v>
      </c>
      <c r="G74" s="16">
        <f>IF(G53&lt;SUM('Resource Mix and Demand'!G27,'Resource Mix and Demand'!G32),G53,SUM('Resource Mix and Demand'!G27,'Resource Mix and Demand'!G32))*INDEX('Game Assumptions'!$H$53:$H$61,MATCH(Reliability!$A74,'Game Assumptions'!$F$53:$F$61,0),1)</f>
        <v>23.75</v>
      </c>
      <c r="H74" s="16">
        <f>IF(H53&lt;SUM('Resource Mix and Demand'!H27,'Resource Mix and Demand'!H32),H53,SUM('Resource Mix and Demand'!H27,'Resource Mix and Demand'!H32))*INDEX('Game Assumptions'!$H$53:$H$61,MATCH(Reliability!$A74,'Game Assumptions'!$F$53:$F$61,0),1)</f>
        <v>26.25</v>
      </c>
      <c r="I74" s="16">
        <f>IF(I53&lt;SUM('Resource Mix and Demand'!I27,'Resource Mix and Demand'!I32),I53,SUM('Resource Mix and Demand'!I27,'Resource Mix and Demand'!I32))*INDEX('Game Assumptions'!$H$53:$H$61,MATCH(Reliability!$A74,'Game Assumptions'!$F$53:$F$61,0),1)</f>
        <v>29</v>
      </c>
      <c r="J74" s="16">
        <f>IF(J53&lt;SUM('Resource Mix and Demand'!J27,'Resource Mix and Demand'!J32),J53,SUM('Resource Mix and Demand'!J27,'Resource Mix and Demand'!J32))*INDEX('Game Assumptions'!$H$53:$H$61,MATCH(Reliability!$A74,'Game Assumptions'!$F$53:$F$61,0),1)</f>
        <v>32</v>
      </c>
      <c r="K74" s="16">
        <f>IF(K53&lt;SUM('Resource Mix and Demand'!K27,'Resource Mix and Demand'!K32),K53,SUM('Resource Mix and Demand'!K27,'Resource Mix and Demand'!K32))*INDEX('Game Assumptions'!$H$53:$H$61,MATCH(Reliability!$A74,'Game Assumptions'!$F$53:$F$61,0),1)</f>
        <v>35.25</v>
      </c>
      <c r="L74" s="16">
        <f>IF(L53&lt;SUM('Resource Mix and Demand'!L27,'Resource Mix and Demand'!L32),L53,SUM('Resource Mix and Demand'!L27,'Resource Mix and Demand'!L32))*INDEX('Game Assumptions'!$H$53:$H$61,MATCH(Reliability!$A74,'Game Assumptions'!$F$53:$F$61,0),1)</f>
        <v>38.75</v>
      </c>
    </row>
    <row r="75" spans="1:12" x14ac:dyDescent="0.25">
      <c r="A75" t="s">
        <v>10</v>
      </c>
      <c r="B75" s="16">
        <f>'Resource Mix and Demand'!B28*INDEX('Game Assumptions'!$H$53:$H$61,MATCH(Reliability!$A75,'Game Assumptions'!$F$53:$F$61,0),1)</f>
        <v>15</v>
      </c>
      <c r="C75" s="16">
        <f>'Resource Mix and Demand'!C28*INDEX('Game Assumptions'!$H$53:$H$61,MATCH(Reliability!$A75,'Game Assumptions'!$F$53:$F$61,0),1)</f>
        <v>15</v>
      </c>
      <c r="D75" s="16">
        <f>'Resource Mix and Demand'!D28*INDEX('Game Assumptions'!$H$53:$H$61,MATCH(Reliability!$A75,'Game Assumptions'!$F$53:$F$61,0),1)</f>
        <v>15</v>
      </c>
      <c r="E75" s="16">
        <f>'Resource Mix and Demand'!E28*INDEX('Game Assumptions'!$H$53:$H$61,MATCH(Reliability!$A75,'Game Assumptions'!$F$53:$F$61,0),1)</f>
        <v>15</v>
      </c>
      <c r="F75" s="16">
        <f>'Resource Mix and Demand'!F28*INDEX('Game Assumptions'!$H$53:$H$61,MATCH(Reliability!$A75,'Game Assumptions'!$F$53:$F$61,0),1)</f>
        <v>15</v>
      </c>
      <c r="G75" s="16">
        <f>'Resource Mix and Demand'!G28*INDEX('Game Assumptions'!$H$53:$H$61,MATCH(Reliability!$A75,'Game Assumptions'!$F$53:$F$61,0),1)</f>
        <v>15</v>
      </c>
      <c r="H75" s="16">
        <f>'Resource Mix and Demand'!H28*INDEX('Game Assumptions'!$H$53:$H$61,MATCH(Reliability!$A75,'Game Assumptions'!$F$53:$F$61,0),1)</f>
        <v>15</v>
      </c>
      <c r="I75" s="16">
        <f>'Resource Mix and Demand'!I28*INDEX('Game Assumptions'!$H$53:$H$61,MATCH(Reliability!$A75,'Game Assumptions'!$F$53:$F$61,0),1)</f>
        <v>15</v>
      </c>
      <c r="J75" s="16">
        <f>'Resource Mix and Demand'!J28*INDEX('Game Assumptions'!$H$53:$H$61,MATCH(Reliability!$A75,'Game Assumptions'!$F$53:$F$61,0),1)</f>
        <v>15</v>
      </c>
      <c r="K75" s="16">
        <f>'Resource Mix and Demand'!K28*INDEX('Game Assumptions'!$H$53:$H$61,MATCH(Reliability!$A75,'Game Assumptions'!$F$53:$F$61,0),1)</f>
        <v>15</v>
      </c>
      <c r="L75" s="16">
        <f>'Resource Mix and Demand'!L28*INDEX('Game Assumptions'!$H$53:$H$61,MATCH(Reliability!$A75,'Game Assumptions'!$F$53:$F$61,0),1)</f>
        <v>15</v>
      </c>
    </row>
    <row r="76" spans="1:12" x14ac:dyDescent="0.25">
      <c r="A76" t="s">
        <v>11</v>
      </c>
      <c r="B76" s="16">
        <f>'Resource Mix and Demand'!B29*INDEX('Game Assumptions'!$H$53:$H$61,MATCH(Reliability!$A76,'Game Assumptions'!$F$53:$F$61,0),1)</f>
        <v>30</v>
      </c>
      <c r="C76" s="16">
        <f>'Resource Mix and Demand'!C29*INDEX('Game Assumptions'!$H$53:$H$61,MATCH(Reliability!$A76,'Game Assumptions'!$F$53:$F$61,0),1)</f>
        <v>30</v>
      </c>
      <c r="D76" s="16">
        <f>'Resource Mix and Demand'!D29*INDEX('Game Assumptions'!$H$53:$H$61,MATCH(Reliability!$A76,'Game Assumptions'!$F$53:$F$61,0),1)</f>
        <v>30</v>
      </c>
      <c r="E76" s="16">
        <f>'Resource Mix and Demand'!E29*INDEX('Game Assumptions'!$H$53:$H$61,MATCH(Reliability!$A76,'Game Assumptions'!$F$53:$F$61,0),1)</f>
        <v>30</v>
      </c>
      <c r="F76" s="16">
        <f>'Resource Mix and Demand'!F29*INDEX('Game Assumptions'!$H$53:$H$61,MATCH(Reliability!$A76,'Game Assumptions'!$F$53:$F$61,0),1)</f>
        <v>30</v>
      </c>
      <c r="G76" s="16">
        <f>'Resource Mix and Demand'!G29*INDEX('Game Assumptions'!$H$53:$H$61,MATCH(Reliability!$A76,'Game Assumptions'!$F$53:$F$61,0),1)</f>
        <v>30</v>
      </c>
      <c r="H76" s="16">
        <f>'Resource Mix and Demand'!H29*INDEX('Game Assumptions'!$H$53:$H$61,MATCH(Reliability!$A76,'Game Assumptions'!$F$53:$F$61,0),1)</f>
        <v>30</v>
      </c>
      <c r="I76" s="16">
        <f>'Resource Mix and Demand'!I29*INDEX('Game Assumptions'!$H$53:$H$61,MATCH(Reliability!$A76,'Game Assumptions'!$F$53:$F$61,0),1)</f>
        <v>30</v>
      </c>
      <c r="J76" s="16">
        <f>'Resource Mix and Demand'!J29*INDEX('Game Assumptions'!$H$53:$H$61,MATCH(Reliability!$A76,'Game Assumptions'!$F$53:$F$61,0),1)</f>
        <v>30</v>
      </c>
      <c r="K76" s="16">
        <f>'Resource Mix and Demand'!K29*INDEX('Game Assumptions'!$H$53:$H$61,MATCH(Reliability!$A76,'Game Assumptions'!$F$53:$F$61,0),1)</f>
        <v>30</v>
      </c>
      <c r="L76" s="16">
        <f>'Resource Mix and Demand'!L29*INDEX('Game Assumptions'!$H$53:$H$61,MATCH(Reliability!$A76,'Game Assumptions'!$F$53:$F$61,0),1)</f>
        <v>30</v>
      </c>
    </row>
    <row r="77" spans="1:12" x14ac:dyDescent="0.25">
      <c r="A77" t="s">
        <v>213</v>
      </c>
      <c r="B77" s="16">
        <f t="shared" ref="B77:L77" si="14">B19</f>
        <v>100</v>
      </c>
      <c r="C77" s="16">
        <f t="shared" si="14"/>
        <v>100</v>
      </c>
      <c r="D77" s="16">
        <f t="shared" si="14"/>
        <v>100</v>
      </c>
      <c r="E77" s="16">
        <f t="shared" si="14"/>
        <v>100</v>
      </c>
      <c r="F77" s="16">
        <f t="shared" si="14"/>
        <v>100</v>
      </c>
      <c r="G77" s="16">
        <f t="shared" si="14"/>
        <v>100</v>
      </c>
      <c r="H77" s="16">
        <f t="shared" si="14"/>
        <v>100</v>
      </c>
      <c r="I77" s="16">
        <f t="shared" si="14"/>
        <v>100</v>
      </c>
      <c r="J77" s="16">
        <f t="shared" si="14"/>
        <v>100</v>
      </c>
      <c r="K77" s="16">
        <f t="shared" si="14"/>
        <v>100</v>
      </c>
      <c r="L77" s="16">
        <f t="shared" si="14"/>
        <v>100</v>
      </c>
    </row>
    <row r="78" spans="1:12" x14ac:dyDescent="0.25">
      <c r="A78" t="s">
        <v>187</v>
      </c>
      <c r="B78" s="16">
        <f t="shared" ref="B78:L78" si="15">B20</f>
        <v>10</v>
      </c>
      <c r="C78" s="16">
        <f t="shared" si="15"/>
        <v>10</v>
      </c>
      <c r="D78" s="16">
        <f t="shared" si="15"/>
        <v>10</v>
      </c>
      <c r="E78" s="16">
        <f t="shared" si="15"/>
        <v>10</v>
      </c>
      <c r="F78" s="16">
        <f t="shared" si="15"/>
        <v>10</v>
      </c>
      <c r="G78" s="16">
        <f t="shared" si="15"/>
        <v>10</v>
      </c>
      <c r="H78" s="16">
        <f t="shared" si="15"/>
        <v>10</v>
      </c>
      <c r="I78" s="16">
        <f t="shared" si="15"/>
        <v>10</v>
      </c>
      <c r="J78" s="16">
        <f t="shared" si="15"/>
        <v>10</v>
      </c>
      <c r="K78" s="16">
        <f t="shared" si="15"/>
        <v>10</v>
      </c>
      <c r="L78" s="16">
        <f t="shared" si="15"/>
        <v>10</v>
      </c>
    </row>
    <row r="79" spans="1:12" x14ac:dyDescent="0.25">
      <c r="A79" t="s">
        <v>186</v>
      </c>
      <c r="B79" s="16">
        <f t="shared" ref="B79:L79" si="16">B21</f>
        <v>35</v>
      </c>
      <c r="C79" s="16">
        <f t="shared" si="16"/>
        <v>35</v>
      </c>
      <c r="D79" s="16">
        <f t="shared" si="16"/>
        <v>35</v>
      </c>
      <c r="E79" s="16">
        <f t="shared" si="16"/>
        <v>35</v>
      </c>
      <c r="F79" s="16">
        <f t="shared" si="16"/>
        <v>35</v>
      </c>
      <c r="G79" s="16">
        <f t="shared" si="16"/>
        <v>35</v>
      </c>
      <c r="H79" s="16">
        <f t="shared" si="16"/>
        <v>35</v>
      </c>
      <c r="I79" s="16">
        <f t="shared" si="16"/>
        <v>35</v>
      </c>
      <c r="J79" s="16">
        <f t="shared" si="16"/>
        <v>35</v>
      </c>
      <c r="K79" s="16">
        <f t="shared" si="16"/>
        <v>35</v>
      </c>
      <c r="L79" s="16">
        <f t="shared" si="16"/>
        <v>35</v>
      </c>
    </row>
    <row r="80" spans="1:12" x14ac:dyDescent="0.25">
      <c r="A80" t="s">
        <v>300</v>
      </c>
      <c r="B80" s="16">
        <f>B24</f>
        <v>10</v>
      </c>
      <c r="C80" s="16">
        <f t="shared" ref="C80:L80" si="17">C24</f>
        <v>10</v>
      </c>
      <c r="D80" s="16">
        <f t="shared" si="17"/>
        <v>10</v>
      </c>
      <c r="E80" s="16">
        <f t="shared" si="17"/>
        <v>10</v>
      </c>
      <c r="F80" s="16">
        <f t="shared" si="17"/>
        <v>10</v>
      </c>
      <c r="G80" s="16">
        <f t="shared" si="17"/>
        <v>10</v>
      </c>
      <c r="H80" s="16">
        <f t="shared" si="17"/>
        <v>10</v>
      </c>
      <c r="I80" s="16">
        <f t="shared" si="17"/>
        <v>10</v>
      </c>
      <c r="J80" s="16">
        <f t="shared" si="17"/>
        <v>10</v>
      </c>
      <c r="K80" s="16">
        <f t="shared" si="17"/>
        <v>10</v>
      </c>
      <c r="L80" s="16">
        <f t="shared" si="17"/>
        <v>10</v>
      </c>
    </row>
    <row r="81" spans="1:12" x14ac:dyDescent="0.25">
      <c r="A81" t="s">
        <v>301</v>
      </c>
      <c r="B81" s="16">
        <f t="shared" ref="B81:L82" si="18">B25</f>
        <v>10</v>
      </c>
      <c r="C81" s="16">
        <f t="shared" si="18"/>
        <v>16</v>
      </c>
      <c r="D81" s="16">
        <f t="shared" si="18"/>
        <v>23</v>
      </c>
      <c r="E81" s="16">
        <f t="shared" si="18"/>
        <v>31</v>
      </c>
      <c r="F81" s="16">
        <f t="shared" si="18"/>
        <v>40</v>
      </c>
      <c r="G81" s="16">
        <f t="shared" si="18"/>
        <v>50</v>
      </c>
      <c r="H81" s="16">
        <f t="shared" si="18"/>
        <v>61</v>
      </c>
      <c r="I81" s="16">
        <f t="shared" si="18"/>
        <v>73</v>
      </c>
      <c r="J81" s="16">
        <f t="shared" si="18"/>
        <v>86</v>
      </c>
      <c r="K81" s="16">
        <f t="shared" si="18"/>
        <v>100</v>
      </c>
      <c r="L81" s="16">
        <f t="shared" si="18"/>
        <v>115</v>
      </c>
    </row>
    <row r="82" spans="1:12" x14ac:dyDescent="0.25">
      <c r="A82" t="s">
        <v>302</v>
      </c>
      <c r="B82" s="16">
        <f t="shared" si="18"/>
        <v>10</v>
      </c>
      <c r="C82" s="16">
        <f t="shared" si="18"/>
        <v>15</v>
      </c>
      <c r="D82" s="16">
        <f t="shared" si="18"/>
        <v>21</v>
      </c>
      <c r="E82" s="16">
        <f t="shared" si="18"/>
        <v>28</v>
      </c>
      <c r="F82" s="16">
        <f t="shared" si="18"/>
        <v>36</v>
      </c>
      <c r="G82" s="16">
        <f t="shared" si="18"/>
        <v>45</v>
      </c>
      <c r="H82" s="16">
        <f t="shared" si="18"/>
        <v>55</v>
      </c>
      <c r="I82" s="16">
        <f t="shared" si="18"/>
        <v>66</v>
      </c>
      <c r="J82" s="16">
        <f t="shared" si="18"/>
        <v>78</v>
      </c>
      <c r="K82" s="16">
        <f t="shared" si="18"/>
        <v>91</v>
      </c>
      <c r="L82" s="16">
        <f t="shared" si="18"/>
        <v>105</v>
      </c>
    </row>
    <row r="84" spans="1:12" x14ac:dyDescent="0.25">
      <c r="A84" s="9" t="s">
        <v>432</v>
      </c>
      <c r="B84" s="88"/>
      <c r="C84" s="88"/>
      <c r="D84" s="88"/>
      <c r="E84" s="88"/>
      <c r="F84" s="88"/>
      <c r="G84" s="88"/>
      <c r="H84" s="88"/>
      <c r="I84" s="88"/>
      <c r="J84" s="88"/>
      <c r="K84" s="88"/>
      <c r="L84" s="88"/>
    </row>
    <row r="85" spans="1:12" x14ac:dyDescent="0.25">
      <c r="A85" t="s">
        <v>300</v>
      </c>
      <c r="B85" s="16">
        <f>B24</f>
        <v>10</v>
      </c>
      <c r="C85" s="16">
        <f t="shared" ref="C85:L85" si="19">C24</f>
        <v>10</v>
      </c>
      <c r="D85" s="16">
        <f t="shared" si="19"/>
        <v>10</v>
      </c>
      <c r="E85" s="16">
        <f t="shared" si="19"/>
        <v>10</v>
      </c>
      <c r="F85" s="16">
        <f t="shared" si="19"/>
        <v>10</v>
      </c>
      <c r="G85" s="16">
        <f t="shared" si="19"/>
        <v>10</v>
      </c>
      <c r="H85" s="16">
        <f t="shared" si="19"/>
        <v>10</v>
      </c>
      <c r="I85" s="16">
        <f t="shared" si="19"/>
        <v>10</v>
      </c>
      <c r="J85" s="16">
        <f t="shared" si="19"/>
        <v>10</v>
      </c>
      <c r="K85" s="16">
        <f t="shared" si="19"/>
        <v>10</v>
      </c>
      <c r="L85" s="16">
        <f t="shared" si="19"/>
        <v>10</v>
      </c>
    </row>
    <row r="86" spans="1:12" x14ac:dyDescent="0.25">
      <c r="A86" t="s">
        <v>301</v>
      </c>
      <c r="B86" s="16">
        <f>B25</f>
        <v>10</v>
      </c>
      <c r="C86" s="16">
        <f t="shared" ref="C86:L86" si="20">C25</f>
        <v>16</v>
      </c>
      <c r="D86" s="16">
        <f t="shared" si="20"/>
        <v>23</v>
      </c>
      <c r="E86" s="16">
        <f t="shared" si="20"/>
        <v>31</v>
      </c>
      <c r="F86" s="16">
        <f t="shared" si="20"/>
        <v>40</v>
      </c>
      <c r="G86" s="16">
        <f t="shared" si="20"/>
        <v>50</v>
      </c>
      <c r="H86" s="16">
        <f t="shared" si="20"/>
        <v>61</v>
      </c>
      <c r="I86" s="16">
        <f t="shared" si="20"/>
        <v>73</v>
      </c>
      <c r="J86" s="16">
        <f t="shared" si="20"/>
        <v>86</v>
      </c>
      <c r="K86" s="16">
        <f t="shared" si="20"/>
        <v>100</v>
      </c>
      <c r="L86" s="16">
        <f t="shared" si="20"/>
        <v>115</v>
      </c>
    </row>
    <row r="87" spans="1:12" x14ac:dyDescent="0.25">
      <c r="A87" t="s">
        <v>41</v>
      </c>
      <c r="B87" s="16">
        <f t="shared" ref="B87:L87" si="21">B22</f>
        <v>35</v>
      </c>
      <c r="C87" s="16">
        <f t="shared" si="21"/>
        <v>35</v>
      </c>
      <c r="D87" s="16">
        <f t="shared" si="21"/>
        <v>35</v>
      </c>
      <c r="E87" s="16">
        <f t="shared" si="21"/>
        <v>35</v>
      </c>
      <c r="F87" s="16">
        <f t="shared" si="21"/>
        <v>35</v>
      </c>
      <c r="G87" s="16">
        <f t="shared" si="21"/>
        <v>35</v>
      </c>
      <c r="H87" s="16">
        <f t="shared" si="21"/>
        <v>35</v>
      </c>
      <c r="I87" s="16">
        <f t="shared" si="21"/>
        <v>35</v>
      </c>
      <c r="J87" s="16">
        <f t="shared" si="21"/>
        <v>35</v>
      </c>
      <c r="K87" s="16">
        <f t="shared" si="21"/>
        <v>35</v>
      </c>
      <c r="L87" s="16">
        <f t="shared" si="21"/>
        <v>35</v>
      </c>
    </row>
    <row r="88" spans="1:12" x14ac:dyDescent="0.25">
      <c r="A88" t="s">
        <v>410</v>
      </c>
      <c r="B88" s="16">
        <f t="shared" ref="B88:L88" si="22">B23</f>
        <v>1771.4840182648402</v>
      </c>
      <c r="C88" s="16">
        <f t="shared" si="22"/>
        <v>1771.4840182648402</v>
      </c>
      <c r="D88" s="16">
        <f t="shared" si="22"/>
        <v>1771.4840182648402</v>
      </c>
      <c r="E88" s="16">
        <f t="shared" si="22"/>
        <v>1771.4840182648402</v>
      </c>
      <c r="F88" s="16">
        <f t="shared" si="22"/>
        <v>1771.4840182648402</v>
      </c>
      <c r="G88" s="16">
        <f t="shared" si="22"/>
        <v>1771.4840182648402</v>
      </c>
      <c r="H88" s="16">
        <f t="shared" si="22"/>
        <v>1771.4840182648402</v>
      </c>
      <c r="I88" s="16">
        <f t="shared" si="22"/>
        <v>1771.4840182648402</v>
      </c>
      <c r="J88" s="16">
        <f t="shared" si="22"/>
        <v>1771.4840182648402</v>
      </c>
      <c r="K88" s="16">
        <f t="shared" si="22"/>
        <v>1771.4840182648402</v>
      </c>
      <c r="L88" s="16">
        <f t="shared" si="22"/>
        <v>1771.4840182648402</v>
      </c>
    </row>
    <row r="90" spans="1:12" x14ac:dyDescent="0.25">
      <c r="A90" s="9" t="s">
        <v>433</v>
      </c>
      <c r="B90" s="9">
        <v>0</v>
      </c>
      <c r="C90" s="9">
        <v>1</v>
      </c>
      <c r="D90" s="9">
        <v>2</v>
      </c>
      <c r="E90" s="9">
        <v>3</v>
      </c>
      <c r="F90" s="9">
        <v>4</v>
      </c>
      <c r="G90" s="9">
        <v>5</v>
      </c>
      <c r="H90" s="9">
        <v>6</v>
      </c>
      <c r="I90" s="9">
        <v>7</v>
      </c>
      <c r="J90" s="9">
        <v>8</v>
      </c>
      <c r="K90" s="9">
        <v>9</v>
      </c>
      <c r="L90" s="9">
        <v>10</v>
      </c>
    </row>
    <row r="91" spans="1:12" x14ac:dyDescent="0.25">
      <c r="A91" t="s">
        <v>210</v>
      </c>
      <c r="B91" s="5">
        <f>SUM(B71:B79)/B68-1</f>
        <v>0.16070000000000007</v>
      </c>
      <c r="C91" s="5">
        <f t="shared" ref="C91:L91" si="23">SUM(C71:C79)/C68-1</f>
        <v>3.9860920478156814E-2</v>
      </c>
      <c r="D91" s="5">
        <f t="shared" si="23"/>
        <v>1.1697638332163196E-2</v>
      </c>
      <c r="E91" s="5">
        <f t="shared" si="23"/>
        <v>-0.22484303330049105</v>
      </c>
      <c r="F91" s="5">
        <f t="shared" si="23"/>
        <v>-0.2146950769946</v>
      </c>
      <c r="G91" s="5">
        <f t="shared" si="23"/>
        <v>-0.29949127352486526</v>
      </c>
      <c r="H91" s="5">
        <f t="shared" si="23"/>
        <v>-0.30737722040281634</v>
      </c>
      <c r="I91" s="5">
        <f t="shared" si="23"/>
        <v>-0.29591466807222844</v>
      </c>
      <c r="J91" s="5">
        <f t="shared" si="23"/>
        <v>-0.3423347495759731</v>
      </c>
      <c r="K91" s="5">
        <f t="shared" si="23"/>
        <v>-0.33601457608470786</v>
      </c>
      <c r="L91" s="5">
        <f t="shared" si="23"/>
        <v>-0.36475279214324097</v>
      </c>
    </row>
    <row r="92" spans="1:12" ht="17.100000000000001" customHeight="1" x14ac:dyDescent="0.25"/>
    <row r="93" spans="1:12" ht="17.100000000000001" customHeight="1" x14ac:dyDescent="0.25">
      <c r="A93" s="9" t="s">
        <v>434</v>
      </c>
      <c r="B93" s="9">
        <v>0</v>
      </c>
      <c r="C93" s="9">
        <v>1</v>
      </c>
      <c r="D93" s="9">
        <v>2</v>
      </c>
      <c r="E93" s="9">
        <v>3</v>
      </c>
      <c r="F93" s="9">
        <v>4</v>
      </c>
      <c r="G93" s="9">
        <v>5</v>
      </c>
      <c r="H93" s="9">
        <v>6</v>
      </c>
      <c r="I93" s="9">
        <v>7</v>
      </c>
      <c r="J93" s="9">
        <v>8</v>
      </c>
      <c r="K93" s="9">
        <v>9</v>
      </c>
      <c r="L93" s="9">
        <v>10</v>
      </c>
    </row>
    <row r="94" spans="1:12" ht="17.100000000000001" customHeight="1" x14ac:dyDescent="0.25">
      <c r="A94" t="s">
        <v>210</v>
      </c>
      <c r="B94" s="5">
        <f>SUM(B85:B88)/B68-1</f>
        <v>0</v>
      </c>
      <c r="C94" s="5">
        <f t="shared" ref="C94:L94" si="24">SUM(C85:C88)/C68-1</f>
        <v>4.893087933757867E-3</v>
      </c>
      <c r="D94" s="5">
        <f t="shared" si="24"/>
        <v>-1.936417492910214E-2</v>
      </c>
      <c r="E94" s="5">
        <f t="shared" si="24"/>
        <v>-1.2010964040018113E-2</v>
      </c>
      <c r="F94" s="5">
        <f t="shared" si="24"/>
        <v>4.4133923694289479E-3</v>
      </c>
      <c r="G94" s="5">
        <f t="shared" si="24"/>
        <v>-5.1685698915035161E-2</v>
      </c>
      <c r="H94" s="5">
        <f t="shared" si="24"/>
        <v>-5.8542480086962501E-2</v>
      </c>
      <c r="I94" s="5">
        <f t="shared" si="24"/>
        <v>-3.8758683401575511E-2</v>
      </c>
      <c r="J94" s="5">
        <f t="shared" si="24"/>
        <v>-9.7910866402411645E-2</v>
      </c>
      <c r="K94" s="5">
        <f t="shared" si="24"/>
        <v>-8.4684442873970478E-2</v>
      </c>
      <c r="L94" s="5">
        <f t="shared" si="24"/>
        <v>-0.11966290251286593</v>
      </c>
    </row>
    <row r="95" spans="1:12" ht="17.100000000000001" customHeight="1" x14ac:dyDescent="0.25"/>
    <row r="96" spans="1:12" x14ac:dyDescent="0.25">
      <c r="A96" s="9" t="s">
        <v>399</v>
      </c>
      <c r="B96" s="9">
        <v>0</v>
      </c>
      <c r="C96" s="9">
        <v>1</v>
      </c>
      <c r="D96" s="9">
        <v>2</v>
      </c>
      <c r="E96" s="9">
        <v>3</v>
      </c>
      <c r="F96" s="9">
        <v>4</v>
      </c>
      <c r="G96" s="9">
        <v>5</v>
      </c>
      <c r="H96" s="9">
        <v>6</v>
      </c>
      <c r="I96" s="9">
        <v>7</v>
      </c>
      <c r="J96" s="9">
        <v>8</v>
      </c>
      <c r="K96" s="9">
        <v>9</v>
      </c>
      <c r="L96" s="9">
        <v>10</v>
      </c>
    </row>
    <row r="97" spans="1:12" x14ac:dyDescent="0.25">
      <c r="A97" t="s">
        <v>400</v>
      </c>
      <c r="B97">
        <f>'Game Assumptions'!$B$131</f>
        <v>287</v>
      </c>
      <c r="C97" s="16">
        <f>(1-C94)*'Game Assumptions'!$B$131</f>
        <v>285.59568376301149</v>
      </c>
      <c r="D97" s="16">
        <f>(1-D94)*'Game Assumptions'!$B$131</f>
        <v>292.55751820465235</v>
      </c>
      <c r="E97" s="16">
        <f>(1-E94)*'Game Assumptions'!$B$131</f>
        <v>290.44714667948517</v>
      </c>
      <c r="F97" s="16">
        <f>(1-F94)*'Game Assumptions'!$B$131</f>
        <v>285.73335638997389</v>
      </c>
      <c r="G97" s="16">
        <f>(1-G94)*'Game Assumptions'!$B$131</f>
        <v>301.83379558861509</v>
      </c>
      <c r="H97" s="16">
        <f>(1-H94)*'Game Assumptions'!$B$131</f>
        <v>303.80169178495822</v>
      </c>
      <c r="I97" s="16">
        <f>(1-I94)*'Game Assumptions'!$B$131</f>
        <v>298.12374213625213</v>
      </c>
      <c r="J97" s="16">
        <f>(1-J94)*'Game Assumptions'!$B$131</f>
        <v>315.10041865749218</v>
      </c>
      <c r="K97" s="16">
        <f>(1-K94)*'Game Assumptions'!$B$131</f>
        <v>311.30443510482957</v>
      </c>
      <c r="L97" s="16">
        <f>(1-L94)*'Game Assumptions'!$B$131</f>
        <v>321.34325302119254</v>
      </c>
    </row>
    <row r="106" spans="1:12" x14ac:dyDescent="0.25">
      <c r="A106" t="s">
        <v>33</v>
      </c>
    </row>
    <row r="107" spans="1:12" x14ac:dyDescent="0.25">
      <c r="A107" t="s">
        <v>34</v>
      </c>
    </row>
    <row r="108" spans="1:12" x14ac:dyDescent="0.25">
      <c r="A108" t="s">
        <v>35</v>
      </c>
    </row>
    <row r="110" spans="1:12" x14ac:dyDescent="0.25">
      <c r="A110" t="s">
        <v>42</v>
      </c>
    </row>
    <row r="112" spans="1:12" x14ac:dyDescent="0.25">
      <c r="A112" t="s">
        <v>43</v>
      </c>
    </row>
    <row r="113" spans="1:10" x14ac:dyDescent="0.25">
      <c r="A113" t="s">
        <v>44</v>
      </c>
    </row>
    <row r="115" spans="1:10" x14ac:dyDescent="0.25">
      <c r="A115" t="s">
        <v>45</v>
      </c>
    </row>
    <row r="116" spans="1:10" x14ac:dyDescent="0.25">
      <c r="D116" t="s">
        <v>53</v>
      </c>
      <c r="J116" t="s">
        <v>61</v>
      </c>
    </row>
    <row r="117" spans="1:10" x14ac:dyDescent="0.25">
      <c r="A117" t="s">
        <v>46</v>
      </c>
      <c r="D117" t="s">
        <v>54</v>
      </c>
      <c r="J117" t="s">
        <v>62</v>
      </c>
    </row>
    <row r="118" spans="1:10" x14ac:dyDescent="0.25">
      <c r="A118" t="s">
        <v>47</v>
      </c>
      <c r="D118" t="s">
        <v>55</v>
      </c>
      <c r="J118" t="s">
        <v>63</v>
      </c>
    </row>
    <row r="119" spans="1:10" x14ac:dyDescent="0.25">
      <c r="A119" t="s">
        <v>48</v>
      </c>
      <c r="D119" t="s">
        <v>56</v>
      </c>
      <c r="J119" t="s">
        <v>64</v>
      </c>
    </row>
    <row r="120" spans="1:10" x14ac:dyDescent="0.25">
      <c r="A120" t="s">
        <v>52</v>
      </c>
      <c r="D120" t="s">
        <v>57</v>
      </c>
    </row>
    <row r="121" spans="1:10" x14ac:dyDescent="0.25">
      <c r="A121" t="s">
        <v>49</v>
      </c>
      <c r="D121" t="s">
        <v>58</v>
      </c>
    </row>
    <row r="122" spans="1:10" x14ac:dyDescent="0.25">
      <c r="A122" t="s">
        <v>47</v>
      </c>
      <c r="D122" t="s">
        <v>59</v>
      </c>
    </row>
    <row r="123" spans="1:10" x14ac:dyDescent="0.25">
      <c r="A123" t="s">
        <v>50</v>
      </c>
      <c r="D123" t="s">
        <v>60</v>
      </c>
    </row>
    <row r="125" spans="1:10" x14ac:dyDescent="0.25">
      <c r="A125" t="s">
        <v>51</v>
      </c>
    </row>
    <row r="127" spans="1:10" x14ac:dyDescent="0.25">
      <c r="A127" t="s">
        <v>65</v>
      </c>
    </row>
    <row r="128" spans="1:10" x14ac:dyDescent="0.25">
      <c r="A128" t="s">
        <v>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theme="7"/>
  </sheetPr>
  <dimension ref="A1:M138"/>
  <sheetViews>
    <sheetView zoomScale="85" zoomScaleNormal="85" workbookViewId="0">
      <selection activeCell="A48" sqref="A48"/>
    </sheetView>
  </sheetViews>
  <sheetFormatPr defaultRowHeight="15" x14ac:dyDescent="0.25"/>
  <cols>
    <col min="1" max="1" width="72.28515625" customWidth="1"/>
    <col min="2" max="2" width="15.28515625" bestFit="1" customWidth="1"/>
    <col min="3" max="5" width="9.7109375" bestFit="1" customWidth="1"/>
    <col min="6" max="6" width="37.140625" bestFit="1" customWidth="1"/>
    <col min="7" max="7" width="16" customWidth="1"/>
    <col min="8" max="9" width="9.7109375" bestFit="1" customWidth="1"/>
    <col min="10" max="10" width="27.7109375" bestFit="1" customWidth="1"/>
    <col min="11" max="11" width="9.7109375" bestFit="1" customWidth="1"/>
  </cols>
  <sheetData>
    <row r="1" spans="1:10" ht="19.5" thickBot="1" x14ac:dyDescent="0.35">
      <c r="A1" s="20" t="s">
        <v>14</v>
      </c>
      <c r="B1" s="20"/>
      <c r="C1" s="20"/>
      <c r="D1" s="20"/>
      <c r="E1" s="20"/>
      <c r="F1" s="20"/>
      <c r="G1" s="20"/>
    </row>
    <row r="2" spans="1:10" ht="15.75" thickBot="1" x14ac:dyDescent="0.3">
      <c r="A2" t="s">
        <v>150</v>
      </c>
      <c r="B2" s="93">
        <v>981814740.74492908</v>
      </c>
      <c r="C2" t="s">
        <v>272</v>
      </c>
    </row>
    <row r="3" spans="1:10" ht="15.75" thickBot="1" x14ac:dyDescent="0.3">
      <c r="A3" t="s">
        <v>151</v>
      </c>
      <c r="B3" s="93">
        <v>981814740.74492908</v>
      </c>
      <c r="C3" t="s">
        <v>272</v>
      </c>
      <c r="J3" s="94"/>
    </row>
    <row r="4" spans="1:10" ht="15.75" thickBot="1" x14ac:dyDescent="0.3">
      <c r="A4" t="s">
        <v>152</v>
      </c>
      <c r="B4" s="93">
        <v>981814740.74492908</v>
      </c>
      <c r="C4" t="s">
        <v>272</v>
      </c>
    </row>
    <row r="5" spans="1:10" ht="15.75" thickBot="1" x14ac:dyDescent="0.3">
      <c r="A5" t="s">
        <v>295</v>
      </c>
      <c r="B5" s="112">
        <v>0.08</v>
      </c>
      <c r="C5" t="s">
        <v>272</v>
      </c>
    </row>
    <row r="6" spans="1:10" ht="15.75" thickBot="1" x14ac:dyDescent="0.3">
      <c r="A6" t="s">
        <v>355</v>
      </c>
      <c r="B6" s="85">
        <v>0.05</v>
      </c>
      <c r="C6" t="s">
        <v>272</v>
      </c>
    </row>
    <row r="7" spans="1:10" x14ac:dyDescent="0.25">
      <c r="A7" t="s">
        <v>113</v>
      </c>
      <c r="B7" s="5">
        <v>0.25</v>
      </c>
    </row>
    <row r="8" spans="1:10" x14ac:dyDescent="0.25">
      <c r="A8" t="s">
        <v>147</v>
      </c>
      <c r="B8" s="7">
        <v>5</v>
      </c>
    </row>
    <row r="9" spans="1:10" ht="15.75" thickBot="1" x14ac:dyDescent="0.3">
      <c r="A9" t="s">
        <v>248</v>
      </c>
      <c r="B9" s="7">
        <v>100</v>
      </c>
    </row>
    <row r="10" spans="1:10" ht="15.75" thickBot="1" x14ac:dyDescent="0.3">
      <c r="A10" t="s">
        <v>271</v>
      </c>
      <c r="B10" s="85">
        <v>0.02</v>
      </c>
      <c r="C10" t="s">
        <v>272</v>
      </c>
    </row>
    <row r="11" spans="1:10" ht="15.75" thickBot="1" x14ac:dyDescent="0.3">
      <c r="A11" t="s">
        <v>292</v>
      </c>
      <c r="B11" s="91">
        <v>3.3000000000000002E-2</v>
      </c>
      <c r="C11" t="s">
        <v>272</v>
      </c>
    </row>
    <row r="12" spans="1:10" ht="15.75" thickBot="1" x14ac:dyDescent="0.3">
      <c r="A12" t="s">
        <v>293</v>
      </c>
      <c r="B12" s="91">
        <v>3.3000000000000002E-2</v>
      </c>
    </row>
    <row r="13" spans="1:10" ht="15.75" thickBot="1" x14ac:dyDescent="0.3">
      <c r="A13" t="s">
        <v>294</v>
      </c>
      <c r="B13" s="92">
        <v>3.3000000000000002E-2</v>
      </c>
      <c r="C13" t="s">
        <v>396</v>
      </c>
    </row>
    <row r="14" spans="1:10" x14ac:dyDescent="0.25">
      <c r="A14" t="s">
        <v>356</v>
      </c>
      <c r="B14" s="110">
        <v>20</v>
      </c>
      <c r="C14" s="65"/>
    </row>
    <row r="15" spans="1:10" x14ac:dyDescent="0.25">
      <c r="A15" t="s">
        <v>374</v>
      </c>
      <c r="B15" s="87">
        <v>0.1</v>
      </c>
      <c r="C15" s="65"/>
    </row>
    <row r="16" spans="1:10" x14ac:dyDescent="0.25">
      <c r="A16" t="s">
        <v>375</v>
      </c>
      <c r="B16" s="87">
        <v>0.03</v>
      </c>
      <c r="C16" s="65"/>
    </row>
    <row r="17" spans="1:11" x14ac:dyDescent="0.25">
      <c r="B17" s="87"/>
      <c r="C17" s="65"/>
    </row>
    <row r="18" spans="1:11" ht="18.75" x14ac:dyDescent="0.3">
      <c r="A18" s="20" t="s">
        <v>340</v>
      </c>
      <c r="B18" s="105"/>
      <c r="C18" s="65"/>
    </row>
    <row r="19" spans="1:11" x14ac:dyDescent="0.25">
      <c r="A19" t="s">
        <v>337</v>
      </c>
      <c r="B19" s="7">
        <v>3</v>
      </c>
      <c r="C19" s="65"/>
    </row>
    <row r="20" spans="1:11" x14ac:dyDescent="0.25">
      <c r="A20" t="s">
        <v>341</v>
      </c>
      <c r="B20" s="5">
        <v>0.05</v>
      </c>
    </row>
    <row r="21" spans="1:11" x14ac:dyDescent="0.25">
      <c r="A21" t="s">
        <v>343</v>
      </c>
      <c r="B21" s="18">
        <v>0.2</v>
      </c>
    </row>
    <row r="22" spans="1:11" x14ac:dyDescent="0.25">
      <c r="A22" t="s">
        <v>445</v>
      </c>
      <c r="B22" s="7">
        <v>5</v>
      </c>
    </row>
    <row r="24" spans="1:11" ht="18.75" x14ac:dyDescent="0.3">
      <c r="A24" s="20" t="s">
        <v>89</v>
      </c>
      <c r="B24" s="21"/>
      <c r="C24" s="21"/>
      <c r="D24" s="21"/>
      <c r="E24" s="21"/>
      <c r="F24" s="21"/>
      <c r="G24" s="21"/>
      <c r="H24" s="21"/>
      <c r="I24" s="21"/>
      <c r="J24" s="21"/>
      <c r="K24" s="21"/>
    </row>
    <row r="25" spans="1:11" x14ac:dyDescent="0.25">
      <c r="A25" s="9" t="s">
        <v>78</v>
      </c>
      <c r="B25" s="9"/>
      <c r="F25" s="9" t="s">
        <v>80</v>
      </c>
      <c r="G25" s="9"/>
      <c r="J25" s="9" t="s">
        <v>166</v>
      </c>
      <c r="K25" s="3"/>
    </row>
    <row r="26" spans="1:11" x14ac:dyDescent="0.25">
      <c r="A26" t="s">
        <v>7</v>
      </c>
      <c r="B26">
        <v>40</v>
      </c>
      <c r="C26" t="s">
        <v>25</v>
      </c>
      <c r="F26" t="s">
        <v>7</v>
      </c>
      <c r="G26" s="7">
        <f>AVERAGE(3000,8400)*1000</f>
        <v>5700000</v>
      </c>
      <c r="H26" t="s">
        <v>25</v>
      </c>
      <c r="J26" t="s">
        <v>7</v>
      </c>
      <c r="K26">
        <v>1.075</v>
      </c>
    </row>
    <row r="27" spans="1:11" x14ac:dyDescent="0.25">
      <c r="A27" t="s">
        <v>8</v>
      </c>
      <c r="B27">
        <v>20</v>
      </c>
      <c r="C27" t="s">
        <v>25</v>
      </c>
      <c r="F27" t="s">
        <v>8</v>
      </c>
      <c r="G27" s="7">
        <f>AVERAGE(1000,1300)*1000</f>
        <v>1150000</v>
      </c>
      <c r="H27" t="s">
        <v>25</v>
      </c>
      <c r="J27" t="s">
        <v>8</v>
      </c>
      <c r="K27">
        <v>0.60499999999999998</v>
      </c>
    </row>
    <row r="28" spans="1:11" x14ac:dyDescent="0.25">
      <c r="A28" t="s">
        <v>13</v>
      </c>
      <c r="B28">
        <v>40</v>
      </c>
      <c r="C28" t="s">
        <v>25</v>
      </c>
      <c r="F28" t="s">
        <v>13</v>
      </c>
      <c r="G28" s="7">
        <f>AVERAGE(5400,8200)*1000</f>
        <v>6800000</v>
      </c>
      <c r="H28" t="s">
        <v>25</v>
      </c>
      <c r="J28" t="s">
        <v>13</v>
      </c>
      <c r="K28">
        <v>0</v>
      </c>
    </row>
    <row r="29" spans="1:11" x14ac:dyDescent="0.25">
      <c r="A29" t="s">
        <v>9</v>
      </c>
      <c r="B29">
        <v>30</v>
      </c>
      <c r="C29" t="s">
        <v>25</v>
      </c>
      <c r="F29" t="s">
        <v>9</v>
      </c>
      <c r="G29" s="7">
        <f>AVERAGE(1750,1500,1600,1400)*1000</f>
        <v>1562500</v>
      </c>
      <c r="H29" t="s">
        <v>25</v>
      </c>
      <c r="J29" t="s">
        <v>9</v>
      </c>
      <c r="K29">
        <v>0</v>
      </c>
    </row>
    <row r="30" spans="1:11" x14ac:dyDescent="0.25">
      <c r="A30" t="s">
        <v>10</v>
      </c>
      <c r="B30">
        <v>20</v>
      </c>
      <c r="C30" t="s">
        <v>25</v>
      </c>
      <c r="F30" t="s">
        <v>10</v>
      </c>
      <c r="G30" s="7">
        <f>AVERAGE(1250,1700)*1000</f>
        <v>1475000</v>
      </c>
      <c r="H30" t="s">
        <v>25</v>
      </c>
      <c r="J30" t="s">
        <v>10</v>
      </c>
      <c r="K30">
        <v>0</v>
      </c>
    </row>
    <row r="31" spans="1:11" x14ac:dyDescent="0.25">
      <c r="A31" t="s">
        <v>11</v>
      </c>
      <c r="B31">
        <v>60</v>
      </c>
      <c r="C31" t="s">
        <v>79</v>
      </c>
      <c r="F31" t="s">
        <v>11</v>
      </c>
      <c r="G31" s="7">
        <v>2936000</v>
      </c>
      <c r="H31" t="s">
        <v>364</v>
      </c>
      <c r="J31" t="s">
        <v>11</v>
      </c>
      <c r="K31">
        <v>0</v>
      </c>
    </row>
    <row r="32" spans="1:11" x14ac:dyDescent="0.25">
      <c r="A32" t="s">
        <v>12</v>
      </c>
      <c r="B32">
        <v>10</v>
      </c>
      <c r="C32" t="s">
        <v>79</v>
      </c>
      <c r="F32" t="s">
        <v>12</v>
      </c>
      <c r="G32" s="7">
        <f>0.054*1000*8760</f>
        <v>473040</v>
      </c>
      <c r="H32" t="s">
        <v>368</v>
      </c>
      <c r="J32" t="s">
        <v>12</v>
      </c>
      <c r="K32">
        <v>0</v>
      </c>
    </row>
    <row r="33" spans="1:11" x14ac:dyDescent="0.25">
      <c r="A33" t="s">
        <v>362</v>
      </c>
      <c r="B33" t="s">
        <v>366</v>
      </c>
      <c r="F33" t="s">
        <v>362</v>
      </c>
      <c r="G33" s="7">
        <f>900*1000</f>
        <v>900000</v>
      </c>
      <c r="H33" t="s">
        <v>25</v>
      </c>
    </row>
    <row r="34" spans="1:11" x14ac:dyDescent="0.25">
      <c r="A34" t="s">
        <v>363</v>
      </c>
      <c r="B34" t="s">
        <v>366</v>
      </c>
      <c r="F34" t="s">
        <v>363</v>
      </c>
      <c r="G34" s="7">
        <f>AVERAGE(513,1263)*1000*100/25</f>
        <v>3552000</v>
      </c>
      <c r="H34" t="s">
        <v>25</v>
      </c>
    </row>
    <row r="35" spans="1:11" x14ac:dyDescent="0.25">
      <c r="A35" t="s">
        <v>186</v>
      </c>
      <c r="B35" t="s">
        <v>366</v>
      </c>
      <c r="F35" t="s">
        <v>186</v>
      </c>
      <c r="G35" s="7">
        <v>5288000</v>
      </c>
      <c r="H35" t="s">
        <v>364</v>
      </c>
    </row>
    <row r="36" spans="1:11" x14ac:dyDescent="0.25">
      <c r="A36" t="s">
        <v>346</v>
      </c>
      <c r="B36">
        <v>10</v>
      </c>
      <c r="C36" t="s">
        <v>367</v>
      </c>
      <c r="F36" t="s">
        <v>346</v>
      </c>
      <c r="G36" s="7">
        <f>2.74*1000*B36</f>
        <v>27400</v>
      </c>
      <c r="H36" t="s">
        <v>25</v>
      </c>
    </row>
    <row r="38" spans="1:11" x14ac:dyDescent="0.25">
      <c r="A38" s="9" t="s">
        <v>81</v>
      </c>
      <c r="B38" s="9"/>
      <c r="F38" s="9" t="s">
        <v>88</v>
      </c>
      <c r="G38" s="3"/>
      <c r="J38" s="9" t="s">
        <v>303</v>
      </c>
      <c r="K38" s="3"/>
    </row>
    <row r="39" spans="1:11" x14ac:dyDescent="0.25">
      <c r="A39" t="s">
        <v>7</v>
      </c>
      <c r="B39" s="19">
        <v>31188</v>
      </c>
      <c r="C39" t="s">
        <v>25</v>
      </c>
      <c r="F39" t="s">
        <v>7</v>
      </c>
      <c r="G39" s="15">
        <v>4.47</v>
      </c>
      <c r="H39" t="s">
        <v>25</v>
      </c>
      <c r="J39" t="s">
        <v>7</v>
      </c>
      <c r="K39" s="16">
        <v>700</v>
      </c>
    </row>
    <row r="40" spans="1:11" x14ac:dyDescent="0.25">
      <c r="A40" t="s">
        <v>8</v>
      </c>
      <c r="B40" s="19">
        <v>11429</v>
      </c>
      <c r="C40" t="s">
        <v>25</v>
      </c>
      <c r="F40" t="s">
        <v>8</v>
      </c>
      <c r="G40" s="15">
        <v>6.63</v>
      </c>
      <c r="H40" t="s">
        <v>25</v>
      </c>
      <c r="J40" t="s">
        <v>8</v>
      </c>
      <c r="K40" s="16">
        <v>1000</v>
      </c>
    </row>
    <row r="41" spans="1:11" ht="15.75" thickBot="1" x14ac:dyDescent="0.3">
      <c r="A41" t="s">
        <v>13</v>
      </c>
      <c r="B41" s="19">
        <v>93280</v>
      </c>
      <c r="C41" t="s">
        <v>25</v>
      </c>
      <c r="F41" t="s">
        <v>13</v>
      </c>
      <c r="G41" s="15">
        <v>2.14</v>
      </c>
      <c r="H41" t="s">
        <v>25</v>
      </c>
      <c r="J41" t="s">
        <v>13</v>
      </c>
      <c r="K41" s="16">
        <v>600</v>
      </c>
    </row>
    <row r="42" spans="1:11" ht="15.75" thickBot="1" x14ac:dyDescent="0.3">
      <c r="A42" t="s">
        <v>9</v>
      </c>
      <c r="B42" s="19">
        <v>24690</v>
      </c>
      <c r="C42" t="s">
        <v>25</v>
      </c>
      <c r="F42" t="s">
        <v>9</v>
      </c>
      <c r="G42" s="63">
        <v>0.01</v>
      </c>
      <c r="H42" s="4" t="s">
        <v>168</v>
      </c>
      <c r="J42" t="s">
        <v>9</v>
      </c>
      <c r="K42" s="16">
        <v>50</v>
      </c>
    </row>
    <row r="43" spans="1:11" ht="15.75" thickBot="1" x14ac:dyDescent="0.3">
      <c r="A43" t="s">
        <v>10</v>
      </c>
      <c r="B43" s="19">
        <v>39550</v>
      </c>
      <c r="C43" t="s">
        <v>25</v>
      </c>
      <c r="F43" t="s">
        <v>10</v>
      </c>
      <c r="G43" s="63">
        <v>0.02</v>
      </c>
      <c r="H43" s="4" t="s">
        <v>168</v>
      </c>
      <c r="J43" t="s">
        <v>10</v>
      </c>
      <c r="K43" s="16">
        <v>50</v>
      </c>
    </row>
    <row r="44" spans="1:11" x14ac:dyDescent="0.25">
      <c r="A44" t="s">
        <v>11</v>
      </c>
      <c r="B44" s="19">
        <v>14130</v>
      </c>
      <c r="C44" t="s">
        <v>364</v>
      </c>
      <c r="F44" t="s">
        <v>11</v>
      </c>
      <c r="G44" s="15">
        <v>7</v>
      </c>
      <c r="H44" t="s">
        <v>24</v>
      </c>
      <c r="J44" t="s">
        <v>11</v>
      </c>
      <c r="K44" s="16">
        <v>50</v>
      </c>
    </row>
    <row r="45" spans="1:11" x14ac:dyDescent="0.25">
      <c r="A45" t="s">
        <v>12</v>
      </c>
      <c r="B45" s="19">
        <v>0</v>
      </c>
      <c r="C45" t="s">
        <v>25</v>
      </c>
      <c r="F45" t="s">
        <v>12</v>
      </c>
      <c r="G45" s="15">
        <v>0</v>
      </c>
      <c r="H45" s="4"/>
      <c r="J45" t="s">
        <v>300</v>
      </c>
      <c r="K45" s="16">
        <v>10</v>
      </c>
    </row>
    <row r="46" spans="1:11" x14ac:dyDescent="0.25">
      <c r="A46" t="s">
        <v>362</v>
      </c>
      <c r="B46" s="7">
        <f>AVERAGE(5,25)*1000</f>
        <v>15000</v>
      </c>
      <c r="J46" t="s">
        <v>301</v>
      </c>
      <c r="K46" s="16">
        <v>10</v>
      </c>
    </row>
    <row r="47" spans="1:11" x14ac:dyDescent="0.25">
      <c r="A47" t="s">
        <v>363</v>
      </c>
      <c r="B47" s="7">
        <v>0</v>
      </c>
      <c r="C47" t="s">
        <v>25</v>
      </c>
      <c r="J47" t="s">
        <v>302</v>
      </c>
      <c r="K47" s="16">
        <v>10</v>
      </c>
    </row>
    <row r="48" spans="1:11" x14ac:dyDescent="0.25">
      <c r="A48" t="s">
        <v>186</v>
      </c>
      <c r="B48" s="7">
        <v>18000</v>
      </c>
      <c r="C48" t="s">
        <v>364</v>
      </c>
      <c r="K48" s="16"/>
    </row>
    <row r="49" spans="1:13" x14ac:dyDescent="0.25">
      <c r="A49" t="s">
        <v>346</v>
      </c>
      <c r="B49" s="7">
        <f>22.18*1000</f>
        <v>22180</v>
      </c>
      <c r="C49" t="s">
        <v>365</v>
      </c>
      <c r="K49" s="16"/>
    </row>
    <row r="50" spans="1:13" x14ac:dyDescent="0.25">
      <c r="K50" s="16"/>
    </row>
    <row r="51" spans="1:13" x14ac:dyDescent="0.25">
      <c r="A51" s="9" t="s">
        <v>93</v>
      </c>
      <c r="B51" s="9"/>
      <c r="F51" s="9" t="s">
        <v>128</v>
      </c>
      <c r="G51" s="3"/>
      <c r="H51" s="3"/>
    </row>
    <row r="52" spans="1:13" x14ac:dyDescent="0.25">
      <c r="A52" t="s">
        <v>7</v>
      </c>
      <c r="B52">
        <v>10.375</v>
      </c>
      <c r="C52" t="s">
        <v>25</v>
      </c>
      <c r="G52" t="s">
        <v>129</v>
      </c>
      <c r="H52" t="s">
        <v>130</v>
      </c>
    </row>
    <row r="53" spans="1:13" x14ac:dyDescent="0.25">
      <c r="A53" t="s">
        <v>8</v>
      </c>
      <c r="B53">
        <v>6.8</v>
      </c>
      <c r="C53" t="s">
        <v>25</v>
      </c>
      <c r="F53" t="s">
        <v>7</v>
      </c>
      <c r="G53">
        <v>0.6</v>
      </c>
      <c r="H53">
        <v>0.75</v>
      </c>
    </row>
    <row r="54" spans="1:13" x14ac:dyDescent="0.25">
      <c r="A54" t="s">
        <v>13</v>
      </c>
      <c r="B54">
        <v>10.45</v>
      </c>
      <c r="C54" t="s">
        <v>25</v>
      </c>
      <c r="F54" t="s">
        <v>8</v>
      </c>
      <c r="G54">
        <v>0.4</v>
      </c>
      <c r="H54">
        <v>0.85</v>
      </c>
    </row>
    <row r="55" spans="1:13" x14ac:dyDescent="0.25">
      <c r="A55" t="s">
        <v>9</v>
      </c>
      <c r="B55">
        <v>0</v>
      </c>
      <c r="C55" t="s">
        <v>25</v>
      </c>
      <c r="F55" t="s">
        <v>13</v>
      </c>
      <c r="G55">
        <v>0.9</v>
      </c>
      <c r="H55">
        <v>0.9</v>
      </c>
    </row>
    <row r="56" spans="1:13" x14ac:dyDescent="0.25">
      <c r="A56" t="s">
        <v>10</v>
      </c>
      <c r="B56">
        <v>0</v>
      </c>
      <c r="C56" t="s">
        <v>25</v>
      </c>
      <c r="F56" t="s">
        <v>9</v>
      </c>
      <c r="G56">
        <v>0.25</v>
      </c>
      <c r="H56">
        <v>0.25</v>
      </c>
    </row>
    <row r="57" spans="1:13" x14ac:dyDescent="0.25">
      <c r="A57" t="s">
        <v>11</v>
      </c>
      <c r="B57">
        <v>0</v>
      </c>
      <c r="C57" t="s">
        <v>25</v>
      </c>
      <c r="F57" t="s">
        <v>10</v>
      </c>
      <c r="G57">
        <v>0.3</v>
      </c>
      <c r="H57">
        <v>0.3</v>
      </c>
    </row>
    <row r="58" spans="1:13" x14ac:dyDescent="0.25">
      <c r="A58" t="s">
        <v>12</v>
      </c>
      <c r="B58">
        <v>0</v>
      </c>
      <c r="C58" t="s">
        <v>25</v>
      </c>
      <c r="F58" t="s">
        <v>11</v>
      </c>
      <c r="G58">
        <v>0.6</v>
      </c>
      <c r="H58">
        <v>0.6</v>
      </c>
    </row>
    <row r="59" spans="1:13" x14ac:dyDescent="0.25">
      <c r="F59" t="s">
        <v>300</v>
      </c>
      <c r="G59">
        <v>1</v>
      </c>
      <c r="H59">
        <v>1</v>
      </c>
    </row>
    <row r="60" spans="1:13" x14ac:dyDescent="0.25">
      <c r="F60" t="s">
        <v>301</v>
      </c>
      <c r="G60">
        <v>1</v>
      </c>
      <c r="H60">
        <v>1</v>
      </c>
    </row>
    <row r="61" spans="1:13" x14ac:dyDescent="0.25">
      <c r="F61" t="s">
        <v>302</v>
      </c>
      <c r="G61">
        <v>0.25</v>
      </c>
      <c r="H61">
        <v>0.25</v>
      </c>
    </row>
    <row r="64" spans="1:13" ht="18.75" x14ac:dyDescent="0.3">
      <c r="A64" s="20" t="s">
        <v>91</v>
      </c>
      <c r="B64" s="21"/>
      <c r="C64" s="21"/>
      <c r="D64" s="21"/>
      <c r="E64" s="21"/>
      <c r="F64" s="21"/>
      <c r="G64" s="21"/>
      <c r="H64" s="21"/>
      <c r="I64" s="21"/>
      <c r="J64" s="21"/>
      <c r="K64" s="21"/>
      <c r="L64" s="21"/>
      <c r="M64" s="21"/>
    </row>
    <row r="65" spans="1:13" x14ac:dyDescent="0.25">
      <c r="A65" s="1" t="s">
        <v>19</v>
      </c>
      <c r="B65" s="1">
        <v>0</v>
      </c>
      <c r="C65" s="1">
        <v>1</v>
      </c>
      <c r="D65" s="1">
        <v>2</v>
      </c>
      <c r="E65" s="1">
        <v>3</v>
      </c>
      <c r="F65" s="1">
        <v>4</v>
      </c>
      <c r="G65" s="1">
        <v>5</v>
      </c>
      <c r="H65" s="1">
        <v>6</v>
      </c>
      <c r="I65" s="1">
        <v>7</v>
      </c>
      <c r="J65" s="1">
        <v>8</v>
      </c>
      <c r="K65" s="1">
        <v>9</v>
      </c>
      <c r="L65" s="1">
        <v>10</v>
      </c>
      <c r="M65" s="1" t="s">
        <v>23</v>
      </c>
    </row>
    <row r="66" spans="1:13" x14ac:dyDescent="0.25">
      <c r="A66" t="s">
        <v>16</v>
      </c>
      <c r="B66">
        <v>2.34</v>
      </c>
      <c r="C66">
        <v>2.27</v>
      </c>
      <c r="D66">
        <v>2.2599999999999998</v>
      </c>
      <c r="E66">
        <v>2.25</v>
      </c>
      <c r="F66">
        <v>2.27</v>
      </c>
      <c r="G66">
        <v>2.2999999999999998</v>
      </c>
      <c r="H66">
        <v>2.34</v>
      </c>
      <c r="I66">
        <v>2.38</v>
      </c>
      <c r="J66">
        <v>2.42</v>
      </c>
      <c r="K66">
        <v>2.4500000000000002</v>
      </c>
      <c r="L66">
        <v>2.48</v>
      </c>
      <c r="M66" t="s">
        <v>24</v>
      </c>
    </row>
    <row r="67" spans="1:13" x14ac:dyDescent="0.25">
      <c r="A67" t="s">
        <v>17</v>
      </c>
      <c r="B67">
        <v>4.4000000000000004</v>
      </c>
      <c r="C67">
        <v>5.04</v>
      </c>
      <c r="D67">
        <v>4.38</v>
      </c>
      <c r="E67">
        <v>4.42</v>
      </c>
      <c r="F67">
        <v>4.4000000000000004</v>
      </c>
      <c r="G67">
        <v>4.53</v>
      </c>
      <c r="H67">
        <v>4.96</v>
      </c>
      <c r="I67">
        <v>5.39</v>
      </c>
      <c r="J67">
        <v>5.65</v>
      </c>
      <c r="K67">
        <v>5.8</v>
      </c>
      <c r="L67">
        <v>5.97</v>
      </c>
      <c r="M67" t="s">
        <v>24</v>
      </c>
    </row>
    <row r="68" spans="1:13" x14ac:dyDescent="0.25">
      <c r="A68" t="s">
        <v>18</v>
      </c>
      <c r="B68" s="10">
        <v>0.85</v>
      </c>
      <c r="C68" s="10">
        <v>0.85</v>
      </c>
      <c r="D68" s="10">
        <v>0.85</v>
      </c>
      <c r="E68" s="10">
        <v>0.85</v>
      </c>
      <c r="F68" s="10">
        <v>0.85</v>
      </c>
      <c r="G68" s="10">
        <v>0.85</v>
      </c>
      <c r="H68" s="10">
        <v>0.85</v>
      </c>
      <c r="I68" s="10">
        <v>0.85</v>
      </c>
      <c r="J68" s="10">
        <v>0.85</v>
      </c>
      <c r="K68" s="10">
        <v>0.85</v>
      </c>
      <c r="L68" s="10">
        <v>0.85</v>
      </c>
      <c r="M68" s="10" t="s">
        <v>25</v>
      </c>
    </row>
    <row r="70" spans="1:13" ht="19.5" thickBot="1" x14ac:dyDescent="0.35">
      <c r="A70" s="20" t="s">
        <v>121</v>
      </c>
      <c r="B70" s="21"/>
      <c r="C70" s="21"/>
    </row>
    <row r="71" spans="1:13" ht="15.75" thickBot="1" x14ac:dyDescent="0.3">
      <c r="A71" s="42" t="s">
        <v>122</v>
      </c>
      <c r="B71" s="48">
        <v>0.02</v>
      </c>
      <c r="C71" t="s">
        <v>135</v>
      </c>
    </row>
    <row r="72" spans="1:13" x14ac:dyDescent="0.25">
      <c r="A72" s="43" t="s">
        <v>124</v>
      </c>
      <c r="B72" s="18">
        <v>0.15</v>
      </c>
      <c r="C72" t="s">
        <v>125</v>
      </c>
    </row>
    <row r="73" spans="1:13" ht="15.75" thickBot="1" x14ac:dyDescent="0.3">
      <c r="A73" s="43" t="s">
        <v>123</v>
      </c>
      <c r="B73" s="44">
        <v>0.5</v>
      </c>
    </row>
    <row r="74" spans="1:13" ht="15.75" thickBot="1" x14ac:dyDescent="0.3">
      <c r="A74" t="s">
        <v>266</v>
      </c>
      <c r="B74" s="48">
        <v>0.05</v>
      </c>
      <c r="C74" t="s">
        <v>267</v>
      </c>
    </row>
    <row r="75" spans="1:13" ht="15.75" thickBot="1" x14ac:dyDescent="0.3">
      <c r="A75" t="s">
        <v>275</v>
      </c>
      <c r="B75" s="87">
        <v>5.8000000000000003E-2</v>
      </c>
      <c r="C75" s="65" t="s">
        <v>274</v>
      </c>
    </row>
    <row r="76" spans="1:13" ht="15.75" thickBot="1" x14ac:dyDescent="0.3">
      <c r="A76" t="s">
        <v>436</v>
      </c>
      <c r="B76" s="152">
        <v>0.03</v>
      </c>
      <c r="C76" t="s">
        <v>272</v>
      </c>
    </row>
    <row r="78" spans="1:13" ht="18.75" x14ac:dyDescent="0.3">
      <c r="A78" s="20" t="s">
        <v>110</v>
      </c>
      <c r="B78" s="20"/>
      <c r="C78" s="20"/>
      <c r="D78" s="20"/>
      <c r="E78" s="20"/>
      <c r="F78" s="20"/>
      <c r="G78" s="20"/>
      <c r="H78" s="20"/>
      <c r="I78" s="20"/>
      <c r="J78" s="20"/>
      <c r="K78" s="20"/>
      <c r="L78" s="21"/>
    </row>
    <row r="79" spans="1:13" x14ac:dyDescent="0.25">
      <c r="A79" s="9" t="s">
        <v>276</v>
      </c>
      <c r="B79" s="9">
        <v>0</v>
      </c>
      <c r="C79" s="9">
        <v>1</v>
      </c>
      <c r="D79" s="9">
        <v>2</v>
      </c>
      <c r="E79" s="9">
        <v>3</v>
      </c>
      <c r="F79" s="9">
        <v>4</v>
      </c>
      <c r="G79" s="9">
        <v>5</v>
      </c>
      <c r="H79" s="9">
        <v>6</v>
      </c>
      <c r="I79" s="9">
        <v>7</v>
      </c>
      <c r="J79" s="9">
        <v>8</v>
      </c>
      <c r="K79" s="9">
        <v>9</v>
      </c>
      <c r="L79" s="9">
        <v>10</v>
      </c>
    </row>
    <row r="80" spans="1:13" x14ac:dyDescent="0.25">
      <c r="A80" t="s">
        <v>277</v>
      </c>
      <c r="B80" s="16">
        <f>8000000</f>
        <v>8000000</v>
      </c>
      <c r="C80" s="16">
        <f t="shared" ref="C80:L80" si="0">8000000</f>
        <v>8000000</v>
      </c>
      <c r="D80" s="16">
        <f t="shared" si="0"/>
        <v>8000000</v>
      </c>
      <c r="E80" s="16">
        <f t="shared" si="0"/>
        <v>8000000</v>
      </c>
      <c r="F80" s="16">
        <f t="shared" si="0"/>
        <v>8000000</v>
      </c>
      <c r="G80" s="16">
        <f t="shared" si="0"/>
        <v>8000000</v>
      </c>
      <c r="H80" s="16">
        <f t="shared" si="0"/>
        <v>8000000</v>
      </c>
      <c r="I80" s="16">
        <f t="shared" si="0"/>
        <v>8000000</v>
      </c>
      <c r="J80" s="16">
        <f t="shared" si="0"/>
        <v>8000000</v>
      </c>
      <c r="K80" s="16">
        <f t="shared" si="0"/>
        <v>8000000</v>
      </c>
      <c r="L80" s="16">
        <f t="shared" si="0"/>
        <v>8000000</v>
      </c>
    </row>
    <row r="81" spans="1:11" x14ac:dyDescent="0.25">
      <c r="A81" s="16"/>
      <c r="B81" s="16"/>
      <c r="C81" s="16"/>
      <c r="D81" s="16"/>
      <c r="E81" s="16"/>
      <c r="F81" s="16"/>
      <c r="G81" s="16"/>
      <c r="H81" s="16"/>
      <c r="I81" s="16"/>
      <c r="J81" s="16"/>
      <c r="K81" s="16"/>
    </row>
    <row r="82" spans="1:11" x14ac:dyDescent="0.25">
      <c r="A82" s="88" t="s">
        <v>281</v>
      </c>
      <c r="B82" s="88">
        <v>2010</v>
      </c>
      <c r="C82" s="88">
        <v>2011</v>
      </c>
      <c r="D82" s="88">
        <v>2012</v>
      </c>
      <c r="E82" s="88">
        <v>2013</v>
      </c>
      <c r="F82" s="88">
        <v>2014</v>
      </c>
      <c r="G82" s="16"/>
      <c r="H82" s="16"/>
      <c r="I82" s="16"/>
      <c r="J82" s="16"/>
      <c r="K82" s="16"/>
    </row>
    <row r="83" spans="1:11" x14ac:dyDescent="0.25">
      <c r="A83" s="16" t="s">
        <v>278</v>
      </c>
      <c r="B83" s="16">
        <v>1445708</v>
      </c>
      <c r="C83" s="16">
        <v>1422801</v>
      </c>
      <c r="D83" s="16">
        <v>1374515</v>
      </c>
      <c r="E83" s="16">
        <v>1394812</v>
      </c>
      <c r="F83" s="16">
        <v>1407208</v>
      </c>
      <c r="G83" s="16"/>
      <c r="H83" s="16"/>
      <c r="I83" s="16"/>
      <c r="J83" s="16"/>
      <c r="K83" s="16"/>
    </row>
    <row r="84" spans="1:11" x14ac:dyDescent="0.25">
      <c r="A84" s="16" t="s">
        <v>279</v>
      </c>
      <c r="B84" s="16">
        <v>1330199</v>
      </c>
      <c r="C84" s="16">
        <v>1328057</v>
      </c>
      <c r="D84" s="16">
        <v>1327101</v>
      </c>
      <c r="E84" s="16">
        <v>1337079</v>
      </c>
      <c r="F84" s="16">
        <v>1352158</v>
      </c>
      <c r="G84" s="16"/>
      <c r="H84" s="16"/>
      <c r="I84" s="16"/>
      <c r="J84" s="16"/>
      <c r="K84" s="16"/>
    </row>
    <row r="85" spans="1:11" x14ac:dyDescent="0.25">
      <c r="A85" s="16" t="s">
        <v>280</v>
      </c>
      <c r="B85" s="16">
        <v>971221</v>
      </c>
      <c r="C85" s="16">
        <v>991316</v>
      </c>
      <c r="D85" s="16">
        <v>985714</v>
      </c>
      <c r="E85" s="16">
        <v>985352</v>
      </c>
      <c r="F85" s="16">
        <v>997576</v>
      </c>
      <c r="G85" s="16"/>
      <c r="H85" s="16"/>
      <c r="I85" s="16"/>
      <c r="J85" s="16"/>
      <c r="K85" s="16"/>
    </row>
    <row r="86" spans="1:11" x14ac:dyDescent="0.25">
      <c r="A86" s="16"/>
      <c r="B86" s="16"/>
      <c r="C86" s="16"/>
      <c r="D86" s="16"/>
      <c r="E86" s="16"/>
      <c r="F86" s="16"/>
      <c r="G86" s="16"/>
      <c r="H86" s="16"/>
      <c r="I86" s="16"/>
      <c r="J86" s="16"/>
      <c r="K86" s="16"/>
    </row>
    <row r="87" spans="1:11" x14ac:dyDescent="0.25">
      <c r="A87" s="88" t="s">
        <v>282</v>
      </c>
      <c r="B87" s="88">
        <v>2010</v>
      </c>
      <c r="C87" s="88">
        <v>2011</v>
      </c>
      <c r="D87" s="88">
        <v>2012</v>
      </c>
      <c r="E87" s="88">
        <v>2013</v>
      </c>
      <c r="F87" s="88">
        <v>2014</v>
      </c>
      <c r="G87" s="88" t="s">
        <v>129</v>
      </c>
      <c r="H87" s="16"/>
      <c r="I87" s="16"/>
      <c r="J87" s="16"/>
      <c r="K87" s="16"/>
    </row>
    <row r="88" spans="1:11" x14ac:dyDescent="0.25">
      <c r="A88" s="16" t="s">
        <v>278</v>
      </c>
      <c r="B88" s="5">
        <f>B83/SUM(B$83:B$85)</f>
        <v>0.38581761818651511</v>
      </c>
      <c r="C88" s="5">
        <f t="shared" ref="C88:F88" si="1">C83/SUM(C$83:C$85)</f>
        <v>0.38020706680127647</v>
      </c>
      <c r="D88" s="5">
        <f t="shared" si="1"/>
        <v>0.37276701569970683</v>
      </c>
      <c r="E88" s="5">
        <f t="shared" si="1"/>
        <v>0.37522755439986033</v>
      </c>
      <c r="F88" s="5">
        <f t="shared" si="1"/>
        <v>0.37456207734907804</v>
      </c>
      <c r="G88" s="5">
        <f>AVERAGE(B88:F88)</f>
        <v>0.3777162664872874</v>
      </c>
      <c r="H88" s="16"/>
      <c r="I88" s="16"/>
      <c r="J88" s="16"/>
      <c r="K88" s="16"/>
    </row>
    <row r="89" spans="1:11" x14ac:dyDescent="0.25">
      <c r="A89" s="16" t="s">
        <v>279</v>
      </c>
      <c r="B89" s="5">
        <f t="shared" ref="B89:F90" si="2">B84/SUM(B$83:B$85)</f>
        <v>0.35499160957405246</v>
      </c>
      <c r="C89" s="5">
        <f t="shared" si="2"/>
        <v>0.35488916335798387</v>
      </c>
      <c r="D89" s="5">
        <f t="shared" si="2"/>
        <v>0.35990838899691646</v>
      </c>
      <c r="E89" s="5">
        <f t="shared" si="2"/>
        <v>0.35969642016946429</v>
      </c>
      <c r="F89" s="5">
        <f t="shared" si="2"/>
        <v>0.3599092027505349</v>
      </c>
      <c r="G89" s="5">
        <f t="shared" ref="G89:G91" si="3">AVERAGE(B89:F89)</f>
        <v>0.35787895696979038</v>
      </c>
      <c r="H89" s="16"/>
      <c r="I89" s="16"/>
      <c r="J89" s="16"/>
      <c r="K89" s="16"/>
    </row>
    <row r="90" spans="1:11" x14ac:dyDescent="0.25">
      <c r="A90" s="16" t="s">
        <v>280</v>
      </c>
      <c r="B90" s="5">
        <f t="shared" si="2"/>
        <v>0.25919077223943243</v>
      </c>
      <c r="C90" s="5">
        <f t="shared" si="2"/>
        <v>0.26490376984073966</v>
      </c>
      <c r="D90" s="5">
        <f t="shared" si="2"/>
        <v>0.26732459530337671</v>
      </c>
      <c r="E90" s="5">
        <f t="shared" si="2"/>
        <v>0.26507602543067538</v>
      </c>
      <c r="F90" s="5">
        <f t="shared" si="2"/>
        <v>0.26552871990038707</v>
      </c>
      <c r="G90" s="5">
        <f t="shared" si="3"/>
        <v>0.26440477654292227</v>
      </c>
      <c r="H90" s="16"/>
      <c r="I90" s="16"/>
      <c r="J90" s="16"/>
      <c r="K90" s="16"/>
    </row>
    <row r="91" spans="1:11" x14ac:dyDescent="0.25">
      <c r="A91" s="16" t="s">
        <v>290</v>
      </c>
      <c r="B91" s="5">
        <f>SUM(B83:B84)/SUM(B83:B85)</f>
        <v>0.74080922776056757</v>
      </c>
      <c r="C91" s="5">
        <f t="shared" ref="C91:F91" si="4">SUM(C83:C84)/SUM(C83:C85)</f>
        <v>0.7350962301592604</v>
      </c>
      <c r="D91" s="5">
        <f t="shared" si="4"/>
        <v>0.73267540469662329</v>
      </c>
      <c r="E91" s="5">
        <f t="shared" si="4"/>
        <v>0.73492397456932468</v>
      </c>
      <c r="F91" s="5">
        <f t="shared" si="4"/>
        <v>0.73447128009961293</v>
      </c>
      <c r="G91" s="5">
        <f t="shared" si="3"/>
        <v>0.73559522345707773</v>
      </c>
    </row>
    <row r="93" spans="1:11" ht="18.75" x14ac:dyDescent="0.3">
      <c r="A93" s="20" t="s">
        <v>173</v>
      </c>
      <c r="B93" s="20"/>
      <c r="C93" s="20"/>
      <c r="D93" s="20"/>
      <c r="E93" s="20"/>
      <c r="F93" s="20"/>
      <c r="G93" s="20"/>
      <c r="H93" s="20"/>
      <c r="I93" s="20"/>
      <c r="J93" s="20"/>
      <c r="K93" s="20"/>
    </row>
    <row r="94" spans="1:11" x14ac:dyDescent="0.25">
      <c r="A94" s="9" t="s">
        <v>174</v>
      </c>
      <c r="B94" s="9"/>
      <c r="C94" s="3"/>
    </row>
    <row r="95" spans="1:11" x14ac:dyDescent="0.25">
      <c r="A95" t="s">
        <v>175</v>
      </c>
      <c r="B95">
        <v>7.7837837837837833</v>
      </c>
      <c r="C95" s="65" t="s">
        <v>181</v>
      </c>
    </row>
    <row r="96" spans="1:11" x14ac:dyDescent="0.25">
      <c r="A96" t="s">
        <v>176</v>
      </c>
      <c r="B96">
        <v>7.7837837837837833</v>
      </c>
      <c r="C96" s="65" t="s">
        <v>181</v>
      </c>
    </row>
    <row r="97" spans="1:3" x14ac:dyDescent="0.25">
      <c r="A97" t="s">
        <v>177</v>
      </c>
      <c r="B97">
        <v>4.7058823529411766</v>
      </c>
      <c r="C97" s="65" t="s">
        <v>181</v>
      </c>
    </row>
    <row r="98" spans="1:3" x14ac:dyDescent="0.25">
      <c r="A98" t="s">
        <v>178</v>
      </c>
      <c r="B98">
        <v>3.2505643340857793</v>
      </c>
      <c r="C98" s="65" t="s">
        <v>181</v>
      </c>
    </row>
    <row r="99" spans="1:3" x14ac:dyDescent="0.25">
      <c r="A99" t="s">
        <v>179</v>
      </c>
      <c r="B99">
        <v>3.9782233435134779</v>
      </c>
      <c r="C99" s="65" t="s">
        <v>181</v>
      </c>
    </row>
    <row r="100" spans="1:3" x14ac:dyDescent="0.25">
      <c r="A100" t="s">
        <v>180</v>
      </c>
      <c r="B100">
        <v>1.6666666666666665</v>
      </c>
      <c r="C100" s="65" t="s">
        <v>181</v>
      </c>
    </row>
    <row r="102" spans="1:3" x14ac:dyDescent="0.25">
      <c r="A102" s="9" t="s">
        <v>182</v>
      </c>
      <c r="B102" s="9"/>
    </row>
    <row r="103" spans="1:3" x14ac:dyDescent="0.25">
      <c r="A103" t="s">
        <v>183</v>
      </c>
      <c r="B103">
        <v>0.186</v>
      </c>
      <c r="C103" t="s">
        <v>184</v>
      </c>
    </row>
    <row r="105" spans="1:3" x14ac:dyDescent="0.25">
      <c r="A105" s="9" t="s">
        <v>191</v>
      </c>
      <c r="B105" s="9"/>
    </row>
    <row r="106" spans="1:3" x14ac:dyDescent="0.25">
      <c r="A106" t="s">
        <v>192</v>
      </c>
      <c r="B106">
        <v>5000</v>
      </c>
      <c r="C106" t="s">
        <v>193</v>
      </c>
    </row>
    <row r="108" spans="1:3" x14ac:dyDescent="0.25">
      <c r="A108" s="9" t="s">
        <v>214</v>
      </c>
      <c r="B108" s="3"/>
    </row>
    <row r="109" spans="1:3" x14ac:dyDescent="0.25">
      <c r="A109" t="s">
        <v>215</v>
      </c>
      <c r="B109" s="7">
        <f>AVERAGE(959700,1536400/2,1343800,2150300/2,1919450,3071750/2)</f>
        <v>1267029.1666666667</v>
      </c>
      <c r="C109" t="s">
        <v>219</v>
      </c>
    </row>
    <row r="111" spans="1:3" x14ac:dyDescent="0.25">
      <c r="A111" s="9" t="s">
        <v>216</v>
      </c>
      <c r="B111" s="3"/>
    </row>
    <row r="112" spans="1:3" x14ac:dyDescent="0.25">
      <c r="A112" t="s">
        <v>217</v>
      </c>
      <c r="B112">
        <v>40</v>
      </c>
      <c r="C112" t="s">
        <v>218</v>
      </c>
    </row>
    <row r="114" spans="1:3" x14ac:dyDescent="0.25">
      <c r="A114" s="9" t="s">
        <v>258</v>
      </c>
      <c r="B114" s="3"/>
    </row>
    <row r="115" spans="1:3" x14ac:dyDescent="0.25">
      <c r="A115" t="s">
        <v>253</v>
      </c>
      <c r="B115" s="7">
        <f>(1282+24640+15517+30990)*10^3/12156</f>
        <v>5958.2922013820335</v>
      </c>
      <c r="C115" s="65" t="s">
        <v>256</v>
      </c>
    </row>
    <row r="117" spans="1:3" x14ac:dyDescent="0.25">
      <c r="A117" s="9" t="s">
        <v>259</v>
      </c>
      <c r="B117" s="3"/>
    </row>
    <row r="118" spans="1:3" x14ac:dyDescent="0.25">
      <c r="A118" t="s">
        <v>422</v>
      </c>
      <c r="B118" s="7">
        <v>424</v>
      </c>
      <c r="C118" s="65" t="s">
        <v>421</v>
      </c>
    </row>
    <row r="119" spans="1:3" x14ac:dyDescent="0.25">
      <c r="A119" t="s">
        <v>423</v>
      </c>
      <c r="B119" s="7">
        <v>7671</v>
      </c>
      <c r="C119" s="65" t="s">
        <v>424</v>
      </c>
    </row>
    <row r="121" spans="1:3" x14ac:dyDescent="0.25">
      <c r="A121" s="9" t="s">
        <v>261</v>
      </c>
      <c r="B121" s="9"/>
    </row>
    <row r="122" spans="1:3" x14ac:dyDescent="0.25">
      <c r="A122" t="s">
        <v>262</v>
      </c>
      <c r="B122">
        <v>1000</v>
      </c>
    </row>
    <row r="124" spans="1:3" x14ac:dyDescent="0.25">
      <c r="A124" s="9" t="s">
        <v>287</v>
      </c>
      <c r="B124" s="9"/>
    </row>
    <row r="125" spans="1:3" x14ac:dyDescent="0.25">
      <c r="A125" t="s">
        <v>288</v>
      </c>
      <c r="B125">
        <v>1.1000000000000001</v>
      </c>
    </row>
    <row r="127" spans="1:3" ht="15.75" thickBot="1" x14ac:dyDescent="0.3">
      <c r="A127" s="9" t="s">
        <v>351</v>
      </c>
      <c r="B127" s="9"/>
    </row>
    <row r="128" spans="1:3" ht="15.75" thickBot="1" x14ac:dyDescent="0.3">
      <c r="B128" s="109">
        <v>1.1000000000000001</v>
      </c>
      <c r="C128" t="s">
        <v>272</v>
      </c>
    </row>
    <row r="130" spans="1:3" x14ac:dyDescent="0.25">
      <c r="A130" s="9" t="s">
        <v>397</v>
      </c>
      <c r="B130" s="9"/>
    </row>
    <row r="131" spans="1:3" x14ac:dyDescent="0.25">
      <c r="B131">
        <v>287</v>
      </c>
      <c r="C131" t="s">
        <v>435</v>
      </c>
    </row>
    <row r="132" spans="1:3" x14ac:dyDescent="0.25">
      <c r="A132" s="9" t="s">
        <v>425</v>
      </c>
      <c r="B132" s="3"/>
    </row>
    <row r="133" spans="1:3" x14ac:dyDescent="0.25">
      <c r="A133" t="s">
        <v>417</v>
      </c>
      <c r="B133" s="7">
        <v>94919</v>
      </c>
      <c r="C133" s="65" t="s">
        <v>426</v>
      </c>
    </row>
    <row r="134" spans="1:3" x14ac:dyDescent="0.25">
      <c r="A134" t="s">
        <v>418</v>
      </c>
      <c r="B134" s="7">
        <v>589524</v>
      </c>
      <c r="C134" s="65" t="s">
        <v>427</v>
      </c>
    </row>
    <row r="136" spans="1:3" x14ac:dyDescent="0.25">
      <c r="A136" s="9" t="s">
        <v>428</v>
      </c>
      <c r="B136" s="9"/>
    </row>
    <row r="137" spans="1:3" x14ac:dyDescent="0.25">
      <c r="A137" t="s">
        <v>429</v>
      </c>
      <c r="B137" s="7">
        <v>43063</v>
      </c>
      <c r="C137" s="65" t="s">
        <v>419</v>
      </c>
    </row>
    <row r="138" spans="1:3" x14ac:dyDescent="0.25">
      <c r="A138" t="s">
        <v>418</v>
      </c>
      <c r="B138" s="7">
        <v>237644</v>
      </c>
      <c r="C138" s="65" t="s">
        <v>420</v>
      </c>
    </row>
  </sheetData>
  <hyperlinks>
    <hyperlink ref="C95" r:id="rId1" xr:uid="{00000000-0004-0000-0800-000000000000}"/>
    <hyperlink ref="C96:C100" r:id="rId2" display="http://energyenvironment.pnnl.gov/ei/pdf/NWPP%20report.pdf" xr:uid="{00000000-0004-0000-0800-000001000000}"/>
    <hyperlink ref="C115" r:id="rId3" xr:uid="{00000000-0004-0000-0800-000002000000}"/>
    <hyperlink ref="C75" r:id="rId4" xr:uid="{00000000-0004-0000-0800-000003000000}"/>
    <hyperlink ref="C133" r:id="rId5" xr:uid="{00000000-0004-0000-0800-000004000000}"/>
    <hyperlink ref="C134" r:id="rId6" xr:uid="{00000000-0004-0000-0800-000005000000}"/>
    <hyperlink ref="C118" r:id="rId7" xr:uid="{00000000-0004-0000-0800-000006000000}"/>
    <hyperlink ref="C119" r:id="rId8" xr:uid="{00000000-0004-0000-0800-000007000000}"/>
    <hyperlink ref="C137" r:id="rId9" xr:uid="{00000000-0004-0000-0800-000008000000}"/>
    <hyperlink ref="C138" r:id="rId10" xr:uid="{00000000-0004-0000-0800-000009000000}"/>
  </hyperlinks>
  <pageMargins left="0.7" right="0.7" top="0.75" bottom="0.75" header="0.3" footer="0.3"/>
  <pageSetup orientation="portrait"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theme="6"/>
  </sheetPr>
  <dimension ref="A1:O83"/>
  <sheetViews>
    <sheetView zoomScale="70" zoomScaleNormal="70" workbookViewId="0">
      <selection activeCell="A16" sqref="A16"/>
    </sheetView>
  </sheetViews>
  <sheetFormatPr defaultRowHeight="15" x14ac:dyDescent="0.25"/>
  <cols>
    <col min="1" max="1" width="57.5703125" bestFit="1" customWidth="1"/>
    <col min="2" max="2" width="26.140625" customWidth="1"/>
    <col min="3" max="3" width="14.5703125" bestFit="1" customWidth="1"/>
    <col min="4" max="4" width="13.7109375" bestFit="1" customWidth="1"/>
    <col min="5" max="5" width="26.140625" customWidth="1"/>
    <col min="6" max="6" width="14.140625" bestFit="1" customWidth="1"/>
    <col min="7" max="7" width="19.7109375" bestFit="1" customWidth="1"/>
    <col min="8" max="8" width="25.140625" customWidth="1"/>
    <col min="9" max="9" width="25.140625" bestFit="1" customWidth="1"/>
    <col min="10" max="10" width="18.5703125" customWidth="1"/>
    <col min="11" max="11" width="9.140625" customWidth="1"/>
    <col min="12" max="12" width="11.5703125" bestFit="1" customWidth="1"/>
    <col min="14" max="14" width="14.140625" bestFit="1" customWidth="1"/>
  </cols>
  <sheetData>
    <row r="1" spans="1:15" ht="15.75" thickBot="1" x14ac:dyDescent="0.3">
      <c r="A1" s="9" t="s">
        <v>82</v>
      </c>
      <c r="B1" s="9">
        <v>0</v>
      </c>
      <c r="C1" s="9">
        <v>1</v>
      </c>
      <c r="D1" s="9">
        <v>2</v>
      </c>
      <c r="E1" s="9">
        <v>3</v>
      </c>
      <c r="F1" s="9">
        <v>4</v>
      </c>
      <c r="G1" s="9">
        <v>5</v>
      </c>
      <c r="H1" s="9">
        <v>6</v>
      </c>
      <c r="I1" s="9">
        <v>7</v>
      </c>
      <c r="J1" s="9">
        <v>8</v>
      </c>
      <c r="K1" s="9">
        <v>9</v>
      </c>
      <c r="L1" s="9">
        <v>10</v>
      </c>
      <c r="N1" s="119" t="s">
        <v>402</v>
      </c>
      <c r="O1" s="108">
        <f>'Event Tracker'!$P$1</f>
        <v>0</v>
      </c>
    </row>
    <row r="2" spans="1:15" x14ac:dyDescent="0.25">
      <c r="A2" t="s">
        <v>7</v>
      </c>
      <c r="B2" s="89">
        <v>0</v>
      </c>
      <c r="C2" s="89">
        <v>0</v>
      </c>
      <c r="D2" s="89">
        <v>0</v>
      </c>
      <c r="E2" s="89">
        <f>Gameplay!$D$5</f>
        <v>0</v>
      </c>
      <c r="F2" s="89">
        <f>Gameplay!$D$5</f>
        <v>0</v>
      </c>
      <c r="G2" s="89">
        <f>Gameplay!$D$5</f>
        <v>0</v>
      </c>
      <c r="H2" s="89">
        <f>Gameplay!$D$5</f>
        <v>0</v>
      </c>
      <c r="I2" s="89">
        <f>Gameplay!$D$5</f>
        <v>0</v>
      </c>
      <c r="J2" s="89">
        <f>Gameplay!$D$5</f>
        <v>0</v>
      </c>
      <c r="K2" s="89">
        <f>Gameplay!$D$5</f>
        <v>0</v>
      </c>
      <c r="L2" s="89">
        <f>Gameplay!$D$5</f>
        <v>0</v>
      </c>
    </row>
    <row r="3" spans="1:15" x14ac:dyDescent="0.25">
      <c r="A3" t="s">
        <v>8</v>
      </c>
      <c r="B3" s="89">
        <v>0</v>
      </c>
      <c r="C3" s="89">
        <f>Gameplay!$D$6</f>
        <v>0</v>
      </c>
      <c r="D3" s="89">
        <f>Gameplay!$D$6</f>
        <v>0</v>
      </c>
      <c r="E3" s="89">
        <f>Gameplay!$D$6</f>
        <v>0</v>
      </c>
      <c r="F3" s="89">
        <f>Gameplay!$D$6</f>
        <v>0</v>
      </c>
      <c r="G3" s="89">
        <f>Gameplay!$D$6</f>
        <v>0</v>
      </c>
      <c r="H3" s="89">
        <f>Gameplay!$D$6</f>
        <v>0</v>
      </c>
      <c r="I3" s="89">
        <f>Gameplay!$D$6</f>
        <v>0</v>
      </c>
      <c r="J3" s="89">
        <f>Gameplay!$D$6</f>
        <v>0</v>
      </c>
      <c r="K3" s="89">
        <f>Gameplay!$D$6</f>
        <v>0</v>
      </c>
      <c r="L3" s="89">
        <f>Gameplay!$D$6</f>
        <v>0</v>
      </c>
    </row>
    <row r="4" spans="1:15" x14ac:dyDescent="0.25">
      <c r="A4" t="s">
        <v>13</v>
      </c>
      <c r="B4" s="89">
        <v>0</v>
      </c>
      <c r="C4" s="89">
        <f>Gameplay!$D$7</f>
        <v>0</v>
      </c>
      <c r="D4" s="89">
        <f>Gameplay!$D$7</f>
        <v>0</v>
      </c>
      <c r="E4" s="89">
        <f>Gameplay!$D$7</f>
        <v>0</v>
      </c>
      <c r="F4" s="89">
        <f>Gameplay!$D$7</f>
        <v>0</v>
      </c>
      <c r="G4" s="89">
        <f>Gameplay!$D$7</f>
        <v>0</v>
      </c>
      <c r="H4" s="89">
        <f>Gameplay!$D$7</f>
        <v>0</v>
      </c>
      <c r="I4" s="89">
        <f>Gameplay!$D$7</f>
        <v>0</v>
      </c>
      <c r="J4" s="89">
        <f>Gameplay!$D$7</f>
        <v>0</v>
      </c>
      <c r="K4" s="89">
        <f>Gameplay!$D$7</f>
        <v>0</v>
      </c>
      <c r="L4" s="89">
        <f>Gameplay!$D$7</f>
        <v>0</v>
      </c>
    </row>
    <row r="5" spans="1:15" x14ac:dyDescent="0.25">
      <c r="A5" t="s">
        <v>9</v>
      </c>
      <c r="B5" s="89">
        <v>0</v>
      </c>
      <c r="C5" s="89">
        <f>Gameplay!$D$8</f>
        <v>0</v>
      </c>
      <c r="D5" s="89">
        <f>Gameplay!$D$8</f>
        <v>0</v>
      </c>
      <c r="E5" s="89">
        <f>Gameplay!$D$8</f>
        <v>0</v>
      </c>
      <c r="F5" s="89">
        <f>Gameplay!$D$8</f>
        <v>0</v>
      </c>
      <c r="G5" s="89">
        <f>Gameplay!$D$8</f>
        <v>0</v>
      </c>
      <c r="H5" s="89">
        <f>Gameplay!$D$8</f>
        <v>0</v>
      </c>
      <c r="I5" s="89">
        <f>Gameplay!$D$8</f>
        <v>0</v>
      </c>
      <c r="J5" s="89">
        <f>Gameplay!$D$8</f>
        <v>0</v>
      </c>
      <c r="K5" s="89">
        <f>Gameplay!$D$8</f>
        <v>0</v>
      </c>
      <c r="L5" s="89">
        <f>Gameplay!$D$8</f>
        <v>0</v>
      </c>
    </row>
    <row r="6" spans="1:15" x14ac:dyDescent="0.25">
      <c r="A6" t="s">
        <v>10</v>
      </c>
      <c r="B6" s="89">
        <v>0</v>
      </c>
      <c r="C6" s="89">
        <f>Gameplay!$D$9</f>
        <v>0</v>
      </c>
      <c r="D6" s="89">
        <f>Gameplay!$D$9</f>
        <v>0</v>
      </c>
      <c r="E6" s="89">
        <f>Gameplay!$D$9</f>
        <v>0</v>
      </c>
      <c r="F6" s="89">
        <f>Gameplay!$D$9</f>
        <v>0</v>
      </c>
      <c r="G6" s="89">
        <f>Gameplay!$D$9</f>
        <v>0</v>
      </c>
      <c r="H6" s="89">
        <f>Gameplay!$D$9</f>
        <v>0</v>
      </c>
      <c r="I6" s="89">
        <f>Gameplay!$D$9</f>
        <v>0</v>
      </c>
      <c r="J6" s="89">
        <f>Gameplay!$D$9</f>
        <v>0</v>
      </c>
      <c r="K6" s="89">
        <f>Gameplay!$D$9</f>
        <v>0</v>
      </c>
      <c r="L6" s="89">
        <f>Gameplay!$D$9</f>
        <v>0</v>
      </c>
    </row>
    <row r="7" spans="1:15" x14ac:dyDescent="0.25">
      <c r="A7" t="s">
        <v>11</v>
      </c>
      <c r="B7" s="89">
        <v>0</v>
      </c>
      <c r="C7" s="89">
        <f>Gameplay!$D$10</f>
        <v>0</v>
      </c>
      <c r="D7" s="89">
        <f>Gameplay!$D$10</f>
        <v>0</v>
      </c>
      <c r="E7" s="89">
        <f>Gameplay!$D$10</f>
        <v>0</v>
      </c>
      <c r="F7" s="89">
        <f>Gameplay!$D$10</f>
        <v>0</v>
      </c>
      <c r="G7" s="89">
        <f>Gameplay!$D$10</f>
        <v>0</v>
      </c>
      <c r="H7" s="89">
        <f>Gameplay!$D$10</f>
        <v>0</v>
      </c>
      <c r="I7" s="89">
        <f>Gameplay!$D$10</f>
        <v>0</v>
      </c>
      <c r="J7" s="89">
        <f>Gameplay!$D$10</f>
        <v>0</v>
      </c>
      <c r="K7" s="89">
        <f>Gameplay!$D$10</f>
        <v>0</v>
      </c>
      <c r="L7" s="89">
        <f>Gameplay!$D$10</f>
        <v>0</v>
      </c>
    </row>
    <row r="8" spans="1:15" x14ac:dyDescent="0.25">
      <c r="A8" t="s">
        <v>300</v>
      </c>
      <c r="B8" s="89">
        <v>0</v>
      </c>
      <c r="C8" s="89">
        <f>Gameplay!$D$11</f>
        <v>0</v>
      </c>
      <c r="D8" s="89">
        <f>Gameplay!$D$11</f>
        <v>0</v>
      </c>
      <c r="E8" s="89">
        <f>Gameplay!$D$11</f>
        <v>0</v>
      </c>
      <c r="F8" s="89">
        <f>Gameplay!$D$11</f>
        <v>0</v>
      </c>
      <c r="G8" s="89">
        <f>Gameplay!$D$11</f>
        <v>0</v>
      </c>
      <c r="H8" s="89">
        <f>Gameplay!$D$11</f>
        <v>0</v>
      </c>
      <c r="I8" s="89">
        <f>Gameplay!$D$11</f>
        <v>0</v>
      </c>
      <c r="J8" s="89">
        <f>Gameplay!$D$11</f>
        <v>0</v>
      </c>
      <c r="K8" s="89">
        <f>Gameplay!$D$11</f>
        <v>0</v>
      </c>
      <c r="L8" s="89">
        <f>Gameplay!$D$11</f>
        <v>0</v>
      </c>
    </row>
    <row r="9" spans="1:15" x14ac:dyDescent="0.25">
      <c r="A9" t="s">
        <v>301</v>
      </c>
      <c r="B9" s="89">
        <v>0</v>
      </c>
      <c r="C9" s="89">
        <f>IF('Event Tracker'!C4=1,0.5*B10,'Resource Mix and Demand'!C1+5)</f>
        <v>6</v>
      </c>
      <c r="D9" s="89">
        <f>IF('Event Tracker'!D4=1,0.5*C10,'Resource Mix and Demand'!D1+5)</f>
        <v>7</v>
      </c>
      <c r="E9" s="89">
        <f>IF('Event Tracker'!E4=1,0.5*D10,'Resource Mix and Demand'!E1+5)</f>
        <v>8</v>
      </c>
      <c r="F9" s="89">
        <f>IF('Event Tracker'!F4=1,0.5*E10,'Resource Mix and Demand'!F1+5)</f>
        <v>9</v>
      </c>
      <c r="G9" s="89">
        <f>IF('Event Tracker'!G4=1,0.5*F10,'Resource Mix and Demand'!G1+5)</f>
        <v>10</v>
      </c>
      <c r="H9" s="89">
        <f>IF('Event Tracker'!H4=1,0.5*G10,'Resource Mix and Demand'!H1+5)</f>
        <v>11</v>
      </c>
      <c r="I9" s="89">
        <f>IF('Event Tracker'!I4=1,0.5*H10,'Resource Mix and Demand'!I1+5)</f>
        <v>12</v>
      </c>
      <c r="J9" s="89">
        <f>IF('Event Tracker'!J4=1,0.5*I10,'Resource Mix and Demand'!J1+5)</f>
        <v>13</v>
      </c>
      <c r="K9" s="89">
        <f>IF('Event Tracker'!K4=1,0.5*J10,'Resource Mix and Demand'!K1+5)</f>
        <v>14</v>
      </c>
      <c r="L9" s="89">
        <f>IF('Event Tracker'!L4=1,0.5*K10,'Resource Mix and Demand'!L1+5)</f>
        <v>15</v>
      </c>
    </row>
    <row r="10" spans="1:15" x14ac:dyDescent="0.25">
      <c r="A10" t="s">
        <v>302</v>
      </c>
      <c r="B10">
        <v>0</v>
      </c>
      <c r="C10">
        <f>IF('Event Tracker'!C4=1,0.5*B10,'Resource Mix and Demand'!C1+4)</f>
        <v>5</v>
      </c>
      <c r="D10">
        <f>IF('Event Tracker'!D4=1,0.5*C10,'Resource Mix and Demand'!D1+4)</f>
        <v>6</v>
      </c>
      <c r="E10">
        <f>IF('Event Tracker'!E4=1,0.5*D10,'Resource Mix and Demand'!E1+4)</f>
        <v>7</v>
      </c>
      <c r="F10">
        <f>IF('Event Tracker'!F4=1,0.5*E10,'Resource Mix and Demand'!F1+4)</f>
        <v>8</v>
      </c>
      <c r="G10">
        <f>IF('Event Tracker'!G4=1,0.5*F10,'Resource Mix and Demand'!G1+4)</f>
        <v>9</v>
      </c>
      <c r="H10">
        <f>IF('Event Tracker'!H4=1,0.5*G10,'Resource Mix and Demand'!H1+4)</f>
        <v>10</v>
      </c>
      <c r="I10">
        <f>IF('Event Tracker'!I4=1,0.5*H10,'Resource Mix and Demand'!I1+4)</f>
        <v>11</v>
      </c>
      <c r="J10">
        <f>IF('Event Tracker'!J4=1,0.5*I10,'Resource Mix and Demand'!J1+4)</f>
        <v>12</v>
      </c>
      <c r="K10">
        <f>IF('Event Tracker'!K4=1,0.5*J10,'Resource Mix and Demand'!K1+4)</f>
        <v>13</v>
      </c>
      <c r="L10">
        <f>IF('Event Tracker'!L4=1,0.5*K10,'Resource Mix and Demand'!L1+4)</f>
        <v>14</v>
      </c>
    </row>
    <row r="12" spans="1:15" x14ac:dyDescent="0.25">
      <c r="A12" s="9" t="s">
        <v>83</v>
      </c>
      <c r="B12" s="9">
        <v>0</v>
      </c>
      <c r="C12" s="9">
        <v>1</v>
      </c>
      <c r="D12" s="9">
        <v>2</v>
      </c>
      <c r="E12" s="9">
        <v>3</v>
      </c>
      <c r="F12" s="9">
        <v>4</v>
      </c>
      <c r="G12" s="9">
        <v>5</v>
      </c>
      <c r="H12" s="9">
        <v>6</v>
      </c>
      <c r="I12" s="9">
        <v>7</v>
      </c>
      <c r="J12" s="9">
        <v>8</v>
      </c>
      <c r="K12" s="9">
        <v>9</v>
      </c>
      <c r="L12" s="9">
        <v>10</v>
      </c>
    </row>
    <row r="13" spans="1:15" x14ac:dyDescent="0.25">
      <c r="A13" t="s">
        <v>7</v>
      </c>
      <c r="B13" s="89">
        <v>0</v>
      </c>
      <c r="C13" s="89">
        <v>300</v>
      </c>
      <c r="D13" s="89">
        <v>0</v>
      </c>
      <c r="E13" s="89">
        <v>0</v>
      </c>
      <c r="F13" s="89">
        <v>0</v>
      </c>
      <c r="G13" s="89">
        <v>100</v>
      </c>
      <c r="H13" s="89">
        <v>0</v>
      </c>
      <c r="I13" s="89">
        <v>0</v>
      </c>
      <c r="J13" s="89">
        <v>0</v>
      </c>
      <c r="K13" s="89">
        <v>0</v>
      </c>
      <c r="L13" s="89">
        <v>0</v>
      </c>
    </row>
    <row r="14" spans="1:15" x14ac:dyDescent="0.25">
      <c r="A14" t="s">
        <v>8</v>
      </c>
      <c r="B14" s="89">
        <v>0</v>
      </c>
      <c r="C14" s="89">
        <v>0</v>
      </c>
      <c r="D14" s="89">
        <v>0</v>
      </c>
      <c r="E14" s="89">
        <v>0</v>
      </c>
      <c r="F14" s="89">
        <v>0</v>
      </c>
      <c r="G14" s="89">
        <v>0</v>
      </c>
      <c r="H14" s="89">
        <v>0</v>
      </c>
      <c r="I14" s="89">
        <v>0</v>
      </c>
      <c r="J14" s="89">
        <v>0</v>
      </c>
      <c r="K14" s="89">
        <v>0</v>
      </c>
      <c r="L14" s="89">
        <v>0</v>
      </c>
    </row>
    <row r="15" spans="1:15" x14ac:dyDescent="0.25">
      <c r="A15" t="s">
        <v>13</v>
      </c>
      <c r="B15" s="89">
        <v>0</v>
      </c>
      <c r="C15" s="89">
        <v>0</v>
      </c>
      <c r="D15" s="89">
        <v>0</v>
      </c>
      <c r="E15" s="89">
        <v>500</v>
      </c>
      <c r="F15" s="89">
        <v>0</v>
      </c>
      <c r="G15" s="89">
        <v>0</v>
      </c>
      <c r="H15" s="89">
        <v>0</v>
      </c>
      <c r="I15" s="89">
        <v>0</v>
      </c>
      <c r="J15" s="89">
        <v>0</v>
      </c>
      <c r="K15" s="89">
        <v>0</v>
      </c>
      <c r="L15" s="89">
        <v>0</v>
      </c>
    </row>
    <row r="16" spans="1:15" x14ac:dyDescent="0.25">
      <c r="A16" t="s">
        <v>9</v>
      </c>
      <c r="B16" s="89">
        <v>0</v>
      </c>
      <c r="C16" s="89">
        <v>0</v>
      </c>
      <c r="D16" s="89">
        <v>0</v>
      </c>
      <c r="E16" s="89">
        <v>0</v>
      </c>
      <c r="F16" s="89">
        <v>0</v>
      </c>
      <c r="G16" s="89">
        <v>0</v>
      </c>
      <c r="H16" s="89">
        <v>0</v>
      </c>
      <c r="I16" s="89">
        <v>0</v>
      </c>
      <c r="J16" s="89">
        <v>0</v>
      </c>
      <c r="K16" s="89">
        <v>0</v>
      </c>
      <c r="L16" s="89">
        <v>0</v>
      </c>
    </row>
    <row r="17" spans="1:12" x14ac:dyDescent="0.25">
      <c r="A17" t="s">
        <v>10</v>
      </c>
      <c r="B17" s="89">
        <v>0</v>
      </c>
      <c r="C17" s="89">
        <v>0</v>
      </c>
      <c r="D17" s="89">
        <v>0</v>
      </c>
      <c r="E17" s="89">
        <v>0</v>
      </c>
      <c r="F17" s="89">
        <v>0</v>
      </c>
      <c r="G17" s="89">
        <v>0</v>
      </c>
      <c r="H17" s="89">
        <v>0</v>
      </c>
      <c r="I17" s="89">
        <v>0</v>
      </c>
      <c r="J17" s="89">
        <v>0</v>
      </c>
      <c r="K17" s="89">
        <v>0</v>
      </c>
      <c r="L17" s="89">
        <v>0</v>
      </c>
    </row>
    <row r="18" spans="1:12" x14ac:dyDescent="0.25">
      <c r="A18" t="s">
        <v>11</v>
      </c>
      <c r="B18" s="89">
        <v>0</v>
      </c>
      <c r="C18" s="89">
        <v>0</v>
      </c>
      <c r="D18" s="89">
        <v>0</v>
      </c>
      <c r="E18" s="89">
        <v>0</v>
      </c>
      <c r="F18" s="89">
        <v>0</v>
      </c>
      <c r="G18" s="89">
        <v>0</v>
      </c>
      <c r="H18" s="89">
        <v>0</v>
      </c>
      <c r="I18" s="89">
        <v>0</v>
      </c>
      <c r="J18" s="89">
        <v>0</v>
      </c>
      <c r="K18" s="89">
        <v>0</v>
      </c>
      <c r="L18" s="89">
        <v>0</v>
      </c>
    </row>
    <row r="19" spans="1:12" x14ac:dyDescent="0.25">
      <c r="A19" t="s">
        <v>300</v>
      </c>
      <c r="B19" s="89">
        <v>0</v>
      </c>
      <c r="C19" s="89">
        <v>0</v>
      </c>
      <c r="D19" s="89">
        <v>0</v>
      </c>
      <c r="E19" s="89">
        <v>0</v>
      </c>
      <c r="F19" s="89">
        <v>0</v>
      </c>
      <c r="G19" s="89">
        <v>0</v>
      </c>
      <c r="H19" s="89">
        <v>0</v>
      </c>
      <c r="I19" s="89">
        <v>0</v>
      </c>
      <c r="J19" s="89">
        <v>0</v>
      </c>
      <c r="K19" s="89">
        <v>0</v>
      </c>
      <c r="L19" s="89">
        <v>0</v>
      </c>
    </row>
    <row r="20" spans="1:12" x14ac:dyDescent="0.25">
      <c r="A20" t="s">
        <v>301</v>
      </c>
      <c r="B20" s="89">
        <v>0</v>
      </c>
      <c r="C20" s="89">
        <v>0</v>
      </c>
      <c r="D20" s="89">
        <v>0</v>
      </c>
      <c r="E20" s="89">
        <v>0</v>
      </c>
      <c r="F20" s="89">
        <v>0</v>
      </c>
      <c r="G20" s="89">
        <v>0</v>
      </c>
      <c r="H20" s="89">
        <v>0</v>
      </c>
      <c r="I20" s="89">
        <v>0</v>
      </c>
      <c r="J20" s="89">
        <v>0</v>
      </c>
      <c r="K20" s="89">
        <v>0</v>
      </c>
      <c r="L20" s="89">
        <v>0</v>
      </c>
    </row>
    <row r="21" spans="1:12" x14ac:dyDescent="0.25">
      <c r="A21" t="s">
        <v>302</v>
      </c>
      <c r="B21" s="89">
        <v>0</v>
      </c>
      <c r="C21" s="89">
        <v>0</v>
      </c>
      <c r="D21" s="89">
        <v>0</v>
      </c>
      <c r="E21" s="89">
        <v>0</v>
      </c>
      <c r="F21" s="89">
        <v>0</v>
      </c>
      <c r="G21" s="89">
        <v>0</v>
      </c>
      <c r="H21" s="89">
        <v>0</v>
      </c>
      <c r="I21" s="89">
        <v>0</v>
      </c>
      <c r="J21" s="89">
        <v>0</v>
      </c>
      <c r="K21" s="89">
        <v>0</v>
      </c>
      <c r="L21" s="89">
        <v>0</v>
      </c>
    </row>
    <row r="23" spans="1:12" x14ac:dyDescent="0.25">
      <c r="A23" s="9" t="s">
        <v>84</v>
      </c>
      <c r="B23" s="9">
        <v>0</v>
      </c>
      <c r="C23" s="9">
        <v>1</v>
      </c>
      <c r="D23" s="9">
        <v>2</v>
      </c>
      <c r="E23" s="9">
        <v>3</v>
      </c>
      <c r="F23" s="9">
        <v>4</v>
      </c>
      <c r="G23" s="9">
        <v>5</v>
      </c>
      <c r="H23" s="9">
        <v>6</v>
      </c>
      <c r="I23" s="9">
        <v>7</v>
      </c>
      <c r="J23" s="9">
        <v>8</v>
      </c>
      <c r="K23" s="9">
        <v>9</v>
      </c>
      <c r="L23" s="9">
        <v>10</v>
      </c>
    </row>
    <row r="24" spans="1:12" x14ac:dyDescent="0.25">
      <c r="A24" t="s">
        <v>7</v>
      </c>
      <c r="B24" s="89">
        <f>'Game Assumptions'!K39</f>
        <v>700</v>
      </c>
      <c r="C24" s="89">
        <f t="shared" ref="C24:L24" si="0">B24+C2-C13</f>
        <v>400</v>
      </c>
      <c r="D24" s="89">
        <f>C24+D2-D13</f>
        <v>400</v>
      </c>
      <c r="E24" s="89">
        <f t="shared" si="0"/>
        <v>400</v>
      </c>
      <c r="F24" s="89">
        <f t="shared" si="0"/>
        <v>400</v>
      </c>
      <c r="G24" s="89">
        <f t="shared" si="0"/>
        <v>300</v>
      </c>
      <c r="H24" s="89">
        <f t="shared" si="0"/>
        <v>300</v>
      </c>
      <c r="I24" s="89">
        <f t="shared" si="0"/>
        <v>300</v>
      </c>
      <c r="J24" s="89">
        <f t="shared" si="0"/>
        <v>300</v>
      </c>
      <c r="K24" s="89">
        <f t="shared" si="0"/>
        <v>300</v>
      </c>
      <c r="L24" s="89">
        <f t="shared" si="0"/>
        <v>300</v>
      </c>
    </row>
    <row r="25" spans="1:12" x14ac:dyDescent="0.25">
      <c r="A25" t="s">
        <v>8</v>
      </c>
      <c r="B25" s="89">
        <f>'Game Assumptions'!K40</f>
        <v>1000</v>
      </c>
      <c r="C25" s="89">
        <f t="shared" ref="C25:L25" si="1">B25+C3-C14</f>
        <v>1000</v>
      </c>
      <c r="D25" s="89">
        <f t="shared" si="1"/>
        <v>1000</v>
      </c>
      <c r="E25" s="89">
        <f t="shared" si="1"/>
        <v>1000</v>
      </c>
      <c r="F25" s="89">
        <f t="shared" si="1"/>
        <v>1000</v>
      </c>
      <c r="G25" s="89">
        <f t="shared" si="1"/>
        <v>1000</v>
      </c>
      <c r="H25" s="89">
        <f t="shared" si="1"/>
        <v>1000</v>
      </c>
      <c r="I25" s="89">
        <f t="shared" si="1"/>
        <v>1000</v>
      </c>
      <c r="J25" s="89">
        <f t="shared" si="1"/>
        <v>1000</v>
      </c>
      <c r="K25" s="89">
        <f t="shared" si="1"/>
        <v>1000</v>
      </c>
      <c r="L25" s="89">
        <f t="shared" si="1"/>
        <v>1000</v>
      </c>
    </row>
    <row r="26" spans="1:12" x14ac:dyDescent="0.25">
      <c r="A26" t="s">
        <v>13</v>
      </c>
      <c r="B26" s="89">
        <f>'Game Assumptions'!K41</f>
        <v>600</v>
      </c>
      <c r="C26" s="89">
        <f t="shared" ref="C26:L26" si="2">B26+C4-C15</f>
        <v>600</v>
      </c>
      <c r="D26" s="89">
        <f t="shared" si="2"/>
        <v>600</v>
      </c>
      <c r="E26" s="89">
        <f t="shared" si="2"/>
        <v>100</v>
      </c>
      <c r="F26" s="89">
        <f t="shared" si="2"/>
        <v>100</v>
      </c>
      <c r="G26" s="89">
        <f t="shared" si="2"/>
        <v>100</v>
      </c>
      <c r="H26" s="89">
        <f t="shared" si="2"/>
        <v>100</v>
      </c>
      <c r="I26" s="89">
        <f t="shared" si="2"/>
        <v>100</v>
      </c>
      <c r="J26" s="89">
        <f t="shared" si="2"/>
        <v>100</v>
      </c>
      <c r="K26" s="89">
        <f t="shared" si="2"/>
        <v>100</v>
      </c>
      <c r="L26" s="89">
        <f t="shared" si="2"/>
        <v>100</v>
      </c>
    </row>
    <row r="27" spans="1:12" x14ac:dyDescent="0.25">
      <c r="A27" t="s">
        <v>9</v>
      </c>
      <c r="B27" s="89">
        <f>'Game Assumptions'!K42</f>
        <v>50</v>
      </c>
      <c r="C27" s="89">
        <f t="shared" ref="C27:L27" si="3">B27+C5-C16</f>
        <v>50</v>
      </c>
      <c r="D27" s="89">
        <f t="shared" si="3"/>
        <v>50</v>
      </c>
      <c r="E27" s="89">
        <f t="shared" si="3"/>
        <v>50</v>
      </c>
      <c r="F27" s="89">
        <f t="shared" si="3"/>
        <v>50</v>
      </c>
      <c r="G27" s="89">
        <f t="shared" si="3"/>
        <v>50</v>
      </c>
      <c r="H27" s="89">
        <f t="shared" si="3"/>
        <v>50</v>
      </c>
      <c r="I27" s="89">
        <f t="shared" si="3"/>
        <v>50</v>
      </c>
      <c r="J27" s="89">
        <f t="shared" si="3"/>
        <v>50</v>
      </c>
      <c r="K27" s="89">
        <f t="shared" si="3"/>
        <v>50</v>
      </c>
      <c r="L27" s="89">
        <f t="shared" si="3"/>
        <v>50</v>
      </c>
    </row>
    <row r="28" spans="1:12" x14ac:dyDescent="0.25">
      <c r="A28" t="s">
        <v>10</v>
      </c>
      <c r="B28" s="89">
        <f>'Game Assumptions'!K43</f>
        <v>50</v>
      </c>
      <c r="C28" s="89">
        <f t="shared" ref="C28:L28" si="4">B28+C6-C17</f>
        <v>50</v>
      </c>
      <c r="D28" s="89">
        <f t="shared" si="4"/>
        <v>50</v>
      </c>
      <c r="E28" s="89">
        <f t="shared" si="4"/>
        <v>50</v>
      </c>
      <c r="F28" s="89">
        <f t="shared" si="4"/>
        <v>50</v>
      </c>
      <c r="G28" s="89">
        <f t="shared" si="4"/>
        <v>50</v>
      </c>
      <c r="H28" s="89">
        <f t="shared" si="4"/>
        <v>50</v>
      </c>
      <c r="I28" s="89">
        <f t="shared" si="4"/>
        <v>50</v>
      </c>
      <c r="J28" s="89">
        <f t="shared" si="4"/>
        <v>50</v>
      </c>
      <c r="K28" s="89">
        <f t="shared" si="4"/>
        <v>50</v>
      </c>
      <c r="L28" s="89">
        <f t="shared" si="4"/>
        <v>50</v>
      </c>
    </row>
    <row r="29" spans="1:12" x14ac:dyDescent="0.25">
      <c r="A29" t="s">
        <v>11</v>
      </c>
      <c r="B29" s="89">
        <f>'Game Assumptions'!K44</f>
        <v>50</v>
      </c>
      <c r="C29" s="89">
        <f t="shared" ref="C29:L29" si="5">B29+C7-C18</f>
        <v>50</v>
      </c>
      <c r="D29" s="89">
        <f t="shared" si="5"/>
        <v>50</v>
      </c>
      <c r="E29" s="89">
        <f t="shared" si="5"/>
        <v>50</v>
      </c>
      <c r="F29" s="89">
        <f t="shared" si="5"/>
        <v>50</v>
      </c>
      <c r="G29" s="89">
        <f t="shared" si="5"/>
        <v>50</v>
      </c>
      <c r="H29" s="89">
        <f t="shared" si="5"/>
        <v>50</v>
      </c>
      <c r="I29" s="89">
        <f t="shared" si="5"/>
        <v>50</v>
      </c>
      <c r="J29" s="89">
        <f t="shared" si="5"/>
        <v>50</v>
      </c>
      <c r="K29" s="89">
        <f t="shared" si="5"/>
        <v>50</v>
      </c>
      <c r="L29" s="89">
        <f t="shared" si="5"/>
        <v>50</v>
      </c>
    </row>
    <row r="30" spans="1:12" x14ac:dyDescent="0.25">
      <c r="A30" t="s">
        <v>300</v>
      </c>
      <c r="B30" s="89">
        <f>'Game Assumptions'!K45</f>
        <v>10</v>
      </c>
      <c r="C30" s="89">
        <f t="shared" ref="C30:L30" si="6">B30+C8-C19</f>
        <v>10</v>
      </c>
      <c r="D30" s="89">
        <f t="shared" si="6"/>
        <v>10</v>
      </c>
      <c r="E30" s="89">
        <f t="shared" si="6"/>
        <v>10</v>
      </c>
      <c r="F30" s="89">
        <f t="shared" si="6"/>
        <v>10</v>
      </c>
      <c r="G30" s="89">
        <f t="shared" si="6"/>
        <v>10</v>
      </c>
      <c r="H30" s="89">
        <f t="shared" si="6"/>
        <v>10</v>
      </c>
      <c r="I30" s="89">
        <f t="shared" si="6"/>
        <v>10</v>
      </c>
      <c r="J30" s="89">
        <f t="shared" si="6"/>
        <v>10</v>
      </c>
      <c r="K30" s="89">
        <f t="shared" si="6"/>
        <v>10</v>
      </c>
      <c r="L30" s="89">
        <f t="shared" si="6"/>
        <v>10</v>
      </c>
    </row>
    <row r="31" spans="1:12" x14ac:dyDescent="0.25">
      <c r="A31" t="s">
        <v>301</v>
      </c>
      <c r="B31" s="89">
        <f>'Game Assumptions'!K46</f>
        <v>10</v>
      </c>
      <c r="C31" s="89">
        <f t="shared" ref="C31:C32" si="7">B31+C9-C20</f>
        <v>16</v>
      </c>
      <c r="D31" s="89">
        <f t="shared" ref="D31:D32" si="8">C31+D9-D20</f>
        <v>23</v>
      </c>
      <c r="E31" s="89">
        <f t="shared" ref="E31:E32" si="9">D31+E9-E20</f>
        <v>31</v>
      </c>
      <c r="F31" s="89">
        <f t="shared" ref="F31:F32" si="10">E31+F9-F20</f>
        <v>40</v>
      </c>
      <c r="G31" s="89">
        <f t="shared" ref="G31:G32" si="11">F31+G9-G20</f>
        <v>50</v>
      </c>
      <c r="H31" s="89">
        <f t="shared" ref="H31:H32" si="12">G31+H9-H20</f>
        <v>61</v>
      </c>
      <c r="I31" s="89">
        <f t="shared" ref="I31:I32" si="13">H31+I9-I20</f>
        <v>73</v>
      </c>
      <c r="J31" s="89">
        <f t="shared" ref="J31:J32" si="14">I31+J9-J20</f>
        <v>86</v>
      </c>
      <c r="K31" s="89">
        <f t="shared" ref="K31:K32" si="15">J31+K9-K20</f>
        <v>100</v>
      </c>
      <c r="L31" s="89">
        <f t="shared" ref="L31:L32" si="16">K31+L9-L20</f>
        <v>115</v>
      </c>
    </row>
    <row r="32" spans="1:12" x14ac:dyDescent="0.25">
      <c r="A32" t="s">
        <v>302</v>
      </c>
      <c r="B32" s="89">
        <f>'Game Assumptions'!K47</f>
        <v>10</v>
      </c>
      <c r="C32" s="89">
        <f t="shared" si="7"/>
        <v>15</v>
      </c>
      <c r="D32" s="89">
        <f t="shared" si="8"/>
        <v>21</v>
      </c>
      <c r="E32" s="89">
        <f t="shared" si="9"/>
        <v>28</v>
      </c>
      <c r="F32" s="89">
        <f t="shared" si="10"/>
        <v>36</v>
      </c>
      <c r="G32" s="89">
        <f t="shared" si="11"/>
        <v>45</v>
      </c>
      <c r="H32" s="89">
        <f t="shared" si="12"/>
        <v>55</v>
      </c>
      <c r="I32" s="89">
        <f t="shared" si="13"/>
        <v>66</v>
      </c>
      <c r="J32" s="89">
        <f t="shared" si="14"/>
        <v>78</v>
      </c>
      <c r="K32" s="89">
        <f t="shared" si="15"/>
        <v>91</v>
      </c>
      <c r="L32" s="89">
        <f t="shared" si="16"/>
        <v>105</v>
      </c>
    </row>
    <row r="33" spans="1:12" x14ac:dyDescent="0.25">
      <c r="B33" s="2"/>
      <c r="C33" s="89"/>
      <c r="D33" s="89"/>
      <c r="E33" s="89"/>
      <c r="F33" s="89"/>
      <c r="G33" s="89"/>
      <c r="H33" s="89"/>
      <c r="I33" s="89"/>
      <c r="J33" s="89"/>
      <c r="K33" s="89"/>
      <c r="L33" s="89"/>
    </row>
    <row r="34" spans="1:12" x14ac:dyDescent="0.25">
      <c r="A34" s="9" t="s">
        <v>205</v>
      </c>
      <c r="B34" s="9">
        <v>0</v>
      </c>
      <c r="C34" s="9">
        <v>1</v>
      </c>
      <c r="D34" s="9">
        <v>2</v>
      </c>
      <c r="E34" s="9">
        <v>3</v>
      </c>
      <c r="F34" s="9">
        <v>4</v>
      </c>
      <c r="G34" s="9">
        <v>5</v>
      </c>
      <c r="H34" s="9">
        <v>6</v>
      </c>
      <c r="I34" s="9">
        <v>7</v>
      </c>
      <c r="J34" s="9">
        <v>8</v>
      </c>
      <c r="K34" s="9">
        <v>9</v>
      </c>
      <c r="L34" s="9">
        <v>10</v>
      </c>
    </row>
    <row r="35" spans="1:12" x14ac:dyDescent="0.25">
      <c r="A35" t="s">
        <v>7</v>
      </c>
      <c r="B35" s="89">
        <f>(B24*'Game Assumptions'!$G53*8760)</f>
        <v>3679200</v>
      </c>
      <c r="C35" s="89">
        <f>(C24*'Game Assumptions'!$G53*8760)</f>
        <v>2102400</v>
      </c>
      <c r="D35" s="89">
        <f>(D24*'Game Assumptions'!$G53*8760)</f>
        <v>2102400</v>
      </c>
      <c r="E35" s="89">
        <f>(E24*'Game Assumptions'!$G53*8760)</f>
        <v>2102400</v>
      </c>
      <c r="F35" s="89">
        <f>(F24*'Game Assumptions'!$G53*8760)</f>
        <v>2102400</v>
      </c>
      <c r="G35" s="89">
        <f>(G24*'Game Assumptions'!$G53*8760)</f>
        <v>1576800</v>
      </c>
      <c r="H35" s="89">
        <f>(H24*'Game Assumptions'!$G53*8760)</f>
        <v>1576800</v>
      </c>
      <c r="I35" s="89">
        <f>(I24*'Game Assumptions'!$G53*8760)</f>
        <v>1576800</v>
      </c>
      <c r="J35" s="89">
        <f>(J24*'Game Assumptions'!$G53*8760)</f>
        <v>1576800</v>
      </c>
      <c r="K35" s="89">
        <f>(K24*'Game Assumptions'!$G53*8760)</f>
        <v>1576800</v>
      </c>
      <c r="L35" s="89">
        <f>(L24*'Game Assumptions'!$G53*8760)</f>
        <v>1576800</v>
      </c>
    </row>
    <row r="36" spans="1:12" x14ac:dyDescent="0.25">
      <c r="A36" t="s">
        <v>8</v>
      </c>
      <c r="B36" s="89">
        <f>(B25*'Game Assumptions'!$G54*8760)</f>
        <v>3504000</v>
      </c>
      <c r="C36" s="89">
        <f>(C25*'Game Assumptions'!$G54*8760)</f>
        <v>3504000</v>
      </c>
      <c r="D36" s="89">
        <f>(D25*'Game Assumptions'!$G54*8760)</f>
        <v>3504000</v>
      </c>
      <c r="E36" s="89">
        <f>(E25*'Game Assumptions'!$G54*8760)</f>
        <v>3504000</v>
      </c>
      <c r="F36" s="89">
        <f>(F25*'Game Assumptions'!$G54*8760)</f>
        <v>3504000</v>
      </c>
      <c r="G36" s="89">
        <f>(G25*'Game Assumptions'!$G54*8760)</f>
        <v>3504000</v>
      </c>
      <c r="H36" s="89">
        <f>(H25*'Game Assumptions'!$G54*8760)</f>
        <v>3504000</v>
      </c>
      <c r="I36" s="89">
        <f>(I25*'Game Assumptions'!$G54*8760)</f>
        <v>3504000</v>
      </c>
      <c r="J36" s="89">
        <f>(J25*'Game Assumptions'!$G54*8760)</f>
        <v>3504000</v>
      </c>
      <c r="K36" s="89">
        <f>(K25*'Game Assumptions'!$G54*8760)</f>
        <v>3504000</v>
      </c>
      <c r="L36" s="89">
        <f>(L25*'Game Assumptions'!$G54*8760)</f>
        <v>3504000</v>
      </c>
    </row>
    <row r="37" spans="1:12" x14ac:dyDescent="0.25">
      <c r="A37" t="s">
        <v>13</v>
      </c>
      <c r="B37" s="89">
        <f>(B26*'Game Assumptions'!$G55*8760)</f>
        <v>4730400</v>
      </c>
      <c r="C37" s="89">
        <f>(C26*'Game Assumptions'!$G55*8760)</f>
        <v>4730400</v>
      </c>
      <c r="D37" s="89">
        <f>(D26*'Game Assumptions'!$G55*8760)</f>
        <v>4730400</v>
      </c>
      <c r="E37" s="89">
        <f>(E26*'Game Assumptions'!$G55*8760)</f>
        <v>788400</v>
      </c>
      <c r="F37" s="89">
        <f>(F26*'Game Assumptions'!$G55*8760)</f>
        <v>788400</v>
      </c>
      <c r="G37" s="89">
        <f>(G26*'Game Assumptions'!$G55*8760)</f>
        <v>788400</v>
      </c>
      <c r="H37" s="89">
        <f>(H26*'Game Assumptions'!$G55*8760)</f>
        <v>788400</v>
      </c>
      <c r="I37" s="89">
        <f>(I26*'Game Assumptions'!$G55*8760)</f>
        <v>788400</v>
      </c>
      <c r="J37" s="89">
        <f>(J26*'Game Assumptions'!$G55*8760)</f>
        <v>788400</v>
      </c>
      <c r="K37" s="89">
        <f>(K26*'Game Assumptions'!$G55*8760)</f>
        <v>788400</v>
      </c>
      <c r="L37" s="89">
        <f>(L26*'Game Assumptions'!$G55*8760)</f>
        <v>788400</v>
      </c>
    </row>
    <row r="38" spans="1:12" x14ac:dyDescent="0.25">
      <c r="A38" t="s">
        <v>9</v>
      </c>
      <c r="B38" s="89">
        <f>(B27*'Game Assumptions'!$G56*8760)</f>
        <v>109500</v>
      </c>
      <c r="C38" s="89">
        <f>(C27*'Game Assumptions'!$G56*8760)</f>
        <v>109500</v>
      </c>
      <c r="D38" s="89">
        <f>(D27*'Game Assumptions'!$G56*8760)</f>
        <v>109500</v>
      </c>
      <c r="E38" s="89">
        <f>(E27*'Game Assumptions'!$G56*8760)</f>
        <v>109500</v>
      </c>
      <c r="F38" s="89">
        <f>(F27*'Game Assumptions'!$G56*8760)</f>
        <v>109500</v>
      </c>
      <c r="G38" s="89">
        <f>(G27*'Game Assumptions'!$G56*8760)</f>
        <v>109500</v>
      </c>
      <c r="H38" s="89">
        <f>(H27*'Game Assumptions'!$G56*8760)</f>
        <v>109500</v>
      </c>
      <c r="I38" s="89">
        <f>(I27*'Game Assumptions'!$G56*8760)</f>
        <v>109500</v>
      </c>
      <c r="J38" s="89">
        <f>(J27*'Game Assumptions'!$G56*8760)</f>
        <v>109500</v>
      </c>
      <c r="K38" s="89">
        <f>(K27*'Game Assumptions'!$G56*8760)</f>
        <v>109500</v>
      </c>
      <c r="L38" s="89">
        <f>(L27*'Game Assumptions'!$G56*8760)</f>
        <v>109500</v>
      </c>
    </row>
    <row r="39" spans="1:12" x14ac:dyDescent="0.25">
      <c r="A39" t="s">
        <v>10</v>
      </c>
      <c r="B39" s="89">
        <f>(B28*'Game Assumptions'!$G57*8760)</f>
        <v>131400</v>
      </c>
      <c r="C39" s="89">
        <f>(C28*'Game Assumptions'!$G57*8760)</f>
        <v>131400</v>
      </c>
      <c r="D39" s="89">
        <f>(D28*'Game Assumptions'!$G57*8760)</f>
        <v>131400</v>
      </c>
      <c r="E39" s="89">
        <f>(E28*'Game Assumptions'!$G57*8760)</f>
        <v>131400</v>
      </c>
      <c r="F39" s="89">
        <f>(F28*'Game Assumptions'!$G57*8760)</f>
        <v>131400</v>
      </c>
      <c r="G39" s="89">
        <f>(G28*'Game Assumptions'!$G57*8760)</f>
        <v>131400</v>
      </c>
      <c r="H39" s="89">
        <f>(H28*'Game Assumptions'!$G57*8760)</f>
        <v>131400</v>
      </c>
      <c r="I39" s="89">
        <f>(I28*'Game Assumptions'!$G57*8760)</f>
        <v>131400</v>
      </c>
      <c r="J39" s="89">
        <f>(J28*'Game Assumptions'!$G57*8760)</f>
        <v>131400</v>
      </c>
      <c r="K39" s="89">
        <f>(K28*'Game Assumptions'!$G57*8760)</f>
        <v>131400</v>
      </c>
      <c r="L39" s="89">
        <f>(L28*'Game Assumptions'!$G57*8760)</f>
        <v>131400</v>
      </c>
    </row>
    <row r="40" spans="1:12" x14ac:dyDescent="0.25">
      <c r="A40" t="s">
        <v>11</v>
      </c>
      <c r="B40" s="89">
        <f>(B29*'Game Assumptions'!$G58*8760)</f>
        <v>262800</v>
      </c>
      <c r="C40" s="89">
        <f>(C29*'Game Assumptions'!$G58*8760)</f>
        <v>262800</v>
      </c>
      <c r="D40" s="89">
        <f>(D29*'Game Assumptions'!$G58*8760)</f>
        <v>262800</v>
      </c>
      <c r="E40" s="89">
        <f>(E29*'Game Assumptions'!$G58*8760)</f>
        <v>262800</v>
      </c>
      <c r="F40" s="89">
        <f>(F29*'Game Assumptions'!$G58*8760)</f>
        <v>262800</v>
      </c>
      <c r="G40" s="89">
        <f>(G29*'Game Assumptions'!$G58*8760)</f>
        <v>262800</v>
      </c>
      <c r="H40" s="89">
        <f>(H29*'Game Assumptions'!$G58*8760)</f>
        <v>262800</v>
      </c>
      <c r="I40" s="89">
        <f>(I29*'Game Assumptions'!$G58*8760)</f>
        <v>262800</v>
      </c>
      <c r="J40" s="89">
        <f>(J29*'Game Assumptions'!$G58*8760)</f>
        <v>262800</v>
      </c>
      <c r="K40" s="89">
        <f>(K29*'Game Assumptions'!$G58*8760)</f>
        <v>262800</v>
      </c>
      <c r="L40" s="89">
        <f>(L29*'Game Assumptions'!$G58*8760)</f>
        <v>262800</v>
      </c>
    </row>
    <row r="41" spans="1:12" x14ac:dyDescent="0.25">
      <c r="A41" t="s">
        <v>300</v>
      </c>
      <c r="B41" s="89">
        <f>(B30*'Game Assumptions'!$G59*8760)</f>
        <v>87600</v>
      </c>
      <c r="C41" s="89">
        <f>(C30*'Game Assumptions'!$G59*8760)</f>
        <v>87600</v>
      </c>
      <c r="D41" s="89">
        <f>(D30*'Game Assumptions'!$G59*8760)</f>
        <v>87600</v>
      </c>
      <c r="E41" s="89">
        <f>(E30*'Game Assumptions'!$G59*8760)</f>
        <v>87600</v>
      </c>
      <c r="F41" s="89">
        <f>(F30*'Game Assumptions'!$G59*8760)</f>
        <v>87600</v>
      </c>
      <c r="G41" s="89">
        <f>(G30*'Game Assumptions'!$G59*8760)</f>
        <v>87600</v>
      </c>
      <c r="H41" s="89">
        <f>(H30*'Game Assumptions'!$G59*8760)</f>
        <v>87600</v>
      </c>
      <c r="I41" s="89">
        <f>(I30*'Game Assumptions'!$G59*8760)</f>
        <v>87600</v>
      </c>
      <c r="J41" s="89">
        <f>(J30*'Game Assumptions'!$G59*8760)</f>
        <v>87600</v>
      </c>
      <c r="K41" s="89">
        <f>(K30*'Game Assumptions'!$G59*8760)</f>
        <v>87600</v>
      </c>
      <c r="L41" s="89">
        <f>(L30*'Game Assumptions'!$G59*8760)</f>
        <v>87600</v>
      </c>
    </row>
    <row r="42" spans="1:12" x14ac:dyDescent="0.25">
      <c r="A42" t="s">
        <v>301</v>
      </c>
      <c r="B42" s="89">
        <f>(B31*'Game Assumptions'!$G60*8760)</f>
        <v>87600</v>
      </c>
      <c r="C42" s="89">
        <f>(C31*'Game Assumptions'!$G60*8760)</f>
        <v>140160</v>
      </c>
      <c r="D42" s="89">
        <f>(D31*'Game Assumptions'!$G60*8760)</f>
        <v>201480</v>
      </c>
      <c r="E42" s="89">
        <f>(E31*'Game Assumptions'!$G60*8760)</f>
        <v>271560</v>
      </c>
      <c r="F42" s="89">
        <f>(F31*'Game Assumptions'!$G60*8760)</f>
        <v>350400</v>
      </c>
      <c r="G42" s="89">
        <f>(G31*'Game Assumptions'!$G60*8760)</f>
        <v>438000</v>
      </c>
      <c r="H42" s="89">
        <f>(H31*'Game Assumptions'!$G60*8760)</f>
        <v>534360</v>
      </c>
      <c r="I42" s="89">
        <f>(I31*'Game Assumptions'!$G60*8760)</f>
        <v>639480</v>
      </c>
      <c r="J42" s="89">
        <f>(J31*'Game Assumptions'!$G60*8760)</f>
        <v>753360</v>
      </c>
      <c r="K42" s="89">
        <f>(K31*'Game Assumptions'!$G60*8760)</f>
        <v>876000</v>
      </c>
      <c r="L42" s="89">
        <f>(L31*'Game Assumptions'!$G60*8760)</f>
        <v>1007400</v>
      </c>
    </row>
    <row r="43" spans="1:12" x14ac:dyDescent="0.25">
      <c r="A43" t="s">
        <v>302</v>
      </c>
      <c r="B43" s="89">
        <f>(B32*'Game Assumptions'!$G61*8760)</f>
        <v>21900</v>
      </c>
      <c r="C43" s="89">
        <f>(C32*'Game Assumptions'!$G61*8760)</f>
        <v>32850</v>
      </c>
      <c r="D43" s="89">
        <f>(D32*'Game Assumptions'!$G61*8760)</f>
        <v>45990</v>
      </c>
      <c r="E43" s="89">
        <f>(E32*'Game Assumptions'!$G61*8760)</f>
        <v>61320</v>
      </c>
      <c r="F43" s="89">
        <f>(F32*'Game Assumptions'!$G61*8760)</f>
        <v>78840</v>
      </c>
      <c r="G43" s="89">
        <f>(G32*'Game Assumptions'!$G61*8760)</f>
        <v>98550</v>
      </c>
      <c r="H43" s="89">
        <f>(H32*'Game Assumptions'!$G61*8760)</f>
        <v>120450</v>
      </c>
      <c r="I43" s="89">
        <f>(I32*'Game Assumptions'!$G61*8760)</f>
        <v>144540</v>
      </c>
      <c r="J43" s="89">
        <f>(J32*'Game Assumptions'!$G61*8760)</f>
        <v>170820</v>
      </c>
      <c r="K43" s="89">
        <f>(K32*'Game Assumptions'!$G61*8760)</f>
        <v>199290</v>
      </c>
      <c r="L43" s="89">
        <f>(L32*'Game Assumptions'!$G61*8760)</f>
        <v>229950</v>
      </c>
    </row>
    <row r="45" spans="1:12" x14ac:dyDescent="0.25">
      <c r="A45" s="9" t="s">
        <v>206</v>
      </c>
      <c r="B45" s="9">
        <v>0</v>
      </c>
      <c r="C45" s="9">
        <v>1</v>
      </c>
      <c r="D45" s="9">
        <v>2</v>
      </c>
      <c r="E45" s="9">
        <v>3</v>
      </c>
      <c r="F45" s="9">
        <v>4</v>
      </c>
      <c r="G45" s="9">
        <v>5</v>
      </c>
      <c r="H45" s="9">
        <v>6</v>
      </c>
      <c r="I45" s="9">
        <v>7</v>
      </c>
      <c r="J45" s="9">
        <v>8</v>
      </c>
      <c r="K45" s="9">
        <v>9</v>
      </c>
      <c r="L45" s="9">
        <v>10</v>
      </c>
    </row>
    <row r="46" spans="1:12" x14ac:dyDescent="0.25">
      <c r="A46" t="s">
        <v>7</v>
      </c>
      <c r="B46" s="89">
        <f>IF(Reliability!B$53&lt;Reliability!B53,Reliability!B$53*8760*'Game Assumptions'!$G53,B24*8760*'Game Assumptions'!$G53)</f>
        <v>3679200</v>
      </c>
      <c r="C46" s="89">
        <f>IF(Reliability!C$53&lt;Reliability!C53,Reliability!C$53*8760*'Game Assumptions'!$G53,C24*8760*'Game Assumptions'!$G53)</f>
        <v>2102400</v>
      </c>
      <c r="D46" s="89">
        <f>IF(Reliability!D$53&lt;Reliability!D53,Reliability!D$53*8760*'Game Assumptions'!$G53,D24*8760*'Game Assumptions'!$G53)</f>
        <v>2102400</v>
      </c>
      <c r="E46" s="89">
        <f>IF(Reliability!E$53&lt;Reliability!E53,Reliability!E$53*8760*'Game Assumptions'!$G53,E24*8760*'Game Assumptions'!$G53)</f>
        <v>2102400</v>
      </c>
      <c r="F46" s="89">
        <f>IF(Reliability!F$53&lt;Reliability!F53,Reliability!F$53*8760*'Game Assumptions'!$G53,F24*8760*'Game Assumptions'!$G53)</f>
        <v>2102400</v>
      </c>
      <c r="G46" s="89">
        <f>IF(Reliability!G$53&lt;Reliability!G53,Reliability!G$53*8760*'Game Assumptions'!$G53,G24*8760*'Game Assumptions'!$G53)</f>
        <v>1576800</v>
      </c>
      <c r="H46" s="89">
        <f>IF(Reliability!H$53&lt;Reliability!H53,Reliability!H$53*8760*'Game Assumptions'!$G53,H24*8760*'Game Assumptions'!$G53)</f>
        <v>1576800</v>
      </c>
      <c r="I46" s="89">
        <f>IF(Reliability!I$53&lt;Reliability!I53,Reliability!I$53*8760*'Game Assumptions'!$G53,I24*8760*'Game Assumptions'!$G53)</f>
        <v>1576800</v>
      </c>
      <c r="J46" s="89">
        <f>IF(Reliability!J$53&lt;Reliability!J53,Reliability!J$53*8760*'Game Assumptions'!$G53,J24*8760*'Game Assumptions'!$G53)</f>
        <v>1576800</v>
      </c>
      <c r="K46" s="89">
        <f>IF(Reliability!K$53&lt;Reliability!K53,Reliability!K$53*8760*'Game Assumptions'!$G53,K24*8760*'Game Assumptions'!$G53)</f>
        <v>1576800</v>
      </c>
      <c r="L46" s="89">
        <f>IF(Reliability!L$53&lt;Reliability!L53,Reliability!L$53*8760*'Game Assumptions'!$G53,L24*8760*'Game Assumptions'!$G53)</f>
        <v>1576800</v>
      </c>
    </row>
    <row r="47" spans="1:12" x14ac:dyDescent="0.25">
      <c r="A47" t="s">
        <v>8</v>
      </c>
      <c r="B47" s="89">
        <f>IF(Reliability!B$53&lt;Reliability!B54,Reliability!B$53*8760*'Game Assumptions'!$G54,B25*8760*'Game Assumptions'!$G54)</f>
        <v>3504000</v>
      </c>
      <c r="C47" s="89">
        <f>IF(Reliability!C$53&lt;Reliability!C54,Reliability!C$53*8760*'Game Assumptions'!$G54,C25*8760*'Game Assumptions'!$G54)</f>
        <v>3504000</v>
      </c>
      <c r="D47" s="89">
        <f>IF(Reliability!D$53&lt;Reliability!D54,Reliability!D$53*8760*'Game Assumptions'!$G54,D25*8760*'Game Assumptions'!$G54)</f>
        <v>3504000</v>
      </c>
      <c r="E47" s="89">
        <f>IF(Reliability!E$53&lt;Reliability!E54,Reliability!E$53*8760*'Game Assumptions'!$G54,E25*8760*'Game Assumptions'!$G54)</f>
        <v>3504000</v>
      </c>
      <c r="F47" s="89">
        <f>IF(Reliability!F$53&lt;Reliability!F54,Reliability!F$53*8760*'Game Assumptions'!$G54,F25*8760*'Game Assumptions'!$G54)</f>
        <v>3504000</v>
      </c>
      <c r="G47" s="89">
        <f>IF(Reliability!G$53&lt;Reliability!G54,Reliability!G$53*8760*'Game Assumptions'!$G54,G25*8760*'Game Assumptions'!$G54)</f>
        <v>3504000</v>
      </c>
      <c r="H47" s="89">
        <f>IF(Reliability!H$53&lt;Reliability!H54,Reliability!H$53*8760*'Game Assumptions'!$G54,H25*8760*'Game Assumptions'!$G54)</f>
        <v>3504000</v>
      </c>
      <c r="I47" s="89">
        <f>IF(Reliability!I$53&lt;Reliability!I54,Reliability!I$53*8760*'Game Assumptions'!$G54,I25*8760*'Game Assumptions'!$G54)</f>
        <v>3504000</v>
      </c>
      <c r="J47" s="89">
        <f>IF(Reliability!J$53&lt;Reliability!J54,Reliability!J$53*8760*'Game Assumptions'!$G54,J25*8760*'Game Assumptions'!$G54)</f>
        <v>3504000</v>
      </c>
      <c r="K47" s="89">
        <f>IF(Reliability!K$53&lt;Reliability!K54,Reliability!K$53*8760*'Game Assumptions'!$G54,K25*8760*'Game Assumptions'!$G54)</f>
        <v>3504000</v>
      </c>
      <c r="L47" s="89">
        <f>IF(Reliability!L$53&lt;Reliability!L54,Reliability!L$53*8760*'Game Assumptions'!$G54,L25*8760*'Game Assumptions'!$G54)</f>
        <v>3504000</v>
      </c>
    </row>
    <row r="48" spans="1:12" x14ac:dyDescent="0.25">
      <c r="A48" t="s">
        <v>13</v>
      </c>
      <c r="B48" s="89">
        <f>IF(Reliability!B$53&lt;Reliability!B55,Reliability!B$53*8760*'Game Assumptions'!$G55,B26*8760*'Game Assumptions'!$G55)</f>
        <v>4730400</v>
      </c>
      <c r="C48" s="89">
        <f>IF(Reliability!C$53&lt;Reliability!C55,Reliability!C$53*8760*'Game Assumptions'!$G55,C26*8760*'Game Assumptions'!$G55)</f>
        <v>4730400</v>
      </c>
      <c r="D48" s="89">
        <f>IF(Reliability!D$53&lt;Reliability!D55,Reliability!D$53*8760*'Game Assumptions'!$G55,D26*8760*'Game Assumptions'!$G55)</f>
        <v>4730400</v>
      </c>
      <c r="E48" s="89">
        <f>IF(Reliability!E$53&lt;Reliability!E55,Reliability!E$53*8760*'Game Assumptions'!$G55,E26*8760*'Game Assumptions'!$G55)</f>
        <v>788400</v>
      </c>
      <c r="F48" s="89">
        <f>IF(Reliability!F$53&lt;Reliability!F55,Reliability!F$53*8760*'Game Assumptions'!$G55,F26*8760*'Game Assumptions'!$G55)</f>
        <v>788400</v>
      </c>
      <c r="G48" s="89">
        <f>IF(Reliability!G$53&lt;Reliability!G55,Reliability!G$53*8760*'Game Assumptions'!$G55,G26*8760*'Game Assumptions'!$G55)</f>
        <v>788400</v>
      </c>
      <c r="H48" s="89">
        <f>IF(Reliability!H$53&lt;Reliability!H55,Reliability!H$53*8760*'Game Assumptions'!$G55,H26*8760*'Game Assumptions'!$G55)</f>
        <v>788400</v>
      </c>
      <c r="I48" s="89">
        <f>IF(Reliability!I$53&lt;Reliability!I55,Reliability!I$53*8760*'Game Assumptions'!$G55,I26*8760*'Game Assumptions'!$G55)</f>
        <v>788400</v>
      </c>
      <c r="J48" s="89">
        <f>IF(Reliability!J$53&lt;Reliability!J55,Reliability!J$53*8760*'Game Assumptions'!$G55,J26*8760*'Game Assumptions'!$G55)</f>
        <v>788400</v>
      </c>
      <c r="K48" s="89">
        <f>IF(Reliability!K$53&lt;Reliability!K55,Reliability!K$53*8760*'Game Assumptions'!$G55,K26*8760*'Game Assumptions'!$G55)</f>
        <v>788400</v>
      </c>
      <c r="L48" s="89">
        <f>IF(Reliability!L$53&lt;Reliability!L55,Reliability!L$53*8760*'Game Assumptions'!$G55,L26*8760*'Game Assumptions'!$G55)</f>
        <v>788400</v>
      </c>
    </row>
    <row r="49" spans="1:12" x14ac:dyDescent="0.25">
      <c r="A49" t="s">
        <v>9</v>
      </c>
      <c r="B49" s="89">
        <f>IF(Reliability!B$53&lt;Reliability!B56,Reliability!B$53*8760*'Game Assumptions'!$G56,B27*8760*'Game Assumptions'!$G56)</f>
        <v>109500</v>
      </c>
      <c r="C49" s="89">
        <f>IF(Reliability!C$53&lt;Reliability!C56,Reliability!C$53*8760*'Game Assumptions'!$G56,C27*8760*'Game Assumptions'!$G56)</f>
        <v>109500</v>
      </c>
      <c r="D49" s="89">
        <f>IF(Reliability!D$53&lt;Reliability!D56,Reliability!D$53*8760*'Game Assumptions'!$G56,D27*8760*'Game Assumptions'!$G56)</f>
        <v>109500</v>
      </c>
      <c r="E49" s="89">
        <f>IF(Reliability!E$53&lt;Reliability!E56,Reliability!E$53*8760*'Game Assumptions'!$G56,E27*8760*'Game Assumptions'!$G56)</f>
        <v>109500</v>
      </c>
      <c r="F49" s="89">
        <f>IF(Reliability!F$53&lt;Reliability!F56,Reliability!F$53*8760*'Game Assumptions'!$G56,F27*8760*'Game Assumptions'!$G56)</f>
        <v>109500</v>
      </c>
      <c r="G49" s="89">
        <f>IF(Reliability!G$53&lt;Reliability!G56,Reliability!G$53*8760*'Game Assumptions'!$G56,G27*8760*'Game Assumptions'!$G56)</f>
        <v>109500</v>
      </c>
      <c r="H49" s="89">
        <f>IF(Reliability!H$53&lt;Reliability!H56,Reliability!H$53*8760*'Game Assumptions'!$G56,H27*8760*'Game Assumptions'!$G56)</f>
        <v>109500</v>
      </c>
      <c r="I49" s="89">
        <f>IF(Reliability!I$53&lt;Reliability!I56,Reliability!I$53*8760*'Game Assumptions'!$G56,I27*8760*'Game Assumptions'!$G56)</f>
        <v>109500</v>
      </c>
      <c r="J49" s="89">
        <f>IF(Reliability!J$53&lt;Reliability!J56,Reliability!J$53*8760*'Game Assumptions'!$G56,J27*8760*'Game Assumptions'!$G56)</f>
        <v>109500</v>
      </c>
      <c r="K49" s="89">
        <f>IF(Reliability!K$53&lt;Reliability!K56,Reliability!K$53*8760*'Game Assumptions'!$G56,K27*8760*'Game Assumptions'!$G56)</f>
        <v>109500</v>
      </c>
      <c r="L49" s="89">
        <f>IF(Reliability!L$53&lt;Reliability!L56,Reliability!L$53*8760*'Game Assumptions'!$G56,L27*8760*'Game Assumptions'!$G56)</f>
        <v>109500</v>
      </c>
    </row>
    <row r="50" spans="1:12" x14ac:dyDescent="0.25">
      <c r="A50" t="s">
        <v>10</v>
      </c>
      <c r="B50" s="89">
        <f>IF(Reliability!B$53&lt;Reliability!B57,Reliability!B$53*8760*'Game Assumptions'!$G57,B28*8760*'Game Assumptions'!$G57)</f>
        <v>131400</v>
      </c>
      <c r="C50" s="89">
        <f>IF(Reliability!C$53&lt;Reliability!C57,Reliability!C$53*8760*'Game Assumptions'!$G57,C28*8760*'Game Assumptions'!$G57)</f>
        <v>131400</v>
      </c>
      <c r="D50" s="89">
        <f>IF(Reliability!D$53&lt;Reliability!D57,Reliability!D$53*8760*'Game Assumptions'!$G57,D28*8760*'Game Assumptions'!$G57)</f>
        <v>131400</v>
      </c>
      <c r="E50" s="89">
        <f>IF(Reliability!E$53&lt;Reliability!E57,Reliability!E$53*8760*'Game Assumptions'!$G57,E28*8760*'Game Assumptions'!$G57)</f>
        <v>131400</v>
      </c>
      <c r="F50" s="89">
        <f>IF(Reliability!F$53&lt;Reliability!F57,Reliability!F$53*8760*'Game Assumptions'!$G57,F28*8760*'Game Assumptions'!$G57)</f>
        <v>131400</v>
      </c>
      <c r="G50" s="89">
        <f>IF(Reliability!G$53&lt;Reliability!G57,Reliability!G$53*8760*'Game Assumptions'!$G57,G28*8760*'Game Assumptions'!$G57)</f>
        <v>131400</v>
      </c>
      <c r="H50" s="89">
        <f>IF(Reliability!H$53&lt;Reliability!H57,Reliability!H$53*8760*'Game Assumptions'!$G57,H28*8760*'Game Assumptions'!$G57)</f>
        <v>131400</v>
      </c>
      <c r="I50" s="89">
        <f>IF(Reliability!I$53&lt;Reliability!I57,Reliability!I$53*8760*'Game Assumptions'!$G57,I28*8760*'Game Assumptions'!$G57)</f>
        <v>131400</v>
      </c>
      <c r="J50" s="89">
        <f>IF(Reliability!J$53&lt;Reliability!J57,Reliability!J$53*8760*'Game Assumptions'!$G57,J28*8760*'Game Assumptions'!$G57)</f>
        <v>131400</v>
      </c>
      <c r="K50" s="89">
        <f>IF(Reliability!K$53&lt;Reliability!K57,Reliability!K$53*8760*'Game Assumptions'!$G57,K28*8760*'Game Assumptions'!$G57)</f>
        <v>131400</v>
      </c>
      <c r="L50" s="89">
        <f>IF(Reliability!L$53&lt;Reliability!L57,Reliability!L$53*8760*'Game Assumptions'!$G57,L28*8760*'Game Assumptions'!$G57)</f>
        <v>131400</v>
      </c>
    </row>
    <row r="51" spans="1:12" x14ac:dyDescent="0.25">
      <c r="A51" t="s">
        <v>11</v>
      </c>
      <c r="B51" s="89">
        <f>IF(Reliability!B$53&lt;Reliability!B58,Reliability!B$53*8760*'Game Assumptions'!$G58,B29*8760*'Game Assumptions'!$G58)</f>
        <v>262800</v>
      </c>
      <c r="C51" s="89">
        <f>IF(Reliability!C$53&lt;Reliability!C58,Reliability!C$53*8760*'Game Assumptions'!$G58,C29*8760*'Game Assumptions'!$G58)</f>
        <v>262800</v>
      </c>
      <c r="D51" s="89">
        <f>IF(Reliability!D$53&lt;Reliability!D58,Reliability!D$53*8760*'Game Assumptions'!$G58,D29*8760*'Game Assumptions'!$G58)</f>
        <v>262800</v>
      </c>
      <c r="E51" s="89">
        <f>IF(Reliability!E$53&lt;Reliability!E58,Reliability!E$53*8760*'Game Assumptions'!$G58,E29*8760*'Game Assumptions'!$G58)</f>
        <v>262800</v>
      </c>
      <c r="F51" s="89">
        <f>IF(Reliability!F$53&lt;Reliability!F58,Reliability!F$53*8760*'Game Assumptions'!$G58,F29*8760*'Game Assumptions'!$G58)</f>
        <v>262800</v>
      </c>
      <c r="G51" s="89">
        <f>IF(Reliability!G$53&lt;Reliability!G58,Reliability!G$53*8760*'Game Assumptions'!$G58,G29*8760*'Game Assumptions'!$G58)</f>
        <v>262800</v>
      </c>
      <c r="H51" s="89">
        <f>IF(Reliability!H$53&lt;Reliability!H58,Reliability!H$53*8760*'Game Assumptions'!$G58,H29*8760*'Game Assumptions'!$G58)</f>
        <v>262800</v>
      </c>
      <c r="I51" s="89">
        <f>IF(Reliability!I$53&lt;Reliability!I58,Reliability!I$53*8760*'Game Assumptions'!$G58,I29*8760*'Game Assumptions'!$G58)</f>
        <v>262800</v>
      </c>
      <c r="J51" s="89">
        <f>IF(Reliability!J$53&lt;Reliability!J58,Reliability!J$53*8760*'Game Assumptions'!$G58,J29*8760*'Game Assumptions'!$G58)</f>
        <v>262800</v>
      </c>
      <c r="K51" s="89">
        <f>IF(Reliability!K$53&lt;Reliability!K58,Reliability!K$53*8760*'Game Assumptions'!$G58,K29*8760*'Game Assumptions'!$G58)</f>
        <v>262800</v>
      </c>
      <c r="L51" s="89">
        <f>IF(Reliability!L$53&lt;Reliability!L58,Reliability!L$53*8760*'Game Assumptions'!$G58,L29*8760*'Game Assumptions'!$G58)</f>
        <v>262800</v>
      </c>
    </row>
    <row r="52" spans="1:12" x14ac:dyDescent="0.25">
      <c r="A52" t="s">
        <v>300</v>
      </c>
      <c r="B52" s="89">
        <f>IF(Reliability!B$53&lt;Reliability!B59,Reliability!B$53*8760*'Game Assumptions'!$G59,B30*8760*'Game Assumptions'!$G59)</f>
        <v>87600</v>
      </c>
      <c r="C52" s="89">
        <f>IF(Reliability!C$53&lt;Reliability!C59,Reliability!C$53*8760*'Game Assumptions'!$G59,C30*8760*'Game Assumptions'!$G59)</f>
        <v>87600</v>
      </c>
      <c r="D52" s="89">
        <f>IF(Reliability!D$53&lt;Reliability!D59,Reliability!D$53*8760*'Game Assumptions'!$G59,D30*8760*'Game Assumptions'!$G59)</f>
        <v>87600</v>
      </c>
      <c r="E52" s="89">
        <f>IF(Reliability!E$53&lt;Reliability!E59,Reliability!E$53*8760*'Game Assumptions'!$G59,E30*8760*'Game Assumptions'!$G59)</f>
        <v>87600</v>
      </c>
      <c r="F52" s="89">
        <f>IF(Reliability!F$53&lt;Reliability!F59,Reliability!F$53*8760*'Game Assumptions'!$G59,F30*8760*'Game Assumptions'!$G59)</f>
        <v>87600</v>
      </c>
      <c r="G52" s="89">
        <f>IF(Reliability!G$53&lt;Reliability!G59,Reliability!G$53*8760*'Game Assumptions'!$G59,G30*8760*'Game Assumptions'!$G59)</f>
        <v>87600</v>
      </c>
      <c r="H52" s="89">
        <f>IF(Reliability!H$53&lt;Reliability!H59,Reliability!H$53*8760*'Game Assumptions'!$G59,H30*8760*'Game Assumptions'!$G59)</f>
        <v>87600</v>
      </c>
      <c r="I52" s="89">
        <f>IF(Reliability!I$53&lt;Reliability!I59,Reliability!I$53*8760*'Game Assumptions'!$G59,I30*8760*'Game Assumptions'!$G59)</f>
        <v>87600</v>
      </c>
      <c r="J52" s="89">
        <f>IF(Reliability!J$53&lt;Reliability!J59,Reliability!J$53*8760*'Game Assumptions'!$G59,J30*8760*'Game Assumptions'!$G59)</f>
        <v>87600</v>
      </c>
      <c r="K52" s="89">
        <f>IF(Reliability!K$53&lt;Reliability!K59,Reliability!K$53*8760*'Game Assumptions'!$G59,K30*8760*'Game Assumptions'!$G59)</f>
        <v>87600</v>
      </c>
      <c r="L52" s="89">
        <f>IF(Reliability!L$53&lt;Reliability!L59,Reliability!L$53*8760*'Game Assumptions'!$G59,L30*8760*'Game Assumptions'!$G59)</f>
        <v>87600</v>
      </c>
    </row>
    <row r="53" spans="1:12" x14ac:dyDescent="0.25">
      <c r="A53" t="s">
        <v>301</v>
      </c>
      <c r="B53" s="89">
        <f>IF(Reliability!B$53&lt;Reliability!B60,Reliability!B$53*8760*'Game Assumptions'!$G60,B31*8760*'Game Assumptions'!$G60)</f>
        <v>87600</v>
      </c>
      <c r="C53" s="89">
        <f>IF(Reliability!C$53&lt;Reliability!C60,Reliability!C$53*8760*'Game Assumptions'!$G60,C31*8760*'Game Assumptions'!$G60)</f>
        <v>140160</v>
      </c>
      <c r="D53" s="89">
        <f>IF(Reliability!D$53&lt;Reliability!D60,Reliability!D$53*8760*'Game Assumptions'!$G60,D31*8760*'Game Assumptions'!$G60)</f>
        <v>201480</v>
      </c>
      <c r="E53" s="89">
        <f>IF(Reliability!E$53&lt;Reliability!E60,Reliability!E$53*8760*'Game Assumptions'!$G60,E31*8760*'Game Assumptions'!$G60)</f>
        <v>271560</v>
      </c>
      <c r="F53" s="89">
        <f>IF(Reliability!F$53&lt;Reliability!F60,Reliability!F$53*8760*'Game Assumptions'!$G60,F31*8760*'Game Assumptions'!$G60)</f>
        <v>350400</v>
      </c>
      <c r="G53" s="89">
        <f>IF(Reliability!G$53&lt;Reliability!G60,Reliability!G$53*8760*'Game Assumptions'!$G60,G31*8760*'Game Assumptions'!$G60)</f>
        <v>438000</v>
      </c>
      <c r="H53" s="89">
        <f>IF(Reliability!H$53&lt;Reliability!H60,Reliability!H$53*8760*'Game Assumptions'!$G60,H31*8760*'Game Assumptions'!$G60)</f>
        <v>534360</v>
      </c>
      <c r="I53" s="89">
        <f>IF(Reliability!I$53&lt;Reliability!I60,Reliability!I$53*8760*'Game Assumptions'!$G60,I31*8760*'Game Assumptions'!$G60)</f>
        <v>639480</v>
      </c>
      <c r="J53" s="89">
        <f>IF(Reliability!J$53&lt;Reliability!J60,Reliability!J$53*8760*'Game Assumptions'!$G60,J31*8760*'Game Assumptions'!$G60)</f>
        <v>753360</v>
      </c>
      <c r="K53" s="89">
        <f>IF(Reliability!K$53&lt;Reliability!K60,Reliability!K$53*8760*'Game Assumptions'!$G60,K31*8760*'Game Assumptions'!$G60)</f>
        <v>876000</v>
      </c>
      <c r="L53" s="89">
        <f>IF(Reliability!L$53&lt;Reliability!L60,Reliability!L$53*8760*'Game Assumptions'!$G60,L31*8760*'Game Assumptions'!$G60)</f>
        <v>1007400</v>
      </c>
    </row>
    <row r="54" spans="1:12" x14ac:dyDescent="0.25">
      <c r="A54" t="s">
        <v>302</v>
      </c>
      <c r="B54" s="89">
        <f>IF(Reliability!B$53&lt;Reliability!B61,Reliability!B$53*8760*'Game Assumptions'!$G61,B32*8760*'Game Assumptions'!$G61)</f>
        <v>21900</v>
      </c>
      <c r="C54" s="89">
        <f>IF(Reliability!C$53&lt;Reliability!C61,Reliability!C$53*8760*'Game Assumptions'!$G61,C32*8760*'Game Assumptions'!$G61)</f>
        <v>32850</v>
      </c>
      <c r="D54" s="89">
        <f>IF(Reliability!D$53&lt;Reliability!D61,Reliability!D$53*8760*'Game Assumptions'!$G61,D32*8760*'Game Assumptions'!$G61)</f>
        <v>45990</v>
      </c>
      <c r="E54" s="89">
        <f>IF(Reliability!E$53&lt;Reliability!E61,Reliability!E$53*8760*'Game Assumptions'!$G61,E32*8760*'Game Assumptions'!$G61)</f>
        <v>61320</v>
      </c>
      <c r="F54" s="89">
        <f>IF(Reliability!F$53&lt;Reliability!F61,Reliability!F$53*8760*'Game Assumptions'!$G61,F32*8760*'Game Assumptions'!$G61)</f>
        <v>78840</v>
      </c>
      <c r="G54" s="89">
        <f>IF(Reliability!G$53&lt;Reliability!G61,Reliability!G$53*8760*'Game Assumptions'!$G61,G32*8760*'Game Assumptions'!$G61)</f>
        <v>98550</v>
      </c>
      <c r="H54" s="89">
        <f>IF(Reliability!H$53&lt;Reliability!H61,Reliability!H$53*8760*'Game Assumptions'!$G61,H32*8760*'Game Assumptions'!$G61)</f>
        <v>120450</v>
      </c>
      <c r="I54" s="89">
        <f>IF(Reliability!I$53&lt;Reliability!I61,Reliability!I$53*8760*'Game Assumptions'!$G61,I32*8760*'Game Assumptions'!$G61)</f>
        <v>144540</v>
      </c>
      <c r="J54" s="89">
        <f>IF(Reliability!J$53&lt;Reliability!J61,Reliability!J$53*8760*'Game Assumptions'!$G61,J32*8760*'Game Assumptions'!$G61)</f>
        <v>170820</v>
      </c>
      <c r="K54" s="89">
        <f>IF(Reliability!K$53&lt;Reliability!K61,Reliability!K$53*8760*'Game Assumptions'!$G61,K32*8760*'Game Assumptions'!$G61)</f>
        <v>199290</v>
      </c>
      <c r="L54" s="89">
        <f>IF(Reliability!L$53&lt;Reliability!L61,Reliability!L$53*8760*'Game Assumptions'!$G61,L32*8760*'Game Assumptions'!$G61)</f>
        <v>229950</v>
      </c>
    </row>
    <row r="56" spans="1:12" x14ac:dyDescent="0.25">
      <c r="A56" s="9" t="s">
        <v>32</v>
      </c>
      <c r="B56" s="9">
        <v>0</v>
      </c>
      <c r="C56" s="9">
        <v>1</v>
      </c>
      <c r="D56" s="9">
        <v>2</v>
      </c>
      <c r="E56" s="9">
        <v>3</v>
      </c>
      <c r="F56" s="9">
        <v>4</v>
      </c>
      <c r="G56" s="9">
        <v>5</v>
      </c>
      <c r="H56" s="9">
        <v>6</v>
      </c>
      <c r="I56" s="9">
        <v>7</v>
      </c>
      <c r="J56" s="9">
        <v>8</v>
      </c>
      <c r="K56" s="9">
        <v>9</v>
      </c>
      <c r="L56" s="9">
        <v>10</v>
      </c>
    </row>
    <row r="57" spans="1:12" x14ac:dyDescent="0.25">
      <c r="A57" s="17" t="s">
        <v>92</v>
      </c>
      <c r="B57" s="89">
        <f>80000*(10^2)</f>
        <v>8000000</v>
      </c>
      <c r="C57" s="89">
        <f>78000*(10^2)</f>
        <v>7800000</v>
      </c>
      <c r="D57" s="89">
        <f>77000*(10^2)</f>
        <v>7700000</v>
      </c>
      <c r="E57" s="89">
        <f>75000*(10^2)</f>
        <v>7500000</v>
      </c>
      <c r="F57" s="89">
        <f>73000*(10^2)</f>
        <v>7300000</v>
      </c>
      <c r="G57" s="89">
        <f>74000*(10^2)</f>
        <v>7400000</v>
      </c>
      <c r="H57" s="89">
        <f>72000*(10^2)</f>
        <v>7200000</v>
      </c>
      <c r="I57" s="89">
        <f>70000*(10^2)</f>
        <v>7000000</v>
      </c>
      <c r="J57" s="89">
        <f>72000*(10^2)</f>
        <v>7200000</v>
      </c>
      <c r="K57" s="89">
        <f>71000*(10^2)</f>
        <v>7100000</v>
      </c>
      <c r="L57" s="89">
        <f>70000*(10^2)</f>
        <v>7000000</v>
      </c>
    </row>
    <row r="58" spans="1:12" x14ac:dyDescent="0.25">
      <c r="A58" s="17" t="s">
        <v>306</v>
      </c>
      <c r="B58" s="89">
        <f>B57-B53-B54</f>
        <v>7890500</v>
      </c>
      <c r="C58" s="89">
        <f t="shared" ref="C58:L58" si="17">C57-C53-C54</f>
        <v>7626990</v>
      </c>
      <c r="D58" s="89">
        <f t="shared" si="17"/>
        <v>7452530</v>
      </c>
      <c r="E58" s="89">
        <f t="shared" si="17"/>
        <v>7167120</v>
      </c>
      <c r="F58" s="89">
        <f t="shared" si="17"/>
        <v>6870760</v>
      </c>
      <c r="G58" s="89">
        <f t="shared" si="17"/>
        <v>6863450</v>
      </c>
      <c r="H58" s="89">
        <f t="shared" si="17"/>
        <v>6545190</v>
      </c>
      <c r="I58" s="89">
        <f t="shared" si="17"/>
        <v>6215980</v>
      </c>
      <c r="J58" s="89">
        <f t="shared" si="17"/>
        <v>6275820</v>
      </c>
      <c r="K58" s="89">
        <f t="shared" si="17"/>
        <v>6024710</v>
      </c>
      <c r="L58" s="89">
        <f t="shared" si="17"/>
        <v>5762650</v>
      </c>
    </row>
    <row r="59" spans="1:12" x14ac:dyDescent="0.25">
      <c r="A59" s="17" t="s">
        <v>338</v>
      </c>
      <c r="B59" s="90">
        <v>8000000</v>
      </c>
      <c r="C59" s="90">
        <v>7747582</v>
      </c>
      <c r="D59" s="90">
        <v>7730469</v>
      </c>
      <c r="E59" s="90">
        <v>7475115</v>
      </c>
      <c r="F59" s="90">
        <v>7167039</v>
      </c>
      <c r="G59" s="90">
        <v>7402949</v>
      </c>
      <c r="H59" s="90">
        <v>7275788</v>
      </c>
      <c r="I59" s="90">
        <v>6956440</v>
      </c>
      <c r="J59" s="90">
        <v>7239683</v>
      </c>
      <c r="K59" s="90">
        <v>6971947</v>
      </c>
      <c r="L59" s="90">
        <v>7086529</v>
      </c>
    </row>
    <row r="60" spans="1:12" x14ac:dyDescent="0.25">
      <c r="A60" s="17" t="s">
        <v>339</v>
      </c>
      <c r="B60" s="90">
        <f>B59+'Event Tracker'!B10*'Game Assumptions'!$B$20*'Resource Mix and Demand'!B59</f>
        <v>8000000</v>
      </c>
      <c r="C60" s="90">
        <f>C59+'Event Tracker'!C10*'Game Assumptions'!$B$20*'Resource Mix and Demand'!C59</f>
        <v>7747582</v>
      </c>
      <c r="D60" s="90">
        <f>D59+'Event Tracker'!D10*'Game Assumptions'!$B$20*'Resource Mix and Demand'!D59</f>
        <v>7730469</v>
      </c>
      <c r="E60" s="90">
        <f>E59+'Event Tracker'!E10*'Game Assumptions'!$B$20*'Resource Mix and Demand'!E59</f>
        <v>7475115</v>
      </c>
      <c r="F60" s="90">
        <f>F59+'Event Tracker'!F10*'Game Assumptions'!$B$20*'Resource Mix and Demand'!F59</f>
        <v>7167039</v>
      </c>
      <c r="G60" s="90">
        <f>G59+'Event Tracker'!G10*'Game Assumptions'!$B$20*'Resource Mix and Demand'!G59</f>
        <v>7402949</v>
      </c>
      <c r="H60" s="90">
        <f>H59+'Event Tracker'!H10*'Game Assumptions'!$B$20*'Resource Mix and Demand'!H59</f>
        <v>7275788</v>
      </c>
      <c r="I60" s="90">
        <f>I59+'Event Tracker'!I10*'Game Assumptions'!$B$20*'Resource Mix and Demand'!I59</f>
        <v>6956440</v>
      </c>
      <c r="J60" s="90">
        <f>J59+'Event Tracker'!J10*'Game Assumptions'!$B$20*'Resource Mix and Demand'!J59</f>
        <v>7239683</v>
      </c>
      <c r="K60" s="90">
        <f>K59+'Event Tracker'!K10*'Game Assumptions'!$B$20*'Resource Mix and Demand'!K59</f>
        <v>6971947</v>
      </c>
      <c r="L60" s="90">
        <f>L59+'Event Tracker'!L10*'Game Assumptions'!$B$20*'Resource Mix and Demand'!L59</f>
        <v>7086529</v>
      </c>
    </row>
    <row r="61" spans="1:12" x14ac:dyDescent="0.25">
      <c r="A61" s="17" t="s">
        <v>307</v>
      </c>
      <c r="B61" s="90">
        <f>B60-SUM(B53:B54)</f>
        <v>7890500</v>
      </c>
      <c r="C61" s="90">
        <f t="shared" ref="C61:L61" si="18">C60-SUM(C53:C54)</f>
        <v>7574572</v>
      </c>
      <c r="D61" s="90">
        <f t="shared" si="18"/>
        <v>7482999</v>
      </c>
      <c r="E61" s="90">
        <f t="shared" si="18"/>
        <v>7142235</v>
      </c>
      <c r="F61" s="90">
        <f t="shared" si="18"/>
        <v>6737799</v>
      </c>
      <c r="G61" s="90">
        <f t="shared" si="18"/>
        <v>6866399</v>
      </c>
      <c r="H61" s="90">
        <f t="shared" si="18"/>
        <v>6620978</v>
      </c>
      <c r="I61" s="90">
        <f t="shared" si="18"/>
        <v>6172420</v>
      </c>
      <c r="J61" s="90">
        <f t="shared" si="18"/>
        <v>6315503</v>
      </c>
      <c r="K61" s="90">
        <f t="shared" si="18"/>
        <v>5896657</v>
      </c>
      <c r="L61" s="90">
        <f t="shared" si="18"/>
        <v>5849179</v>
      </c>
    </row>
    <row r="62" spans="1:12" x14ac:dyDescent="0.25">
      <c r="A62" t="s">
        <v>127</v>
      </c>
      <c r="B62" s="89">
        <f t="shared" ref="B62:L62" si="19">B57/8760</f>
        <v>913.24200913242009</v>
      </c>
      <c r="C62" s="89">
        <f t="shared" si="19"/>
        <v>890.41095890410963</v>
      </c>
      <c r="D62" s="89">
        <f t="shared" si="19"/>
        <v>878.99543378995429</v>
      </c>
      <c r="E62" s="89">
        <f t="shared" si="19"/>
        <v>856.16438356164383</v>
      </c>
      <c r="F62" s="89">
        <f t="shared" si="19"/>
        <v>833.33333333333337</v>
      </c>
      <c r="G62" s="89">
        <f t="shared" si="19"/>
        <v>844.7488584474886</v>
      </c>
      <c r="H62" s="89">
        <f t="shared" si="19"/>
        <v>821.91780821917803</v>
      </c>
      <c r="I62" s="89">
        <f t="shared" si="19"/>
        <v>799.08675799086757</v>
      </c>
      <c r="J62" s="89">
        <f t="shared" si="19"/>
        <v>821.91780821917803</v>
      </c>
      <c r="K62" s="89">
        <f t="shared" si="19"/>
        <v>810.5022831050228</v>
      </c>
      <c r="L62" s="89">
        <f t="shared" si="19"/>
        <v>799.08675799086757</v>
      </c>
    </row>
    <row r="63" spans="1:12" x14ac:dyDescent="0.25">
      <c r="A63" t="s">
        <v>283</v>
      </c>
      <c r="B63" s="89">
        <f>B62/'Game Assumptions'!$B$73</f>
        <v>1826.4840182648402</v>
      </c>
      <c r="C63" s="89">
        <f>C62/'Game Assumptions'!$B$73</f>
        <v>1780.8219178082193</v>
      </c>
      <c r="D63" s="89">
        <f>D62/'Game Assumptions'!$B$73</f>
        <v>1757.9908675799086</v>
      </c>
      <c r="E63" s="89">
        <f>E62/'Game Assumptions'!$B$73</f>
        <v>1712.3287671232877</v>
      </c>
      <c r="F63" s="89">
        <f>F62/'Game Assumptions'!$B$73</f>
        <v>1666.6666666666667</v>
      </c>
      <c r="G63" s="89">
        <f>G62/'Game Assumptions'!$B$73</f>
        <v>1689.4977168949772</v>
      </c>
      <c r="H63" s="89">
        <f>H62/'Game Assumptions'!$B$73</f>
        <v>1643.8356164383561</v>
      </c>
      <c r="I63" s="89">
        <f>I62/'Game Assumptions'!$B$73</f>
        <v>1598.1735159817351</v>
      </c>
      <c r="J63" s="89">
        <f>J62/'Game Assumptions'!$B$73</f>
        <v>1643.8356164383561</v>
      </c>
      <c r="K63" s="89">
        <f>K62/'Game Assumptions'!$B$73</f>
        <v>1621.0045662100456</v>
      </c>
      <c r="L63" s="89">
        <f>L62/'Game Assumptions'!$B$73</f>
        <v>1598.1735159817351</v>
      </c>
    </row>
    <row r="64" spans="1:12" x14ac:dyDescent="0.25">
      <c r="A64" t="s">
        <v>284</v>
      </c>
      <c r="B64" s="89">
        <v>0</v>
      </c>
      <c r="C64" s="89">
        <f>IF('Event Tracker'!C5=1,'Resource Mix and Demand'!C63*'Game Assumptions'!$B$75*'Game Assumptions'!$G$91,0)</f>
        <v>0</v>
      </c>
      <c r="D64" s="89">
        <f>IF('Event Tracker'!D5=1,'Resource Mix and Demand'!D63*'Game Assumptions'!$B$75*'Game Assumptions'!$G$91,0)</f>
        <v>0</v>
      </c>
      <c r="E64" s="89">
        <f>IF('Event Tracker'!E5=1,'Resource Mix and Demand'!E63*'Game Assumptions'!$B$75*'Game Assumptions'!$G$91,0)</f>
        <v>0</v>
      </c>
      <c r="F64" s="89">
        <f>IF('Event Tracker'!F5=1,'Resource Mix and Demand'!F63*'Game Assumptions'!$B$75*'Game Assumptions'!$G$91,0)</f>
        <v>0</v>
      </c>
      <c r="G64" s="89">
        <f>IF('Event Tracker'!G5=1,'Resource Mix and Demand'!G63*'Game Assumptions'!$B$75*'Game Assumptions'!$G$91,0)</f>
        <v>0</v>
      </c>
      <c r="H64" s="89">
        <f>IF('Event Tracker'!H5=1,'Resource Mix and Demand'!H63*'Game Assumptions'!$B$75*'Game Assumptions'!$G$91,0)</f>
        <v>0</v>
      </c>
      <c r="I64" s="89">
        <f>IF('Event Tracker'!I5=1,'Resource Mix and Demand'!I63*'Game Assumptions'!$B$75*'Game Assumptions'!$G$91,0)</f>
        <v>0</v>
      </c>
      <c r="J64" s="89">
        <f>IF('Event Tracker'!J5=1,'Resource Mix and Demand'!J63*'Game Assumptions'!$B$75*'Game Assumptions'!$G$91,0)</f>
        <v>0</v>
      </c>
      <c r="K64" s="89">
        <f>IF('Event Tracker'!K5=1,'Resource Mix and Demand'!K63*'Game Assumptions'!$B$75*'Game Assumptions'!$G$91,0)</f>
        <v>0</v>
      </c>
      <c r="L64" s="89">
        <f>IF('Event Tracker'!L5=1,'Resource Mix and Demand'!L63*'Game Assumptions'!$B$75*'Game Assumptions'!$G$91,0)</f>
        <v>0</v>
      </c>
    </row>
    <row r="65" spans="1:12" x14ac:dyDescent="0.25">
      <c r="B65" s="89"/>
      <c r="C65" s="89"/>
      <c r="D65" s="89"/>
      <c r="E65" s="89"/>
      <c r="F65" s="89"/>
      <c r="G65" s="89"/>
      <c r="H65" s="89"/>
      <c r="I65" s="89"/>
      <c r="J65" s="89"/>
      <c r="K65" s="89"/>
      <c r="L65" s="89"/>
    </row>
    <row r="66" spans="1:12" x14ac:dyDescent="0.25">
      <c r="B66" s="89"/>
      <c r="C66" s="89"/>
      <c r="D66" s="89"/>
      <c r="E66" s="89"/>
      <c r="F66" s="89"/>
      <c r="G66" s="89"/>
      <c r="H66" s="89"/>
      <c r="I66" s="89"/>
      <c r="J66" s="89"/>
      <c r="K66" s="89"/>
      <c r="L66" s="89"/>
    </row>
    <row r="67" spans="1:12" x14ac:dyDescent="0.25">
      <c r="B67" s="89"/>
      <c r="C67" s="89"/>
      <c r="D67" s="89"/>
      <c r="E67" s="89"/>
      <c r="F67" s="89"/>
      <c r="G67" s="89"/>
      <c r="H67" s="89"/>
      <c r="I67" s="89"/>
      <c r="J67" s="89"/>
      <c r="K67" s="89"/>
      <c r="L67" s="89"/>
    </row>
    <row r="80" spans="1:12" x14ac:dyDescent="0.25">
      <c r="A80" s="6"/>
    </row>
    <row r="83" spans="1:1" x14ac:dyDescent="0.25">
      <c r="A83" s="7"/>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tabColor theme="6"/>
  </sheetPr>
  <dimension ref="A1:N171"/>
  <sheetViews>
    <sheetView zoomScale="85" zoomScaleNormal="85" workbookViewId="0">
      <selection activeCell="C11" sqref="C11"/>
    </sheetView>
  </sheetViews>
  <sheetFormatPr defaultRowHeight="15" x14ac:dyDescent="0.25"/>
  <cols>
    <col min="1" max="1" width="35" bestFit="1" customWidth="1"/>
    <col min="2" max="2" width="27.28515625" bestFit="1" customWidth="1"/>
    <col min="3" max="4" width="15.5703125" bestFit="1" customWidth="1"/>
    <col min="5" max="5" width="17.140625" bestFit="1" customWidth="1"/>
    <col min="6" max="6" width="15.5703125" bestFit="1" customWidth="1"/>
    <col min="7" max="7" width="27.28515625" bestFit="1" customWidth="1"/>
    <col min="8" max="8" width="15" customWidth="1"/>
    <col min="9" max="9" width="20.140625" bestFit="1" customWidth="1"/>
    <col min="10" max="10" width="16.28515625" customWidth="1"/>
    <col min="11" max="12" width="15.5703125" bestFit="1" customWidth="1"/>
    <col min="15" max="15" width="12.5703125" bestFit="1" customWidth="1"/>
    <col min="16" max="16" width="39" bestFit="1" customWidth="1"/>
    <col min="17" max="17" width="14" bestFit="1" customWidth="1"/>
    <col min="18" max="18" width="23.28515625" bestFit="1" customWidth="1"/>
    <col min="19" max="19" width="17" bestFit="1" customWidth="1"/>
    <col min="20" max="20" width="10.28515625" bestFit="1" customWidth="1"/>
    <col min="22" max="22" width="14" bestFit="1" customWidth="1"/>
    <col min="23" max="23" width="20" bestFit="1" customWidth="1"/>
  </cols>
  <sheetData>
    <row r="1" spans="1:14" ht="15.75" thickBot="1" x14ac:dyDescent="0.3">
      <c r="A1" s="9" t="s">
        <v>27</v>
      </c>
      <c r="B1" s="9">
        <v>0</v>
      </c>
      <c r="C1" s="9">
        <v>1</v>
      </c>
      <c r="D1" s="9">
        <v>2</v>
      </c>
      <c r="E1" s="9">
        <v>3</v>
      </c>
      <c r="F1" s="9">
        <v>4</v>
      </c>
      <c r="G1" s="9">
        <v>5</v>
      </c>
      <c r="H1" s="9">
        <v>6</v>
      </c>
      <c r="I1" s="9">
        <v>7</v>
      </c>
      <c r="J1" s="9">
        <v>8</v>
      </c>
      <c r="K1" s="9">
        <v>9</v>
      </c>
      <c r="L1" s="9">
        <v>10</v>
      </c>
      <c r="M1" s="1" t="s">
        <v>15</v>
      </c>
      <c r="N1" s="11">
        <f>'Event Tracker'!P1</f>
        <v>0</v>
      </c>
    </row>
    <row r="2" spans="1:14" x14ac:dyDescent="0.25">
      <c r="A2" t="s">
        <v>7</v>
      </c>
      <c r="B2" s="89">
        <f>'Resource Mix and Demand'!B46</f>
        <v>3679200</v>
      </c>
      <c r="C2" s="89">
        <f>'Resource Mix and Demand'!C46</f>
        <v>2102400</v>
      </c>
      <c r="D2" s="89">
        <f>'Resource Mix and Demand'!D46</f>
        <v>2102400</v>
      </c>
      <c r="E2" s="89">
        <f>'Resource Mix and Demand'!E46</f>
        <v>2102400</v>
      </c>
      <c r="F2" s="89">
        <f>'Resource Mix and Demand'!F46</f>
        <v>2102400</v>
      </c>
      <c r="G2" s="89">
        <f>'Resource Mix and Demand'!G46</f>
        <v>1576800</v>
      </c>
      <c r="H2" s="89">
        <f>'Resource Mix and Demand'!H46</f>
        <v>1576800</v>
      </c>
      <c r="I2" s="89">
        <f>'Resource Mix and Demand'!I46</f>
        <v>1576800</v>
      </c>
      <c r="J2" s="89">
        <f>'Resource Mix and Demand'!J46</f>
        <v>1576800</v>
      </c>
      <c r="K2" s="89">
        <f>'Resource Mix and Demand'!K46</f>
        <v>1576800</v>
      </c>
      <c r="L2" s="89">
        <f>'Resource Mix and Demand'!L46</f>
        <v>1576800</v>
      </c>
    </row>
    <row r="3" spans="1:14" x14ac:dyDescent="0.25">
      <c r="A3" t="s">
        <v>8</v>
      </c>
      <c r="B3" s="89">
        <f>'Resource Mix and Demand'!B47</f>
        <v>3504000</v>
      </c>
      <c r="C3" s="89">
        <f>'Resource Mix and Demand'!C47</f>
        <v>3504000</v>
      </c>
      <c r="D3" s="89">
        <f>'Resource Mix and Demand'!D47</f>
        <v>3504000</v>
      </c>
      <c r="E3" s="89">
        <f>'Resource Mix and Demand'!E47</f>
        <v>3504000</v>
      </c>
      <c r="F3" s="89">
        <f>'Resource Mix and Demand'!F47</f>
        <v>3504000</v>
      </c>
      <c r="G3" s="89">
        <f>'Resource Mix and Demand'!G47</f>
        <v>3504000</v>
      </c>
      <c r="H3" s="89">
        <f>'Resource Mix and Demand'!H47</f>
        <v>3504000</v>
      </c>
      <c r="I3" s="89">
        <f>'Resource Mix and Demand'!I47</f>
        <v>3504000</v>
      </c>
      <c r="J3" s="89">
        <f>'Resource Mix and Demand'!J47</f>
        <v>3504000</v>
      </c>
      <c r="K3" s="89">
        <f>'Resource Mix and Demand'!K47</f>
        <v>3504000</v>
      </c>
      <c r="L3" s="89">
        <f>'Resource Mix and Demand'!L47</f>
        <v>3504000</v>
      </c>
    </row>
    <row r="4" spans="1:14" x14ac:dyDescent="0.25">
      <c r="A4" t="s">
        <v>13</v>
      </c>
      <c r="B4" s="89">
        <f>'Resource Mix and Demand'!B48</f>
        <v>4730400</v>
      </c>
      <c r="C4" s="89">
        <f>'Resource Mix and Demand'!C48</f>
        <v>4730400</v>
      </c>
      <c r="D4" s="89">
        <f>'Resource Mix and Demand'!D48</f>
        <v>4730400</v>
      </c>
      <c r="E4" s="89">
        <f>'Resource Mix and Demand'!E48</f>
        <v>788400</v>
      </c>
      <c r="F4" s="89">
        <f>'Resource Mix and Demand'!F48</f>
        <v>788400</v>
      </c>
      <c r="G4" s="89">
        <f>'Resource Mix and Demand'!G48</f>
        <v>788400</v>
      </c>
      <c r="H4" s="89">
        <f>'Resource Mix and Demand'!H48</f>
        <v>788400</v>
      </c>
      <c r="I4" s="89">
        <f>'Resource Mix and Demand'!I48</f>
        <v>788400</v>
      </c>
      <c r="J4" s="89">
        <f>'Resource Mix and Demand'!J48</f>
        <v>788400</v>
      </c>
      <c r="K4" s="89">
        <f>'Resource Mix and Demand'!K48</f>
        <v>788400</v>
      </c>
      <c r="L4" s="89">
        <f>'Resource Mix and Demand'!L48</f>
        <v>788400</v>
      </c>
    </row>
    <row r="5" spans="1:14" x14ac:dyDescent="0.25">
      <c r="A5" t="s">
        <v>9</v>
      </c>
      <c r="B5" s="89">
        <f>'Resource Mix and Demand'!B49</f>
        <v>109500</v>
      </c>
      <c r="C5" s="89">
        <f>'Resource Mix and Demand'!C49</f>
        <v>109500</v>
      </c>
      <c r="D5" s="89">
        <f>'Resource Mix and Demand'!D49</f>
        <v>109500</v>
      </c>
      <c r="E5" s="89">
        <f>'Resource Mix and Demand'!E49</f>
        <v>109500</v>
      </c>
      <c r="F5" s="89">
        <f>'Resource Mix and Demand'!F49</f>
        <v>109500</v>
      </c>
      <c r="G5" s="89">
        <f>'Resource Mix and Demand'!G49</f>
        <v>109500</v>
      </c>
      <c r="H5" s="89">
        <f>'Resource Mix and Demand'!H49</f>
        <v>109500</v>
      </c>
      <c r="I5" s="89">
        <f>'Resource Mix and Demand'!I49</f>
        <v>109500</v>
      </c>
      <c r="J5" s="89">
        <f>'Resource Mix and Demand'!J49</f>
        <v>109500</v>
      </c>
      <c r="K5" s="89">
        <f>'Resource Mix and Demand'!K49</f>
        <v>109500</v>
      </c>
      <c r="L5" s="89">
        <f>'Resource Mix and Demand'!L49</f>
        <v>109500</v>
      </c>
    </row>
    <row r="6" spans="1:14" x14ac:dyDescent="0.25">
      <c r="A6" t="s">
        <v>10</v>
      </c>
      <c r="B6" s="89">
        <f>'Resource Mix and Demand'!B50</f>
        <v>131400</v>
      </c>
      <c r="C6" s="89">
        <f>'Resource Mix and Demand'!C50</f>
        <v>131400</v>
      </c>
      <c r="D6" s="89">
        <f>'Resource Mix and Demand'!D50</f>
        <v>131400</v>
      </c>
      <c r="E6" s="89">
        <f>'Resource Mix and Demand'!E50</f>
        <v>131400</v>
      </c>
      <c r="F6" s="89">
        <f>'Resource Mix and Demand'!F50</f>
        <v>131400</v>
      </c>
      <c r="G6" s="89">
        <f>'Resource Mix and Demand'!G50</f>
        <v>131400</v>
      </c>
      <c r="H6" s="89">
        <f>'Resource Mix and Demand'!H50</f>
        <v>131400</v>
      </c>
      <c r="I6" s="89">
        <f>'Resource Mix and Demand'!I50</f>
        <v>131400</v>
      </c>
      <c r="J6" s="89">
        <f>'Resource Mix and Demand'!J50</f>
        <v>131400</v>
      </c>
      <c r="K6" s="89">
        <f>'Resource Mix and Demand'!K50</f>
        <v>131400</v>
      </c>
      <c r="L6" s="89">
        <f>'Resource Mix and Demand'!L50</f>
        <v>131400</v>
      </c>
    </row>
    <row r="7" spans="1:14" x14ac:dyDescent="0.25">
      <c r="A7" t="s">
        <v>11</v>
      </c>
      <c r="B7" s="89">
        <f>'Resource Mix and Demand'!B51</f>
        <v>262800</v>
      </c>
      <c r="C7" s="89">
        <f>'Resource Mix and Demand'!C51</f>
        <v>262800</v>
      </c>
      <c r="D7" s="89">
        <f>'Resource Mix and Demand'!D51</f>
        <v>262800</v>
      </c>
      <c r="E7" s="89">
        <f>'Resource Mix and Demand'!E51</f>
        <v>262800</v>
      </c>
      <c r="F7" s="89">
        <f>'Resource Mix and Demand'!F51</f>
        <v>262800</v>
      </c>
      <c r="G7" s="89">
        <f>'Resource Mix and Demand'!G51</f>
        <v>262800</v>
      </c>
      <c r="H7" s="89">
        <f>'Resource Mix and Demand'!H51</f>
        <v>262800</v>
      </c>
      <c r="I7" s="89">
        <f>'Resource Mix and Demand'!I51</f>
        <v>262800</v>
      </c>
      <c r="J7" s="89">
        <f>'Resource Mix and Demand'!J51</f>
        <v>262800</v>
      </c>
      <c r="K7" s="89">
        <f>'Resource Mix and Demand'!K51</f>
        <v>262800</v>
      </c>
      <c r="L7" s="89">
        <f>'Resource Mix and Demand'!L51</f>
        <v>262800</v>
      </c>
    </row>
    <row r="8" spans="1:14" x14ac:dyDescent="0.25">
      <c r="A8" t="s">
        <v>309</v>
      </c>
      <c r="B8" s="89">
        <f>'Resource Mix and Demand'!B52</f>
        <v>87600</v>
      </c>
      <c r="C8" s="89">
        <f>'Resource Mix and Demand'!C52</f>
        <v>87600</v>
      </c>
      <c r="D8" s="89">
        <f>'Resource Mix and Demand'!D52</f>
        <v>87600</v>
      </c>
      <c r="E8" s="89">
        <f>'Resource Mix and Demand'!E52</f>
        <v>87600</v>
      </c>
      <c r="F8" s="89">
        <f>'Resource Mix and Demand'!F52</f>
        <v>87600</v>
      </c>
      <c r="G8" s="89">
        <f>'Resource Mix and Demand'!G52</f>
        <v>87600</v>
      </c>
      <c r="H8" s="89">
        <f>'Resource Mix and Demand'!H52</f>
        <v>87600</v>
      </c>
      <c r="I8" s="89">
        <f>'Resource Mix and Demand'!I52</f>
        <v>87600</v>
      </c>
      <c r="J8" s="89">
        <f>'Resource Mix and Demand'!J52</f>
        <v>87600</v>
      </c>
      <c r="K8" s="89">
        <f>'Resource Mix and Demand'!K52</f>
        <v>87600</v>
      </c>
      <c r="L8" s="89">
        <f>'Resource Mix and Demand'!L52</f>
        <v>87600</v>
      </c>
    </row>
    <row r="10" spans="1:14" x14ac:dyDescent="0.25">
      <c r="A10" s="9" t="s">
        <v>20</v>
      </c>
      <c r="B10" s="9">
        <v>0</v>
      </c>
      <c r="C10" s="9">
        <v>1</v>
      </c>
      <c r="D10" s="9">
        <v>2</v>
      </c>
      <c r="E10" s="9">
        <v>3</v>
      </c>
      <c r="F10" s="9">
        <v>4</v>
      </c>
      <c r="G10" s="9">
        <v>5</v>
      </c>
      <c r="H10" s="9">
        <v>6</v>
      </c>
      <c r="I10" s="9">
        <v>7</v>
      </c>
      <c r="J10" s="9">
        <v>8</v>
      </c>
      <c r="K10" s="9">
        <v>9</v>
      </c>
      <c r="L10" s="9">
        <v>10</v>
      </c>
    </row>
    <row r="11" spans="1:14" x14ac:dyDescent="0.25">
      <c r="A11" t="s">
        <v>21</v>
      </c>
      <c r="B11" s="15">
        <f>IF(INDEX('Event Tracker'!$B$12:$L$12,1,MATCH(Dispatch!B10,'Event Tracker'!$B$9:$L$9,0))=0,0,IF(INDEX('Event Tracker'!$B$12:$L$12,1,MATCH(Dispatch!B10,'Event Tracker'!$B$9:$L$9,0))=1,IF(INDEX('Event Tracker'!$B$12:$L$12,1,MATCH(Dispatch!B10,'Event Tracker'!$B$9:$L$9,0)-1)=0,0,'Game Assumptions'!$B$22+Dispatch!A11)))</f>
        <v>0</v>
      </c>
      <c r="C11" s="15">
        <f>IF(INDEX('Event Tracker'!$B$12:$L$12,1,MATCH(Dispatch!C10,'Event Tracker'!$B$9:$L$9,0))=0,0,IF(INDEX('Event Tracker'!$B$12:$L$12,1,MATCH(Dispatch!C10,'Event Tracker'!$B$9:$L$9,0))=1,IF(INDEX('Event Tracker'!$B$12:$L$12,1,MATCH(Dispatch!C10,'Event Tracker'!$B$9:$L$9,0)-1)=0,0,5+Dispatch!B11)))</f>
        <v>0</v>
      </c>
      <c r="D11" s="15">
        <f>IF(INDEX('Event Tracker'!$B$12:$L$12,1,MATCH(Dispatch!D10,'Event Tracker'!$B$9:$L$9,0))=0,0,IF(INDEX('Event Tracker'!$B$12:$L$12,1,MATCH(Dispatch!D10,'Event Tracker'!$B$9:$L$9,0))=1,IF(INDEX('Event Tracker'!$B$12:$L$12,1,MATCH(Dispatch!D10,'Event Tracker'!$B$9:$L$9,0)-1)=0,0,5+Dispatch!C11)))</f>
        <v>0</v>
      </c>
      <c r="E11" s="15">
        <f>IF(INDEX('Event Tracker'!$B$12:$L$12,1,MATCH(Dispatch!E10,'Event Tracker'!$B$9:$L$9,0))=0,0,IF(INDEX('Event Tracker'!$B$12:$L$12,1,MATCH(Dispatch!E10,'Event Tracker'!$B$9:$L$9,0))=1,IF(INDEX('Event Tracker'!$B$12:$L$12,1,MATCH(Dispatch!E10,'Event Tracker'!$B$9:$L$9,0)-1)=0,0,5+Dispatch!D11)))</f>
        <v>0</v>
      </c>
      <c r="F11" s="15">
        <f>IF(INDEX('Event Tracker'!$B$12:$L$12,1,MATCH(Dispatch!F10,'Event Tracker'!$B$9:$L$9,0))=0,0,IF(INDEX('Event Tracker'!$B$12:$L$12,1,MATCH(Dispatch!F10,'Event Tracker'!$B$9:$L$9,0))=1,IF(INDEX('Event Tracker'!$B$12:$L$12,1,MATCH(Dispatch!F10,'Event Tracker'!$B$9:$L$9,0)-1)=0,0,5+Dispatch!E11)))</f>
        <v>0</v>
      </c>
      <c r="G11" s="15">
        <f>IF(INDEX('Event Tracker'!$B$12:$L$12,1,MATCH(Dispatch!G10,'Event Tracker'!$B$9:$L$9,0))=0,0,IF(INDEX('Event Tracker'!$B$12:$L$12,1,MATCH(Dispatch!G10,'Event Tracker'!$B$9:$L$9,0))=1,IF(INDEX('Event Tracker'!$B$12:$L$12,1,MATCH(Dispatch!G10,'Event Tracker'!$B$9:$L$9,0)-1)=0,0,5+Dispatch!F11)))</f>
        <v>0</v>
      </c>
      <c r="H11" s="15">
        <f>IF(INDEX('Event Tracker'!$B$12:$L$12,1,MATCH(Dispatch!H10,'Event Tracker'!$B$9:$L$9,0))=0,0,IF(INDEX('Event Tracker'!$B$12:$L$12,1,MATCH(Dispatch!H10,'Event Tracker'!$B$9:$L$9,0))=1,IF(INDEX('Event Tracker'!$B$12:$L$12,1,MATCH(Dispatch!H10,'Event Tracker'!$B$9:$L$9,0)-1)=0,0,5+Dispatch!G11)))</f>
        <v>0</v>
      </c>
      <c r="I11" s="15">
        <f>IF(INDEX('Event Tracker'!$B$12:$L$12,1,MATCH(Dispatch!I10,'Event Tracker'!$B$9:$L$9,0))=0,0,IF(INDEX('Event Tracker'!$B$12:$L$12,1,MATCH(Dispatch!I10,'Event Tracker'!$B$9:$L$9,0))=1,IF(INDEX('Event Tracker'!$B$12:$L$12,1,MATCH(Dispatch!I10,'Event Tracker'!$B$9:$L$9,0)-1)=0,0,5+Dispatch!H11)))</f>
        <v>0</v>
      </c>
      <c r="J11" s="15">
        <f>IF(INDEX('Event Tracker'!$B$12:$L$12,1,MATCH(Dispatch!J10,'Event Tracker'!$B$9:$L$9,0))=0,0,IF(INDEX('Event Tracker'!$B$12:$L$12,1,MATCH(Dispatch!J10,'Event Tracker'!$B$9:$L$9,0))=1,IF(INDEX('Event Tracker'!$B$12:$L$12,1,MATCH(Dispatch!J10,'Event Tracker'!$B$9:$L$9,0)-1)=0,0,5+Dispatch!I11)))</f>
        <v>0</v>
      </c>
      <c r="K11" s="15">
        <f>IF(INDEX('Event Tracker'!$B$12:$L$12,1,MATCH(Dispatch!K10,'Event Tracker'!$B$9:$L$9,0))=0,0,IF(INDEX('Event Tracker'!$B$12:$L$12,1,MATCH(Dispatch!K10,'Event Tracker'!$B$9:$L$9,0))=1,IF(INDEX('Event Tracker'!$B$12:$L$12,1,MATCH(Dispatch!K10,'Event Tracker'!$B$9:$L$9,0)-1)=0,0,5+Dispatch!J11)))</f>
        <v>0</v>
      </c>
      <c r="L11" s="15">
        <f>IF(INDEX('Event Tracker'!$B$12:$L$12,1,MATCH(Dispatch!L10,'Event Tracker'!$B$9:$L$9,0))=0,0,IF(INDEX('Event Tracker'!$B$12:$L$12,1,MATCH(Dispatch!L10,'Event Tracker'!$B$9:$L$9,0))=1,IF(INDEX('Event Tracker'!$B$12:$L$12,1,MATCH(Dispatch!L10,'Event Tracker'!$B$9:$L$9,0)-1)=0,0,5+Dispatch!K11)))</f>
        <v>0</v>
      </c>
    </row>
    <row r="13" spans="1:14" x14ac:dyDescent="0.25">
      <c r="A13" s="9" t="s">
        <v>22</v>
      </c>
      <c r="B13" s="9">
        <v>0</v>
      </c>
      <c r="C13" s="9">
        <v>1</v>
      </c>
      <c r="D13" s="9">
        <v>2</v>
      </c>
      <c r="E13" s="9">
        <v>3</v>
      </c>
      <c r="F13" s="9">
        <v>4</v>
      </c>
      <c r="G13" s="9">
        <v>5</v>
      </c>
      <c r="H13" s="9">
        <v>6</v>
      </c>
      <c r="I13" s="9">
        <v>7</v>
      </c>
      <c r="J13" s="9">
        <v>8</v>
      </c>
      <c r="K13" s="9">
        <v>9</v>
      </c>
      <c r="L13" s="9">
        <v>10</v>
      </c>
    </row>
    <row r="14" spans="1:14" x14ac:dyDescent="0.25">
      <c r="A14" t="s">
        <v>7</v>
      </c>
      <c r="B14" s="15">
        <f>B$11*'Game Assumptions'!$K26</f>
        <v>0</v>
      </c>
      <c r="C14" s="15">
        <f>C$11*'Game Assumptions'!$K26</f>
        <v>0</v>
      </c>
      <c r="D14" s="15">
        <f>D$11*'Game Assumptions'!$K26</f>
        <v>0</v>
      </c>
      <c r="E14" s="15">
        <f>E$11*'Game Assumptions'!$K26</f>
        <v>0</v>
      </c>
      <c r="F14" s="15">
        <f>F$11*'Game Assumptions'!$K26</f>
        <v>0</v>
      </c>
      <c r="G14" s="15">
        <f>G$11*'Game Assumptions'!$K26</f>
        <v>0</v>
      </c>
      <c r="H14" s="15">
        <f>H$11*'Game Assumptions'!$K26</f>
        <v>0</v>
      </c>
      <c r="I14" s="15">
        <f>I$11*'Game Assumptions'!$K26</f>
        <v>0</v>
      </c>
      <c r="J14" s="15">
        <f>J$11*'Game Assumptions'!$K26</f>
        <v>0</v>
      </c>
      <c r="K14" s="15">
        <f>K$11*'Game Assumptions'!$K26</f>
        <v>0</v>
      </c>
      <c r="L14" s="15">
        <f>L$11*'Game Assumptions'!$K26</f>
        <v>0</v>
      </c>
    </row>
    <row r="15" spans="1:14" x14ac:dyDescent="0.25">
      <c r="A15" t="s">
        <v>8</v>
      </c>
      <c r="B15" s="15">
        <f>B$11*'Game Assumptions'!$K27</f>
        <v>0</v>
      </c>
      <c r="C15" s="15">
        <f>C$11*'Game Assumptions'!$K27</f>
        <v>0</v>
      </c>
      <c r="D15" s="15">
        <f>D$11*'Game Assumptions'!$K27</f>
        <v>0</v>
      </c>
      <c r="E15" s="15">
        <f>E$11*'Game Assumptions'!$K27</f>
        <v>0</v>
      </c>
      <c r="F15" s="15">
        <f>F$11*'Game Assumptions'!$K27</f>
        <v>0</v>
      </c>
      <c r="G15" s="15">
        <f>G$11*'Game Assumptions'!$K27</f>
        <v>0</v>
      </c>
      <c r="H15" s="15">
        <f>H$11*'Game Assumptions'!$K27</f>
        <v>0</v>
      </c>
      <c r="I15" s="15">
        <f>I$11*'Game Assumptions'!$K27</f>
        <v>0</v>
      </c>
      <c r="J15" s="15">
        <f>J$11*'Game Assumptions'!$K27</f>
        <v>0</v>
      </c>
      <c r="K15" s="15">
        <f>K$11*'Game Assumptions'!$K27</f>
        <v>0</v>
      </c>
      <c r="L15" s="15">
        <f>L$11*'Game Assumptions'!$K27</f>
        <v>0</v>
      </c>
    </row>
    <row r="16" spans="1:14" x14ac:dyDescent="0.25">
      <c r="A16" t="s">
        <v>13</v>
      </c>
      <c r="B16" s="15">
        <f>B$11*'Game Assumptions'!$K28</f>
        <v>0</v>
      </c>
      <c r="C16" s="15">
        <f>C$11*'Game Assumptions'!$K28</f>
        <v>0</v>
      </c>
      <c r="D16" s="15">
        <f>D$11*'Game Assumptions'!$K28</f>
        <v>0</v>
      </c>
      <c r="E16" s="15">
        <f>E$11*'Game Assumptions'!$K28</f>
        <v>0</v>
      </c>
      <c r="F16" s="15">
        <f>F$11*'Game Assumptions'!$K28</f>
        <v>0</v>
      </c>
      <c r="G16" s="15">
        <f>G$11*'Game Assumptions'!$K28</f>
        <v>0</v>
      </c>
      <c r="H16" s="15">
        <f>H$11*'Game Assumptions'!$K28</f>
        <v>0</v>
      </c>
      <c r="I16" s="15">
        <f>I$11*'Game Assumptions'!$K28</f>
        <v>0</v>
      </c>
      <c r="J16" s="15">
        <f>J$11*'Game Assumptions'!$K28</f>
        <v>0</v>
      </c>
      <c r="K16" s="15">
        <f>K$11*'Game Assumptions'!$K28</f>
        <v>0</v>
      </c>
      <c r="L16" s="15">
        <f>L$11*'Game Assumptions'!$K28</f>
        <v>0</v>
      </c>
    </row>
    <row r="17" spans="1:12" x14ac:dyDescent="0.25">
      <c r="A17" t="s">
        <v>9</v>
      </c>
      <c r="B17" s="15">
        <f>B$11*'Game Assumptions'!$K29</f>
        <v>0</v>
      </c>
      <c r="C17" s="15">
        <f>C$11*'Game Assumptions'!$K29</f>
        <v>0</v>
      </c>
      <c r="D17" s="15">
        <f>D$11*'Game Assumptions'!$K29</f>
        <v>0</v>
      </c>
      <c r="E17" s="15">
        <f>E$11*'Game Assumptions'!$K29</f>
        <v>0</v>
      </c>
      <c r="F17" s="15">
        <f>F$11*'Game Assumptions'!$K29</f>
        <v>0</v>
      </c>
      <c r="G17" s="15">
        <f>G$11*'Game Assumptions'!$K29</f>
        <v>0</v>
      </c>
      <c r="H17" s="15">
        <f>H$11*'Game Assumptions'!$K29</f>
        <v>0</v>
      </c>
      <c r="I17" s="15">
        <f>I$11*'Game Assumptions'!$K29</f>
        <v>0</v>
      </c>
      <c r="J17" s="15">
        <f>J$11*'Game Assumptions'!$K29</f>
        <v>0</v>
      </c>
      <c r="K17" s="15">
        <f>K$11*'Game Assumptions'!$K29</f>
        <v>0</v>
      </c>
      <c r="L17" s="15">
        <f>L$11*'Game Assumptions'!$K29</f>
        <v>0</v>
      </c>
    </row>
    <row r="18" spans="1:12" x14ac:dyDescent="0.25">
      <c r="A18" t="s">
        <v>10</v>
      </c>
      <c r="B18" s="15">
        <f>B$11*'Game Assumptions'!$K30</f>
        <v>0</v>
      </c>
      <c r="C18" s="15">
        <f>C$11*'Game Assumptions'!$K30</f>
        <v>0</v>
      </c>
      <c r="D18" s="15">
        <f>D$11*'Game Assumptions'!$K30</f>
        <v>0</v>
      </c>
      <c r="E18" s="15">
        <f>E$11*'Game Assumptions'!$K30</f>
        <v>0</v>
      </c>
      <c r="F18" s="15">
        <f>F$11*'Game Assumptions'!$K30</f>
        <v>0</v>
      </c>
      <c r="G18" s="15">
        <f>G$11*'Game Assumptions'!$K30</f>
        <v>0</v>
      </c>
      <c r="H18" s="15">
        <f>H$11*'Game Assumptions'!$K30</f>
        <v>0</v>
      </c>
      <c r="I18" s="15">
        <f>I$11*'Game Assumptions'!$K30</f>
        <v>0</v>
      </c>
      <c r="J18" s="15">
        <f>J$11*'Game Assumptions'!$K30</f>
        <v>0</v>
      </c>
      <c r="K18" s="15">
        <f>K$11*'Game Assumptions'!$K30</f>
        <v>0</v>
      </c>
      <c r="L18" s="15">
        <f>L$11*'Game Assumptions'!$K30</f>
        <v>0</v>
      </c>
    </row>
    <row r="19" spans="1:12" x14ac:dyDescent="0.25">
      <c r="A19" t="s">
        <v>11</v>
      </c>
      <c r="B19" s="15">
        <f>B$11*'Game Assumptions'!$K31</f>
        <v>0</v>
      </c>
      <c r="C19" s="15">
        <f>C$11*'Game Assumptions'!$K31</f>
        <v>0</v>
      </c>
      <c r="D19" s="15">
        <f>D$11*'Game Assumptions'!$K31</f>
        <v>0</v>
      </c>
      <c r="E19" s="15">
        <f>E$11*'Game Assumptions'!$K31</f>
        <v>0</v>
      </c>
      <c r="F19" s="15">
        <f>F$11*'Game Assumptions'!$K31</f>
        <v>0</v>
      </c>
      <c r="G19" s="15">
        <f>G$11*'Game Assumptions'!$K31</f>
        <v>0</v>
      </c>
      <c r="H19" s="15">
        <f>H$11*'Game Assumptions'!$K31</f>
        <v>0</v>
      </c>
      <c r="I19" s="15">
        <f>I$11*'Game Assumptions'!$K31</f>
        <v>0</v>
      </c>
      <c r="J19" s="15">
        <f>J$11*'Game Assumptions'!$K31</f>
        <v>0</v>
      </c>
      <c r="K19" s="15">
        <f>K$11*'Game Assumptions'!$K31</f>
        <v>0</v>
      </c>
      <c r="L19" s="15">
        <f>L$11*'Game Assumptions'!$K31</f>
        <v>0</v>
      </c>
    </row>
    <row r="20" spans="1:12" x14ac:dyDescent="0.25">
      <c r="A20" t="s">
        <v>309</v>
      </c>
    </row>
    <row r="22" spans="1:12" x14ac:dyDescent="0.25">
      <c r="A22" s="9" t="s">
        <v>335</v>
      </c>
      <c r="B22" s="9">
        <v>0</v>
      </c>
      <c r="C22" s="9">
        <v>1</v>
      </c>
      <c r="D22" s="9">
        <v>2</v>
      </c>
      <c r="E22" s="9">
        <v>3</v>
      </c>
      <c r="F22" s="9">
        <v>4</v>
      </c>
      <c r="G22" s="9">
        <v>5</v>
      </c>
      <c r="H22" s="9">
        <v>6</v>
      </c>
      <c r="I22" s="9">
        <v>7</v>
      </c>
      <c r="J22" s="9">
        <v>8</v>
      </c>
      <c r="K22" s="9">
        <v>9</v>
      </c>
      <c r="L22" s="9">
        <v>10</v>
      </c>
    </row>
    <row r="23" spans="1:12" x14ac:dyDescent="0.25">
      <c r="A23" t="s">
        <v>336</v>
      </c>
      <c r="B23" s="15">
        <f>INDEX('Event Tracker'!$B$11:$L$11,1,MATCH(Dispatch!B22,'Event Tracker'!$B$9:$L$9,0))*'Game Assumptions'!$B$53*'Game Assumptions'!$B$19</f>
        <v>0</v>
      </c>
      <c r="C23" s="15">
        <f>INDEX('Event Tracker'!$B$11:$L$11,1,MATCH(Dispatch!C22,'Event Tracker'!$B$9:$L$9,0))*'Game Assumptions'!$B$53*'Game Assumptions'!$B$19</f>
        <v>0</v>
      </c>
      <c r="D23" s="15">
        <f>INDEX('Event Tracker'!$B$11:$L$11,1,MATCH(Dispatch!D22,'Event Tracker'!$B$9:$L$9,0))*'Game Assumptions'!$B$53*'Game Assumptions'!$B$19</f>
        <v>0</v>
      </c>
      <c r="E23" s="15">
        <f>INDEX('Event Tracker'!$B$11:$L$11,1,MATCH(Dispatch!E22,'Event Tracker'!$B$9:$L$9,0))*'Game Assumptions'!$B$53*'Game Assumptions'!$B$19</f>
        <v>0</v>
      </c>
      <c r="F23" s="15">
        <f>INDEX('Event Tracker'!$B$11:$L$11,1,MATCH(Dispatch!F22,'Event Tracker'!$B$9:$L$9,0))*'Game Assumptions'!$B$53*'Game Assumptions'!$B$19</f>
        <v>0</v>
      </c>
      <c r="G23" s="15">
        <f>INDEX('Event Tracker'!$B$11:$L$11,1,MATCH(Dispatch!G22,'Event Tracker'!$B$9:$L$9,0))*'Game Assumptions'!$B$53*'Game Assumptions'!$B$19</f>
        <v>0</v>
      </c>
      <c r="H23" s="15">
        <f>INDEX('Event Tracker'!$B$11:$L$11,1,MATCH(Dispatch!H22,'Event Tracker'!$B$9:$L$9,0))*'Game Assumptions'!$B$53*'Game Assumptions'!$B$19</f>
        <v>0</v>
      </c>
      <c r="I23" s="15">
        <f>INDEX('Event Tracker'!$B$11:$L$11,1,MATCH(Dispatch!I22,'Event Tracker'!$B$9:$L$9,0))*'Game Assumptions'!$B$53*'Game Assumptions'!$B$19</f>
        <v>0</v>
      </c>
      <c r="J23" s="15">
        <f>INDEX('Event Tracker'!$B$11:$L$11,1,MATCH(Dispatch!J22,'Event Tracker'!$B$9:$L$9,0))*'Game Assumptions'!$B$53*'Game Assumptions'!$B$19</f>
        <v>0</v>
      </c>
      <c r="K23" s="15">
        <f>INDEX('Event Tracker'!$B$11:$L$11,1,MATCH(Dispatch!K22,'Event Tracker'!$B$9:$L$9,0))*'Game Assumptions'!$B$53*'Game Assumptions'!$B$19</f>
        <v>0</v>
      </c>
      <c r="L23" s="15">
        <f>INDEX('Event Tracker'!$B$11:$L$11,1,MATCH(Dispatch!L22,'Event Tracker'!$B$9:$L$9,0))*'Game Assumptions'!$B$53*'Game Assumptions'!$B$19</f>
        <v>0</v>
      </c>
    </row>
    <row r="24" spans="1:12" x14ac:dyDescent="0.25">
      <c r="B24" s="15"/>
      <c r="C24" s="15"/>
      <c r="D24" s="15"/>
      <c r="E24" s="15"/>
      <c r="F24" s="15"/>
      <c r="G24" s="15"/>
      <c r="H24" s="15"/>
      <c r="I24" s="15"/>
      <c r="J24" s="15"/>
      <c r="K24" s="15"/>
      <c r="L24" s="15"/>
    </row>
    <row r="25" spans="1:12" x14ac:dyDescent="0.25">
      <c r="A25" s="9" t="s">
        <v>165</v>
      </c>
      <c r="B25" s="9">
        <v>0</v>
      </c>
      <c r="C25" s="9">
        <v>1</v>
      </c>
      <c r="D25" s="9">
        <v>2</v>
      </c>
      <c r="E25" s="9">
        <v>3</v>
      </c>
      <c r="F25" s="9">
        <v>4</v>
      </c>
      <c r="G25" s="9">
        <v>5</v>
      </c>
      <c r="H25" s="9">
        <v>6</v>
      </c>
      <c r="I25" s="9">
        <v>7</v>
      </c>
      <c r="J25" s="9">
        <v>8</v>
      </c>
      <c r="K25" s="9">
        <v>9</v>
      </c>
      <c r="L25" s="9">
        <v>10</v>
      </c>
    </row>
    <row r="26" spans="1:12" x14ac:dyDescent="0.25">
      <c r="A26" t="s">
        <v>7</v>
      </c>
      <c r="B26" s="49">
        <f>'Game Assumptions'!$G39+'Game Assumptions'!B66*'Game Assumptions'!$B52</f>
        <v>28.747499999999999</v>
      </c>
      <c r="C26" s="49">
        <f>'Game Assumptions'!$G39+'Game Assumptions'!C66*'Game Assumptions'!$B52</f>
        <v>28.021249999999998</v>
      </c>
      <c r="D26" s="49">
        <f>'Game Assumptions'!$G39+'Game Assumptions'!D66*'Game Assumptions'!$B52</f>
        <v>27.917499999999997</v>
      </c>
      <c r="E26" s="49">
        <f>'Game Assumptions'!$G39+'Game Assumptions'!E66*'Game Assumptions'!$B52</f>
        <v>27.813749999999999</v>
      </c>
      <c r="F26" s="49">
        <f>'Game Assumptions'!$G39+'Game Assumptions'!F66*'Game Assumptions'!$B52</f>
        <v>28.021249999999998</v>
      </c>
      <c r="G26" s="49">
        <f>'Game Assumptions'!$G39+'Game Assumptions'!G66*'Game Assumptions'!$B52</f>
        <v>28.332499999999996</v>
      </c>
      <c r="H26" s="49">
        <f>'Game Assumptions'!$G39+'Game Assumptions'!H66*'Game Assumptions'!$B52</f>
        <v>28.747499999999999</v>
      </c>
      <c r="I26" s="49">
        <f>'Game Assumptions'!$G39+'Game Assumptions'!I66*'Game Assumptions'!$B52</f>
        <v>29.162499999999998</v>
      </c>
      <c r="J26" s="49">
        <f>'Game Assumptions'!$G39+'Game Assumptions'!J66*'Game Assumptions'!$B52</f>
        <v>29.577499999999997</v>
      </c>
      <c r="K26" s="49">
        <f>'Game Assumptions'!$G39+'Game Assumptions'!K66*'Game Assumptions'!$B52</f>
        <v>29.888750000000002</v>
      </c>
      <c r="L26" s="49">
        <f>'Game Assumptions'!$G39+'Game Assumptions'!L66*'Game Assumptions'!$B52</f>
        <v>30.2</v>
      </c>
    </row>
    <row r="27" spans="1:12" x14ac:dyDescent="0.25">
      <c r="A27" t="s">
        <v>8</v>
      </c>
      <c r="B27" s="49">
        <f>'Game Assumptions'!$G40+'Game Assumptions'!B67*'Game Assumptions'!$B53+B23</f>
        <v>36.550000000000004</v>
      </c>
      <c r="C27" s="49">
        <f>'Game Assumptions'!$G40+'Game Assumptions'!C67*'Game Assumptions'!$B53+C23</f>
        <v>40.902000000000001</v>
      </c>
      <c r="D27" s="49">
        <f>'Game Assumptions'!$G40+'Game Assumptions'!D67*'Game Assumptions'!$B53+D23</f>
        <v>36.414000000000001</v>
      </c>
      <c r="E27" s="49">
        <f>'Game Assumptions'!$G40+'Game Assumptions'!E67*'Game Assumptions'!$B53+E23</f>
        <v>36.686</v>
      </c>
      <c r="F27" s="49">
        <f>'Game Assumptions'!$G40+'Game Assumptions'!F67*'Game Assumptions'!$B53+F23</f>
        <v>36.550000000000004</v>
      </c>
      <c r="G27" s="49">
        <f>'Game Assumptions'!$G40+'Game Assumptions'!G67*'Game Assumptions'!$B53+G23</f>
        <v>37.434000000000005</v>
      </c>
      <c r="H27" s="49">
        <f>'Game Assumptions'!$G40+'Game Assumptions'!H67*'Game Assumptions'!$B53+H23</f>
        <v>40.358000000000004</v>
      </c>
      <c r="I27" s="49">
        <f>'Game Assumptions'!$G40+'Game Assumptions'!I67*'Game Assumptions'!$B53+I23</f>
        <v>43.281999999999996</v>
      </c>
      <c r="J27" s="49">
        <f>'Game Assumptions'!$G40+'Game Assumptions'!J67*'Game Assumptions'!$B53+J23</f>
        <v>45.050000000000004</v>
      </c>
      <c r="K27" s="49">
        <f>'Game Assumptions'!$G40+'Game Assumptions'!K67*'Game Assumptions'!$B53+K23</f>
        <v>46.07</v>
      </c>
      <c r="L27" s="49">
        <f>'Game Assumptions'!$G40+'Game Assumptions'!L67*'Game Assumptions'!$B53+L23</f>
        <v>47.225999999999999</v>
      </c>
    </row>
    <row r="28" spans="1:12" x14ac:dyDescent="0.25">
      <c r="A28" t="s">
        <v>13</v>
      </c>
      <c r="B28" s="49">
        <f>'Game Assumptions'!$G41+'Game Assumptions'!B68*'Game Assumptions'!$B54</f>
        <v>11.022499999999999</v>
      </c>
      <c r="C28" s="49">
        <f>'Game Assumptions'!$G41+'Game Assumptions'!C68*'Game Assumptions'!$B54</f>
        <v>11.022499999999999</v>
      </c>
      <c r="D28" s="49">
        <f>'Game Assumptions'!$G41+'Game Assumptions'!D68*'Game Assumptions'!$B54</f>
        <v>11.022499999999999</v>
      </c>
      <c r="E28" s="49">
        <f>'Game Assumptions'!$G41+'Game Assumptions'!E68*'Game Assumptions'!$B54</f>
        <v>11.022499999999999</v>
      </c>
      <c r="F28" s="49">
        <f>'Game Assumptions'!$G41+'Game Assumptions'!F68*'Game Assumptions'!$B54</f>
        <v>11.022499999999999</v>
      </c>
      <c r="G28" s="49">
        <f>'Game Assumptions'!$G41+'Game Assumptions'!G68*'Game Assumptions'!$B54</f>
        <v>11.022499999999999</v>
      </c>
      <c r="H28" s="49">
        <f>'Game Assumptions'!$G41+'Game Assumptions'!H68*'Game Assumptions'!$B54</f>
        <v>11.022499999999999</v>
      </c>
      <c r="I28" s="49">
        <f>'Game Assumptions'!$G41+'Game Assumptions'!I68*'Game Assumptions'!$B54</f>
        <v>11.022499999999999</v>
      </c>
      <c r="J28" s="49">
        <f>'Game Assumptions'!$G41+'Game Assumptions'!J68*'Game Assumptions'!$B54</f>
        <v>11.022499999999999</v>
      </c>
      <c r="K28" s="49">
        <f>'Game Assumptions'!$G41+'Game Assumptions'!K68*'Game Assumptions'!$B54</f>
        <v>11.022499999999999</v>
      </c>
      <c r="L28" s="49">
        <f>'Game Assumptions'!$G41+'Game Assumptions'!L68*'Game Assumptions'!$B54</f>
        <v>11.022499999999999</v>
      </c>
    </row>
    <row r="29" spans="1:12" x14ac:dyDescent="0.25">
      <c r="A29" t="s">
        <v>9</v>
      </c>
      <c r="B29" s="49">
        <f>'Game Assumptions'!$G42</f>
        <v>0.01</v>
      </c>
      <c r="C29" s="49">
        <f>'Game Assumptions'!$G42</f>
        <v>0.01</v>
      </c>
      <c r="D29" s="49">
        <f>'Game Assumptions'!$G42</f>
        <v>0.01</v>
      </c>
      <c r="E29" s="49">
        <f>'Game Assumptions'!$G42</f>
        <v>0.01</v>
      </c>
      <c r="F29" s="49">
        <f>'Game Assumptions'!$G42</f>
        <v>0.01</v>
      </c>
      <c r="G29" s="49">
        <f>'Game Assumptions'!$G42</f>
        <v>0.01</v>
      </c>
      <c r="H29" s="49">
        <f>'Game Assumptions'!$G42</f>
        <v>0.01</v>
      </c>
      <c r="I29" s="49">
        <f>'Game Assumptions'!$G42</f>
        <v>0.01</v>
      </c>
      <c r="J29" s="49">
        <f>'Game Assumptions'!$G42</f>
        <v>0.01</v>
      </c>
      <c r="K29" s="49">
        <f>'Game Assumptions'!$G42</f>
        <v>0.01</v>
      </c>
      <c r="L29" s="49">
        <f>'Game Assumptions'!$G42</f>
        <v>0.01</v>
      </c>
    </row>
    <row r="30" spans="1:12" x14ac:dyDescent="0.25">
      <c r="A30" t="s">
        <v>10</v>
      </c>
      <c r="B30" s="49">
        <f>'Game Assumptions'!$G43</f>
        <v>0.02</v>
      </c>
      <c r="C30" s="49">
        <f>'Game Assumptions'!$G43</f>
        <v>0.02</v>
      </c>
      <c r="D30" s="49">
        <f>'Game Assumptions'!$G43</f>
        <v>0.02</v>
      </c>
      <c r="E30" s="49">
        <f>'Game Assumptions'!$G43</f>
        <v>0.02</v>
      </c>
      <c r="F30" s="49">
        <f>'Game Assumptions'!$G43</f>
        <v>0.02</v>
      </c>
      <c r="G30" s="49">
        <f>'Game Assumptions'!$G43</f>
        <v>0.02</v>
      </c>
      <c r="H30" s="49">
        <f>'Game Assumptions'!$G43</f>
        <v>0.02</v>
      </c>
      <c r="I30" s="49">
        <f>'Game Assumptions'!$G43</f>
        <v>0.02</v>
      </c>
      <c r="J30" s="49">
        <f>'Game Assumptions'!$G43</f>
        <v>0.02</v>
      </c>
      <c r="K30" s="49">
        <f>'Game Assumptions'!$G43</f>
        <v>0.02</v>
      </c>
      <c r="L30" s="49">
        <f>'Game Assumptions'!$G43</f>
        <v>0.02</v>
      </c>
    </row>
    <row r="31" spans="1:12" x14ac:dyDescent="0.25">
      <c r="A31" t="s">
        <v>11</v>
      </c>
      <c r="B31" s="49">
        <f>'Game Assumptions'!$G44</f>
        <v>7</v>
      </c>
      <c r="C31" s="49">
        <f>'Game Assumptions'!$G44</f>
        <v>7</v>
      </c>
      <c r="D31" s="49">
        <f>'Game Assumptions'!$G44</f>
        <v>7</v>
      </c>
      <c r="E31" s="49">
        <f>'Game Assumptions'!$G44</f>
        <v>7</v>
      </c>
      <c r="F31" s="49">
        <f>'Game Assumptions'!$G44</f>
        <v>7</v>
      </c>
      <c r="G31" s="49">
        <f>'Game Assumptions'!$G44</f>
        <v>7</v>
      </c>
      <c r="H31" s="49">
        <f>'Game Assumptions'!$G44</f>
        <v>7</v>
      </c>
      <c r="I31" s="49">
        <f>'Game Assumptions'!$G44</f>
        <v>7</v>
      </c>
      <c r="J31" s="49">
        <f>'Game Assumptions'!$G44</f>
        <v>7</v>
      </c>
      <c r="K31" s="49">
        <f>'Game Assumptions'!$G44</f>
        <v>7</v>
      </c>
      <c r="L31" s="49">
        <f>'Game Assumptions'!$G44</f>
        <v>7</v>
      </c>
    </row>
    <row r="32" spans="1:12" x14ac:dyDescent="0.25">
      <c r="A32" t="s">
        <v>309</v>
      </c>
      <c r="B32" s="49">
        <f>'Game Assumptions'!$G45</f>
        <v>0</v>
      </c>
      <c r="C32" s="49">
        <f>'Game Assumptions'!$G45</f>
        <v>0</v>
      </c>
      <c r="D32" s="49">
        <f>'Game Assumptions'!$G45</f>
        <v>0</v>
      </c>
      <c r="E32" s="49">
        <f>'Game Assumptions'!$G45</f>
        <v>0</v>
      </c>
      <c r="F32" s="49">
        <f>'Game Assumptions'!$G45</f>
        <v>0</v>
      </c>
      <c r="G32" s="49">
        <f>'Game Assumptions'!$G45</f>
        <v>0</v>
      </c>
      <c r="H32" s="49">
        <f>'Game Assumptions'!$G45</f>
        <v>0</v>
      </c>
      <c r="I32" s="49">
        <f>'Game Assumptions'!$G45</f>
        <v>0</v>
      </c>
      <c r="J32" s="49">
        <f>'Game Assumptions'!$G45</f>
        <v>0</v>
      </c>
      <c r="K32" s="49">
        <f>'Game Assumptions'!$G45</f>
        <v>0</v>
      </c>
      <c r="L32" s="49">
        <f>'Game Assumptions'!$G45</f>
        <v>0</v>
      </c>
    </row>
    <row r="34" spans="1:12" x14ac:dyDescent="0.25">
      <c r="A34" s="9" t="s">
        <v>26</v>
      </c>
      <c r="B34" s="9">
        <v>0</v>
      </c>
      <c r="C34" s="9">
        <v>1</v>
      </c>
      <c r="D34" s="9">
        <v>2</v>
      </c>
      <c r="E34" s="9">
        <v>3</v>
      </c>
      <c r="F34" s="9">
        <v>4</v>
      </c>
      <c r="G34" s="9">
        <v>5</v>
      </c>
      <c r="H34" s="9">
        <v>6</v>
      </c>
      <c r="I34" s="9">
        <v>7</v>
      </c>
      <c r="J34" s="9">
        <v>8</v>
      </c>
      <c r="K34" s="9">
        <v>9</v>
      </c>
      <c r="L34" s="9">
        <v>10</v>
      </c>
    </row>
    <row r="35" spans="1:12" x14ac:dyDescent="0.25">
      <c r="A35" t="s">
        <v>7</v>
      </c>
      <c r="B35" s="15">
        <f t="shared" ref="B35:B41" si="0">B26+B14</f>
        <v>28.747499999999999</v>
      </c>
      <c r="C35" s="15">
        <f t="shared" ref="C35:L35" si="1">C26+C14</f>
        <v>28.021249999999998</v>
      </c>
      <c r="D35" s="15">
        <f t="shared" si="1"/>
        <v>27.917499999999997</v>
      </c>
      <c r="E35" s="15">
        <f t="shared" si="1"/>
        <v>27.813749999999999</v>
      </c>
      <c r="F35" s="15">
        <f t="shared" si="1"/>
        <v>28.021249999999998</v>
      </c>
      <c r="G35" s="15">
        <f t="shared" si="1"/>
        <v>28.332499999999996</v>
      </c>
      <c r="H35" s="15">
        <f t="shared" si="1"/>
        <v>28.747499999999999</v>
      </c>
      <c r="I35" s="15">
        <f t="shared" si="1"/>
        <v>29.162499999999998</v>
      </c>
      <c r="J35" s="15">
        <f t="shared" si="1"/>
        <v>29.577499999999997</v>
      </c>
      <c r="K35" s="15">
        <f t="shared" si="1"/>
        <v>29.888750000000002</v>
      </c>
      <c r="L35" s="15">
        <f t="shared" si="1"/>
        <v>30.2</v>
      </c>
    </row>
    <row r="36" spans="1:12" x14ac:dyDescent="0.25">
      <c r="A36" t="s">
        <v>8</v>
      </c>
      <c r="B36" s="15">
        <f t="shared" si="0"/>
        <v>36.550000000000004</v>
      </c>
      <c r="C36" s="15">
        <f t="shared" ref="C36:L36" si="2">C27+C15</f>
        <v>40.902000000000001</v>
      </c>
      <c r="D36" s="15">
        <f t="shared" si="2"/>
        <v>36.414000000000001</v>
      </c>
      <c r="E36" s="15">
        <f t="shared" si="2"/>
        <v>36.686</v>
      </c>
      <c r="F36" s="15">
        <f t="shared" si="2"/>
        <v>36.550000000000004</v>
      </c>
      <c r="G36" s="15">
        <f t="shared" si="2"/>
        <v>37.434000000000005</v>
      </c>
      <c r="H36" s="15">
        <f t="shared" si="2"/>
        <v>40.358000000000004</v>
      </c>
      <c r="I36" s="15">
        <f t="shared" si="2"/>
        <v>43.281999999999996</v>
      </c>
      <c r="J36" s="15">
        <f t="shared" si="2"/>
        <v>45.050000000000004</v>
      </c>
      <c r="K36" s="15">
        <f t="shared" si="2"/>
        <v>46.07</v>
      </c>
      <c r="L36" s="15">
        <f t="shared" si="2"/>
        <v>47.225999999999999</v>
      </c>
    </row>
    <row r="37" spans="1:12" x14ac:dyDescent="0.25">
      <c r="A37" t="s">
        <v>13</v>
      </c>
      <c r="B37" s="15">
        <f t="shared" si="0"/>
        <v>11.022499999999999</v>
      </c>
      <c r="C37" s="15">
        <f t="shared" ref="C37:L37" si="3">C28+C16</f>
        <v>11.022499999999999</v>
      </c>
      <c r="D37" s="15">
        <f t="shared" si="3"/>
        <v>11.022499999999999</v>
      </c>
      <c r="E37" s="15">
        <f t="shared" si="3"/>
        <v>11.022499999999999</v>
      </c>
      <c r="F37" s="15">
        <f t="shared" si="3"/>
        <v>11.022499999999999</v>
      </c>
      <c r="G37" s="15">
        <f t="shared" si="3"/>
        <v>11.022499999999999</v>
      </c>
      <c r="H37" s="15">
        <f t="shared" si="3"/>
        <v>11.022499999999999</v>
      </c>
      <c r="I37" s="15">
        <f t="shared" si="3"/>
        <v>11.022499999999999</v>
      </c>
      <c r="J37" s="15">
        <f t="shared" si="3"/>
        <v>11.022499999999999</v>
      </c>
      <c r="K37" s="15">
        <f t="shared" si="3"/>
        <v>11.022499999999999</v>
      </c>
      <c r="L37" s="15">
        <f t="shared" si="3"/>
        <v>11.022499999999999</v>
      </c>
    </row>
    <row r="38" spans="1:12" x14ac:dyDescent="0.25">
      <c r="A38" t="s">
        <v>9</v>
      </c>
      <c r="B38" s="15">
        <f t="shared" si="0"/>
        <v>0.01</v>
      </c>
      <c r="C38" s="15">
        <f t="shared" ref="C38:L38" si="4">C29+C17</f>
        <v>0.01</v>
      </c>
      <c r="D38" s="15">
        <f t="shared" si="4"/>
        <v>0.01</v>
      </c>
      <c r="E38" s="15">
        <f t="shared" si="4"/>
        <v>0.01</v>
      </c>
      <c r="F38" s="15">
        <f t="shared" si="4"/>
        <v>0.01</v>
      </c>
      <c r="G38" s="15">
        <f t="shared" si="4"/>
        <v>0.01</v>
      </c>
      <c r="H38" s="15">
        <f t="shared" si="4"/>
        <v>0.01</v>
      </c>
      <c r="I38" s="15">
        <f t="shared" si="4"/>
        <v>0.01</v>
      </c>
      <c r="J38" s="15">
        <f t="shared" si="4"/>
        <v>0.01</v>
      </c>
      <c r="K38" s="15">
        <f t="shared" si="4"/>
        <v>0.01</v>
      </c>
      <c r="L38" s="15">
        <f t="shared" si="4"/>
        <v>0.01</v>
      </c>
    </row>
    <row r="39" spans="1:12" x14ac:dyDescent="0.25">
      <c r="A39" t="s">
        <v>10</v>
      </c>
      <c r="B39" s="15">
        <f t="shared" si="0"/>
        <v>0.02</v>
      </c>
      <c r="C39" s="15">
        <f t="shared" ref="C39:L39" si="5">C30+C18</f>
        <v>0.02</v>
      </c>
      <c r="D39" s="15">
        <f t="shared" si="5"/>
        <v>0.02</v>
      </c>
      <c r="E39" s="15">
        <f t="shared" si="5"/>
        <v>0.02</v>
      </c>
      <c r="F39" s="15">
        <f t="shared" si="5"/>
        <v>0.02</v>
      </c>
      <c r="G39" s="15">
        <f t="shared" si="5"/>
        <v>0.02</v>
      </c>
      <c r="H39" s="15">
        <f t="shared" si="5"/>
        <v>0.02</v>
      </c>
      <c r="I39" s="15">
        <f t="shared" si="5"/>
        <v>0.02</v>
      </c>
      <c r="J39" s="15">
        <f t="shared" si="5"/>
        <v>0.02</v>
      </c>
      <c r="K39" s="15">
        <f t="shared" si="5"/>
        <v>0.02</v>
      </c>
      <c r="L39" s="15">
        <f t="shared" si="5"/>
        <v>0.02</v>
      </c>
    </row>
    <row r="40" spans="1:12" x14ac:dyDescent="0.25">
      <c r="A40" t="s">
        <v>11</v>
      </c>
      <c r="B40" s="15">
        <f t="shared" si="0"/>
        <v>7</v>
      </c>
      <c r="C40" s="15">
        <f t="shared" ref="C40:L40" si="6">C31+C19</f>
        <v>7</v>
      </c>
      <c r="D40" s="15">
        <f t="shared" si="6"/>
        <v>7</v>
      </c>
      <c r="E40" s="15">
        <f t="shared" si="6"/>
        <v>7</v>
      </c>
      <c r="F40" s="15">
        <f t="shared" si="6"/>
        <v>7</v>
      </c>
      <c r="G40" s="15">
        <f t="shared" si="6"/>
        <v>7</v>
      </c>
      <c r="H40" s="15">
        <f t="shared" si="6"/>
        <v>7</v>
      </c>
      <c r="I40" s="15">
        <f t="shared" si="6"/>
        <v>7</v>
      </c>
      <c r="J40" s="15">
        <f t="shared" si="6"/>
        <v>7</v>
      </c>
      <c r="K40" s="15">
        <f t="shared" si="6"/>
        <v>7</v>
      </c>
      <c r="L40" s="15">
        <f t="shared" si="6"/>
        <v>7</v>
      </c>
    </row>
    <row r="41" spans="1:12" x14ac:dyDescent="0.25">
      <c r="A41" t="s">
        <v>309</v>
      </c>
      <c r="B41" s="15">
        <f t="shared" si="0"/>
        <v>0</v>
      </c>
      <c r="C41" s="15">
        <f t="shared" ref="C41:L41" si="7">C32+C20</f>
        <v>0</v>
      </c>
      <c r="D41" s="15">
        <f t="shared" si="7"/>
        <v>0</v>
      </c>
      <c r="E41" s="15">
        <f t="shared" si="7"/>
        <v>0</v>
      </c>
      <c r="F41" s="15">
        <f t="shared" si="7"/>
        <v>0</v>
      </c>
      <c r="G41" s="15">
        <f t="shared" si="7"/>
        <v>0</v>
      </c>
      <c r="H41" s="15">
        <f t="shared" si="7"/>
        <v>0</v>
      </c>
      <c r="I41" s="15">
        <f t="shared" si="7"/>
        <v>0</v>
      </c>
      <c r="J41" s="15">
        <f t="shared" si="7"/>
        <v>0</v>
      </c>
      <c r="K41" s="15">
        <f t="shared" si="7"/>
        <v>0</v>
      </c>
      <c r="L41" s="15">
        <f t="shared" si="7"/>
        <v>0</v>
      </c>
    </row>
    <row r="43" spans="1:12" x14ac:dyDescent="0.25">
      <c r="A43" s="9" t="s">
        <v>154</v>
      </c>
      <c r="B43" s="9">
        <v>0</v>
      </c>
      <c r="C43" s="9">
        <v>1</v>
      </c>
      <c r="D43" s="9">
        <v>2</v>
      </c>
      <c r="E43" s="9">
        <v>3</v>
      </c>
      <c r="F43" s="9">
        <v>4</v>
      </c>
      <c r="G43" s="9">
        <v>5</v>
      </c>
      <c r="H43" s="9">
        <v>6</v>
      </c>
      <c r="I43" s="9">
        <v>7</v>
      </c>
      <c r="J43" s="9">
        <v>8</v>
      </c>
      <c r="K43" s="9">
        <v>9</v>
      </c>
      <c r="L43" s="9">
        <v>10</v>
      </c>
    </row>
    <row r="44" spans="1:12" x14ac:dyDescent="0.25">
      <c r="A44" t="s">
        <v>7</v>
      </c>
      <c r="B44">
        <f>RANK(B35,B$35:B$41,1)</f>
        <v>6</v>
      </c>
      <c r="C44">
        <f t="shared" ref="C44:L44" si="8">RANK(C35,C$35:C$41,1)</f>
        <v>6</v>
      </c>
      <c r="D44">
        <f t="shared" si="8"/>
        <v>6</v>
      </c>
      <c r="E44">
        <f t="shared" si="8"/>
        <v>6</v>
      </c>
      <c r="F44">
        <f t="shared" si="8"/>
        <v>6</v>
      </c>
      <c r="G44">
        <f t="shared" si="8"/>
        <v>6</v>
      </c>
      <c r="H44">
        <f t="shared" si="8"/>
        <v>6</v>
      </c>
      <c r="I44">
        <f t="shared" si="8"/>
        <v>6</v>
      </c>
      <c r="J44">
        <f t="shared" si="8"/>
        <v>6</v>
      </c>
      <c r="K44">
        <f t="shared" si="8"/>
        <v>6</v>
      </c>
      <c r="L44">
        <f t="shared" si="8"/>
        <v>6</v>
      </c>
    </row>
    <row r="45" spans="1:12" x14ac:dyDescent="0.25">
      <c r="A45" t="s">
        <v>8</v>
      </c>
      <c r="B45">
        <f t="shared" ref="B45:L50" si="9">RANK(B36,B$35:B$41,1)</f>
        <v>7</v>
      </c>
      <c r="C45">
        <f t="shared" si="9"/>
        <v>7</v>
      </c>
      <c r="D45">
        <f t="shared" si="9"/>
        <v>7</v>
      </c>
      <c r="E45">
        <f t="shared" si="9"/>
        <v>7</v>
      </c>
      <c r="F45">
        <f t="shared" si="9"/>
        <v>7</v>
      </c>
      <c r="G45">
        <f t="shared" si="9"/>
        <v>7</v>
      </c>
      <c r="H45">
        <f t="shared" si="9"/>
        <v>7</v>
      </c>
      <c r="I45">
        <f t="shared" si="9"/>
        <v>7</v>
      </c>
      <c r="J45">
        <f t="shared" si="9"/>
        <v>7</v>
      </c>
      <c r="K45">
        <f t="shared" si="9"/>
        <v>7</v>
      </c>
      <c r="L45">
        <f t="shared" si="9"/>
        <v>7</v>
      </c>
    </row>
    <row r="46" spans="1:12" x14ac:dyDescent="0.25">
      <c r="A46" t="s">
        <v>13</v>
      </c>
      <c r="B46">
        <f t="shared" si="9"/>
        <v>5</v>
      </c>
      <c r="C46">
        <f t="shared" si="9"/>
        <v>5</v>
      </c>
      <c r="D46">
        <f t="shared" si="9"/>
        <v>5</v>
      </c>
      <c r="E46">
        <f t="shared" si="9"/>
        <v>5</v>
      </c>
      <c r="F46">
        <f t="shared" si="9"/>
        <v>5</v>
      </c>
      <c r="G46">
        <f t="shared" si="9"/>
        <v>5</v>
      </c>
      <c r="H46">
        <f t="shared" si="9"/>
        <v>5</v>
      </c>
      <c r="I46">
        <f t="shared" si="9"/>
        <v>5</v>
      </c>
      <c r="J46">
        <f t="shared" si="9"/>
        <v>5</v>
      </c>
      <c r="K46">
        <f t="shared" si="9"/>
        <v>5</v>
      </c>
      <c r="L46">
        <f t="shared" si="9"/>
        <v>5</v>
      </c>
    </row>
    <row r="47" spans="1:12" x14ac:dyDescent="0.25">
      <c r="A47" t="s">
        <v>9</v>
      </c>
      <c r="B47">
        <f t="shared" si="9"/>
        <v>2</v>
      </c>
      <c r="C47">
        <f t="shared" si="9"/>
        <v>2</v>
      </c>
      <c r="D47">
        <f t="shared" si="9"/>
        <v>2</v>
      </c>
      <c r="E47">
        <f t="shared" si="9"/>
        <v>2</v>
      </c>
      <c r="F47">
        <f t="shared" si="9"/>
        <v>2</v>
      </c>
      <c r="G47">
        <f t="shared" si="9"/>
        <v>2</v>
      </c>
      <c r="H47">
        <f t="shared" si="9"/>
        <v>2</v>
      </c>
      <c r="I47">
        <f t="shared" si="9"/>
        <v>2</v>
      </c>
      <c r="J47">
        <f t="shared" si="9"/>
        <v>2</v>
      </c>
      <c r="K47">
        <f t="shared" si="9"/>
        <v>2</v>
      </c>
      <c r="L47">
        <f t="shared" si="9"/>
        <v>2</v>
      </c>
    </row>
    <row r="48" spans="1:12" x14ac:dyDescent="0.25">
      <c r="A48" t="s">
        <v>10</v>
      </c>
      <c r="B48">
        <f t="shared" si="9"/>
        <v>3</v>
      </c>
      <c r="C48">
        <f t="shared" si="9"/>
        <v>3</v>
      </c>
      <c r="D48">
        <f t="shared" si="9"/>
        <v>3</v>
      </c>
      <c r="E48">
        <f t="shared" si="9"/>
        <v>3</v>
      </c>
      <c r="F48">
        <f t="shared" si="9"/>
        <v>3</v>
      </c>
      <c r="G48">
        <f t="shared" si="9"/>
        <v>3</v>
      </c>
      <c r="H48">
        <f t="shared" si="9"/>
        <v>3</v>
      </c>
      <c r="I48">
        <f t="shared" si="9"/>
        <v>3</v>
      </c>
      <c r="J48">
        <f t="shared" si="9"/>
        <v>3</v>
      </c>
      <c r="K48">
        <f t="shared" si="9"/>
        <v>3</v>
      </c>
      <c r="L48">
        <f t="shared" si="9"/>
        <v>3</v>
      </c>
    </row>
    <row r="49" spans="1:12" x14ac:dyDescent="0.25">
      <c r="A49" t="s">
        <v>11</v>
      </c>
      <c r="B49">
        <f t="shared" si="9"/>
        <v>4</v>
      </c>
      <c r="C49">
        <f t="shared" si="9"/>
        <v>4</v>
      </c>
      <c r="D49">
        <f t="shared" si="9"/>
        <v>4</v>
      </c>
      <c r="E49">
        <f t="shared" si="9"/>
        <v>4</v>
      </c>
      <c r="F49">
        <f t="shared" si="9"/>
        <v>4</v>
      </c>
      <c r="G49">
        <f t="shared" si="9"/>
        <v>4</v>
      </c>
      <c r="H49">
        <f t="shared" si="9"/>
        <v>4</v>
      </c>
      <c r="I49">
        <f t="shared" si="9"/>
        <v>4</v>
      </c>
      <c r="J49">
        <f t="shared" si="9"/>
        <v>4</v>
      </c>
      <c r="K49">
        <f t="shared" si="9"/>
        <v>4</v>
      </c>
      <c r="L49">
        <f t="shared" si="9"/>
        <v>4</v>
      </c>
    </row>
    <row r="50" spans="1:12" x14ac:dyDescent="0.25">
      <c r="A50" t="s">
        <v>309</v>
      </c>
      <c r="B50">
        <f t="shared" si="9"/>
        <v>1</v>
      </c>
      <c r="C50">
        <f t="shared" si="9"/>
        <v>1</v>
      </c>
      <c r="D50">
        <f t="shared" si="9"/>
        <v>1</v>
      </c>
      <c r="E50">
        <f t="shared" si="9"/>
        <v>1</v>
      </c>
      <c r="F50">
        <f t="shared" si="9"/>
        <v>1</v>
      </c>
      <c r="G50">
        <f t="shared" si="9"/>
        <v>1</v>
      </c>
      <c r="H50">
        <f t="shared" si="9"/>
        <v>1</v>
      </c>
      <c r="I50">
        <f t="shared" si="9"/>
        <v>1</v>
      </c>
      <c r="J50">
        <f t="shared" si="9"/>
        <v>1</v>
      </c>
      <c r="K50">
        <f t="shared" si="9"/>
        <v>1</v>
      </c>
      <c r="L50">
        <f t="shared" si="9"/>
        <v>1</v>
      </c>
    </row>
    <row r="52" spans="1:12" x14ac:dyDescent="0.25">
      <c r="A52" s="9" t="s">
        <v>155</v>
      </c>
      <c r="B52" s="9">
        <v>0</v>
      </c>
      <c r="C52" s="9">
        <v>1</v>
      </c>
      <c r="D52" s="9">
        <v>2</v>
      </c>
      <c r="E52" s="9">
        <v>3</v>
      </c>
      <c r="F52" s="9">
        <v>4</v>
      </c>
      <c r="G52" s="9">
        <v>5</v>
      </c>
      <c r="H52" s="9">
        <v>6</v>
      </c>
      <c r="I52" s="9">
        <v>7</v>
      </c>
      <c r="J52" s="9">
        <v>8</v>
      </c>
      <c r="K52" s="9">
        <v>9</v>
      </c>
      <c r="L52" s="9">
        <v>10</v>
      </c>
    </row>
    <row r="53" spans="1:12" x14ac:dyDescent="0.25">
      <c r="A53">
        <v>1</v>
      </c>
      <c r="B53" t="s">
        <v>309</v>
      </c>
      <c r="C53" t="s">
        <v>309</v>
      </c>
      <c r="D53" t="s">
        <v>309</v>
      </c>
      <c r="E53" t="s">
        <v>309</v>
      </c>
      <c r="F53" t="s">
        <v>309</v>
      </c>
      <c r="G53" t="s">
        <v>309</v>
      </c>
      <c r="H53" t="s">
        <v>309</v>
      </c>
      <c r="I53" t="s">
        <v>309</v>
      </c>
      <c r="J53" t="s">
        <v>309</v>
      </c>
      <c r="K53" t="s">
        <v>309</v>
      </c>
      <c r="L53" t="s">
        <v>309</v>
      </c>
    </row>
    <row r="54" spans="1:12" x14ac:dyDescent="0.25">
      <c r="A54">
        <v>2</v>
      </c>
      <c r="B54" t="str">
        <f t="shared" ref="B54:L59" si="10">INDEX($A$44:$A$50,MATCH($A54,B$44:B$50,0))</f>
        <v>solar</v>
      </c>
      <c r="C54" t="str">
        <f t="shared" si="10"/>
        <v>solar</v>
      </c>
      <c r="D54" t="str">
        <f t="shared" si="10"/>
        <v>solar</v>
      </c>
      <c r="E54" t="str">
        <f t="shared" si="10"/>
        <v>solar</v>
      </c>
      <c r="F54" t="str">
        <f t="shared" si="10"/>
        <v>solar</v>
      </c>
      <c r="G54" t="str">
        <f t="shared" si="10"/>
        <v>solar</v>
      </c>
      <c r="H54" t="str">
        <f t="shared" si="10"/>
        <v>solar</v>
      </c>
      <c r="I54" t="str">
        <f t="shared" si="10"/>
        <v>solar</v>
      </c>
      <c r="J54" t="str">
        <f t="shared" si="10"/>
        <v>solar</v>
      </c>
      <c r="K54" t="str">
        <f t="shared" si="10"/>
        <v>solar</v>
      </c>
      <c r="L54" t="str">
        <f t="shared" si="10"/>
        <v>solar</v>
      </c>
    </row>
    <row r="55" spans="1:12" x14ac:dyDescent="0.25">
      <c r="A55">
        <v>3</v>
      </c>
      <c r="B55" t="str">
        <f t="shared" si="10"/>
        <v>wind</v>
      </c>
      <c r="C55" t="str">
        <f t="shared" si="10"/>
        <v>wind</v>
      </c>
      <c r="D55" t="str">
        <f t="shared" si="10"/>
        <v>wind</v>
      </c>
      <c r="E55" t="str">
        <f t="shared" si="10"/>
        <v>wind</v>
      </c>
      <c r="F55" t="str">
        <f t="shared" si="10"/>
        <v>wind</v>
      </c>
      <c r="G55" t="str">
        <f t="shared" si="10"/>
        <v>wind</v>
      </c>
      <c r="H55" t="str">
        <f t="shared" si="10"/>
        <v>wind</v>
      </c>
      <c r="I55" t="str">
        <f t="shared" si="10"/>
        <v>wind</v>
      </c>
      <c r="J55" t="str">
        <f t="shared" si="10"/>
        <v>wind</v>
      </c>
      <c r="K55" t="str">
        <f t="shared" si="10"/>
        <v>wind</v>
      </c>
      <c r="L55" t="str">
        <f t="shared" si="10"/>
        <v>wind</v>
      </c>
    </row>
    <row r="56" spans="1:12" x14ac:dyDescent="0.25">
      <c r="A56">
        <v>4</v>
      </c>
      <c r="B56" t="str">
        <f t="shared" si="10"/>
        <v>hydro</v>
      </c>
      <c r="C56" t="str">
        <f t="shared" si="10"/>
        <v>hydro</v>
      </c>
      <c r="D56" t="str">
        <f t="shared" si="10"/>
        <v>hydro</v>
      </c>
      <c r="E56" t="str">
        <f t="shared" si="10"/>
        <v>hydro</v>
      </c>
      <c r="F56" t="str">
        <f t="shared" si="10"/>
        <v>hydro</v>
      </c>
      <c r="G56" t="str">
        <f t="shared" si="10"/>
        <v>hydro</v>
      </c>
      <c r="H56" t="str">
        <f t="shared" si="10"/>
        <v>hydro</v>
      </c>
      <c r="I56" t="str">
        <f t="shared" si="10"/>
        <v>hydro</v>
      </c>
      <c r="J56" t="str">
        <f t="shared" si="10"/>
        <v>hydro</v>
      </c>
      <c r="K56" t="str">
        <f t="shared" si="10"/>
        <v>hydro</v>
      </c>
      <c r="L56" t="str">
        <f t="shared" si="10"/>
        <v>hydro</v>
      </c>
    </row>
    <row r="57" spans="1:12" x14ac:dyDescent="0.25">
      <c r="A57">
        <v>5</v>
      </c>
      <c r="B57" t="str">
        <f t="shared" si="10"/>
        <v>nuclear</v>
      </c>
      <c r="C57" t="str">
        <f t="shared" si="10"/>
        <v>nuclear</v>
      </c>
      <c r="D57" t="str">
        <f t="shared" si="10"/>
        <v>nuclear</v>
      </c>
      <c r="E57" t="str">
        <f t="shared" si="10"/>
        <v>nuclear</v>
      </c>
      <c r="F57" t="str">
        <f t="shared" si="10"/>
        <v>nuclear</v>
      </c>
      <c r="G57" t="str">
        <f t="shared" si="10"/>
        <v>nuclear</v>
      </c>
      <c r="H57" t="str">
        <f t="shared" si="10"/>
        <v>nuclear</v>
      </c>
      <c r="I57" t="str">
        <f t="shared" si="10"/>
        <v>nuclear</v>
      </c>
      <c r="J57" t="str">
        <f t="shared" si="10"/>
        <v>nuclear</v>
      </c>
      <c r="K57" t="str">
        <f t="shared" si="10"/>
        <v>nuclear</v>
      </c>
      <c r="L57" t="str">
        <f t="shared" si="10"/>
        <v>nuclear</v>
      </c>
    </row>
    <row r="58" spans="1:12" x14ac:dyDescent="0.25">
      <c r="A58">
        <v>6</v>
      </c>
      <c r="B58" t="str">
        <f t="shared" si="10"/>
        <v>coal</v>
      </c>
      <c r="C58" t="str">
        <f t="shared" si="10"/>
        <v>coal</v>
      </c>
      <c r="D58" t="str">
        <f t="shared" si="10"/>
        <v>coal</v>
      </c>
      <c r="E58" t="str">
        <f t="shared" si="10"/>
        <v>coal</v>
      </c>
      <c r="F58" t="str">
        <f t="shared" si="10"/>
        <v>coal</v>
      </c>
      <c r="G58" t="str">
        <f t="shared" si="10"/>
        <v>coal</v>
      </c>
      <c r="H58" t="str">
        <f t="shared" si="10"/>
        <v>coal</v>
      </c>
      <c r="I58" t="str">
        <f t="shared" si="10"/>
        <v>coal</v>
      </c>
      <c r="J58" t="str">
        <f t="shared" si="10"/>
        <v>coal</v>
      </c>
      <c r="K58" t="str">
        <f t="shared" si="10"/>
        <v>coal</v>
      </c>
      <c r="L58" t="str">
        <f t="shared" si="10"/>
        <v>coal</v>
      </c>
    </row>
    <row r="59" spans="1:12" x14ac:dyDescent="0.25">
      <c r="A59">
        <v>7</v>
      </c>
      <c r="B59" t="str">
        <f t="shared" si="10"/>
        <v>natural gas</v>
      </c>
      <c r="C59" t="str">
        <f t="shared" si="10"/>
        <v>natural gas</v>
      </c>
      <c r="D59" t="str">
        <f t="shared" si="10"/>
        <v>natural gas</v>
      </c>
      <c r="E59" t="str">
        <f t="shared" si="10"/>
        <v>natural gas</v>
      </c>
      <c r="F59" t="str">
        <f t="shared" si="10"/>
        <v>natural gas</v>
      </c>
      <c r="G59" t="str">
        <f t="shared" si="10"/>
        <v>natural gas</v>
      </c>
      <c r="H59" t="str">
        <f t="shared" si="10"/>
        <v>natural gas</v>
      </c>
      <c r="I59" t="str">
        <f t="shared" si="10"/>
        <v>natural gas</v>
      </c>
      <c r="J59" t="str">
        <f t="shared" si="10"/>
        <v>natural gas</v>
      </c>
      <c r="K59" t="str">
        <f t="shared" si="10"/>
        <v>natural gas</v>
      </c>
      <c r="L59" t="str">
        <f t="shared" si="10"/>
        <v>natural gas</v>
      </c>
    </row>
    <row r="61" spans="1:12" x14ac:dyDescent="0.25">
      <c r="A61" s="9" t="s">
        <v>156</v>
      </c>
      <c r="B61" s="9">
        <v>0</v>
      </c>
      <c r="C61" s="9">
        <v>1</v>
      </c>
      <c r="D61" s="9">
        <v>2</v>
      </c>
      <c r="E61" s="9">
        <v>3</v>
      </c>
      <c r="F61" s="9">
        <v>4</v>
      </c>
      <c r="G61" s="9">
        <v>5</v>
      </c>
      <c r="H61" s="9">
        <v>6</v>
      </c>
      <c r="I61" s="9">
        <v>7</v>
      </c>
      <c r="J61" s="9">
        <v>8</v>
      </c>
      <c r="K61" s="9">
        <v>9</v>
      </c>
      <c r="L61" s="9">
        <v>10</v>
      </c>
    </row>
    <row r="62" spans="1:12" x14ac:dyDescent="0.25">
      <c r="A62">
        <v>1</v>
      </c>
      <c r="B62" s="33">
        <f>INDEX(B$2:B$8,MATCH(B53,$A$2:$A$8,0),1)</f>
        <v>87600</v>
      </c>
      <c r="C62" s="33">
        <f>INDEX(C$2:C$8,MATCH(C53,$A$2:$A$8,0),1)</f>
        <v>87600</v>
      </c>
      <c r="D62" s="33">
        <f t="shared" ref="D62:L62" si="11">INDEX(D$2:D$8,MATCH(D53,$A$2:$A$8,0),1)</f>
        <v>87600</v>
      </c>
      <c r="E62" s="33">
        <f t="shared" si="11"/>
        <v>87600</v>
      </c>
      <c r="F62" s="33">
        <f t="shared" si="11"/>
        <v>87600</v>
      </c>
      <c r="G62" s="33">
        <f t="shared" si="11"/>
        <v>87600</v>
      </c>
      <c r="H62" s="33">
        <f t="shared" si="11"/>
        <v>87600</v>
      </c>
      <c r="I62" s="33">
        <f t="shared" si="11"/>
        <v>87600</v>
      </c>
      <c r="J62" s="33">
        <f t="shared" si="11"/>
        <v>87600</v>
      </c>
      <c r="K62" s="33">
        <f t="shared" si="11"/>
        <v>87600</v>
      </c>
      <c r="L62" s="33">
        <f t="shared" si="11"/>
        <v>87600</v>
      </c>
    </row>
    <row r="63" spans="1:12" x14ac:dyDescent="0.25">
      <c r="A63">
        <v>2</v>
      </c>
      <c r="B63" s="33">
        <f>INDEX(B$2:B$8,MATCH(B54,$A$2:$A$8,0),1)+B62</f>
        <v>197100</v>
      </c>
      <c r="C63" s="33">
        <f t="shared" ref="C63:L68" si="12">INDEX(C$2:C$8,MATCH(C54,$A$2:$A$8,0),1)+C62</f>
        <v>197100</v>
      </c>
      <c r="D63" s="33">
        <f t="shared" si="12"/>
        <v>197100</v>
      </c>
      <c r="E63" s="33">
        <f t="shared" si="12"/>
        <v>197100</v>
      </c>
      <c r="F63" s="33">
        <f t="shared" si="12"/>
        <v>197100</v>
      </c>
      <c r="G63" s="33">
        <f t="shared" si="12"/>
        <v>197100</v>
      </c>
      <c r="H63" s="33">
        <f t="shared" si="12"/>
        <v>197100</v>
      </c>
      <c r="I63" s="33">
        <f t="shared" si="12"/>
        <v>197100</v>
      </c>
      <c r="J63" s="33">
        <f t="shared" si="12"/>
        <v>197100</v>
      </c>
      <c r="K63" s="33">
        <f t="shared" si="12"/>
        <v>197100</v>
      </c>
      <c r="L63" s="33">
        <f t="shared" si="12"/>
        <v>197100</v>
      </c>
    </row>
    <row r="64" spans="1:12" x14ac:dyDescent="0.25">
      <c r="A64">
        <v>3</v>
      </c>
      <c r="B64" s="33">
        <f t="shared" ref="B64:B68" si="13">INDEX(B$2:B$8,MATCH(B55,$A$2:$A$8,0),1)+B63</f>
        <v>328500</v>
      </c>
      <c r="C64" s="33">
        <f t="shared" si="12"/>
        <v>328500</v>
      </c>
      <c r="D64" s="33">
        <f t="shared" si="12"/>
        <v>328500</v>
      </c>
      <c r="E64" s="33">
        <f t="shared" si="12"/>
        <v>328500</v>
      </c>
      <c r="F64" s="33">
        <f t="shared" si="12"/>
        <v>328500</v>
      </c>
      <c r="G64" s="33">
        <f t="shared" si="12"/>
        <v>328500</v>
      </c>
      <c r="H64" s="33">
        <f t="shared" si="12"/>
        <v>328500</v>
      </c>
      <c r="I64" s="33">
        <f t="shared" si="12"/>
        <v>328500</v>
      </c>
      <c r="J64" s="33">
        <f t="shared" si="12"/>
        <v>328500</v>
      </c>
      <c r="K64" s="33">
        <f t="shared" si="12"/>
        <v>328500</v>
      </c>
      <c r="L64" s="33">
        <f t="shared" si="12"/>
        <v>328500</v>
      </c>
    </row>
    <row r="65" spans="1:12" x14ac:dyDescent="0.25">
      <c r="A65">
        <v>4</v>
      </c>
      <c r="B65" s="33">
        <f t="shared" si="13"/>
        <v>591300</v>
      </c>
      <c r="C65" s="33">
        <f t="shared" si="12"/>
        <v>591300</v>
      </c>
      <c r="D65" s="33">
        <f t="shared" si="12"/>
        <v>591300</v>
      </c>
      <c r="E65" s="33">
        <f t="shared" si="12"/>
        <v>591300</v>
      </c>
      <c r="F65" s="33">
        <f t="shared" si="12"/>
        <v>591300</v>
      </c>
      <c r="G65" s="33">
        <f t="shared" si="12"/>
        <v>591300</v>
      </c>
      <c r="H65" s="33">
        <f t="shared" si="12"/>
        <v>591300</v>
      </c>
      <c r="I65" s="33">
        <f t="shared" si="12"/>
        <v>591300</v>
      </c>
      <c r="J65" s="33">
        <f t="shared" si="12"/>
        <v>591300</v>
      </c>
      <c r="K65" s="33">
        <f t="shared" si="12"/>
        <v>591300</v>
      </c>
      <c r="L65" s="33">
        <f t="shared" si="12"/>
        <v>591300</v>
      </c>
    </row>
    <row r="66" spans="1:12" x14ac:dyDescent="0.25">
      <c r="A66">
        <v>5</v>
      </c>
      <c r="B66" s="33">
        <f t="shared" si="13"/>
        <v>5321700</v>
      </c>
      <c r="C66" s="33">
        <f t="shared" si="12"/>
        <v>5321700</v>
      </c>
      <c r="D66" s="33">
        <f t="shared" si="12"/>
        <v>5321700</v>
      </c>
      <c r="E66" s="33">
        <f t="shared" si="12"/>
        <v>1379700</v>
      </c>
      <c r="F66" s="33">
        <f t="shared" si="12"/>
        <v>1379700</v>
      </c>
      <c r="G66" s="33">
        <f t="shared" si="12"/>
        <v>1379700</v>
      </c>
      <c r="H66" s="33">
        <f t="shared" si="12"/>
        <v>1379700</v>
      </c>
      <c r="I66" s="33">
        <f t="shared" si="12"/>
        <v>1379700</v>
      </c>
      <c r="J66" s="33">
        <f t="shared" si="12"/>
        <v>1379700</v>
      </c>
      <c r="K66" s="33">
        <f t="shared" si="12"/>
        <v>1379700</v>
      </c>
      <c r="L66" s="33">
        <f t="shared" si="12"/>
        <v>1379700</v>
      </c>
    </row>
    <row r="67" spans="1:12" x14ac:dyDescent="0.25">
      <c r="A67">
        <v>6</v>
      </c>
      <c r="B67" s="33">
        <f t="shared" si="13"/>
        <v>9000900</v>
      </c>
      <c r="C67" s="33">
        <f t="shared" si="12"/>
        <v>7424100</v>
      </c>
      <c r="D67" s="33">
        <f t="shared" si="12"/>
        <v>7424100</v>
      </c>
      <c r="E67" s="33">
        <f t="shared" si="12"/>
        <v>3482100</v>
      </c>
      <c r="F67" s="33">
        <f t="shared" si="12"/>
        <v>3482100</v>
      </c>
      <c r="G67" s="33">
        <f t="shared" si="12"/>
        <v>2956500</v>
      </c>
      <c r="H67" s="33">
        <f t="shared" si="12"/>
        <v>2956500</v>
      </c>
      <c r="I67" s="33">
        <f t="shared" si="12"/>
        <v>2956500</v>
      </c>
      <c r="J67" s="33">
        <f t="shared" si="12"/>
        <v>2956500</v>
      </c>
      <c r="K67" s="33">
        <f t="shared" si="12"/>
        <v>2956500</v>
      </c>
      <c r="L67" s="33">
        <f t="shared" si="12"/>
        <v>2956500</v>
      </c>
    </row>
    <row r="68" spans="1:12" x14ac:dyDescent="0.25">
      <c r="A68">
        <v>7</v>
      </c>
      <c r="B68" s="33">
        <f t="shared" si="13"/>
        <v>12504900</v>
      </c>
      <c r="C68" s="33">
        <f t="shared" si="12"/>
        <v>10928100</v>
      </c>
      <c r="D68" s="33">
        <f t="shared" si="12"/>
        <v>10928100</v>
      </c>
      <c r="E68" s="33">
        <f t="shared" si="12"/>
        <v>6986100</v>
      </c>
      <c r="F68" s="33">
        <f t="shared" si="12"/>
        <v>6986100</v>
      </c>
      <c r="G68" s="33">
        <f t="shared" si="12"/>
        <v>6460500</v>
      </c>
      <c r="H68" s="33">
        <f t="shared" si="12"/>
        <v>6460500</v>
      </c>
      <c r="I68" s="33">
        <f t="shared" si="12"/>
        <v>6460500</v>
      </c>
      <c r="J68" s="33">
        <f t="shared" si="12"/>
        <v>6460500</v>
      </c>
      <c r="K68" s="33">
        <f t="shared" si="12"/>
        <v>6460500</v>
      </c>
      <c r="L68" s="33">
        <f t="shared" si="12"/>
        <v>6460500</v>
      </c>
    </row>
    <row r="71" spans="1:12" ht="18.75" x14ac:dyDescent="0.3">
      <c r="A71" s="20" t="s">
        <v>162</v>
      </c>
      <c r="B71" s="20"/>
      <c r="C71" s="20"/>
      <c r="D71" s="20"/>
      <c r="E71" s="20"/>
      <c r="F71" s="20"/>
      <c r="G71" s="20"/>
      <c r="H71" s="20"/>
      <c r="I71" s="20"/>
      <c r="J71" s="20"/>
      <c r="K71" s="20"/>
      <c r="L71" s="20"/>
    </row>
    <row r="72" spans="1:12" x14ac:dyDescent="0.25">
      <c r="A72" s="9" t="s">
        <v>308</v>
      </c>
      <c r="B72" s="9">
        <v>0</v>
      </c>
      <c r="C72" s="9">
        <v>1</v>
      </c>
      <c r="D72" s="9">
        <v>2</v>
      </c>
      <c r="E72" s="9">
        <v>3</v>
      </c>
      <c r="F72" s="9">
        <v>4</v>
      </c>
      <c r="G72" s="9">
        <v>5</v>
      </c>
      <c r="H72" s="9">
        <v>6</v>
      </c>
      <c r="I72" s="9">
        <v>7</v>
      </c>
      <c r="J72" s="9">
        <v>8</v>
      </c>
      <c r="K72" s="9">
        <v>9</v>
      </c>
      <c r="L72" s="9">
        <v>10</v>
      </c>
    </row>
    <row r="73" spans="1:12" x14ac:dyDescent="0.25">
      <c r="A73" t="s">
        <v>158</v>
      </c>
      <c r="B73" s="89">
        <f>'Resource Mix and Demand'!B58</f>
        <v>7890500</v>
      </c>
      <c r="C73" s="89">
        <f>'Resource Mix and Demand'!C58</f>
        <v>7626990</v>
      </c>
      <c r="D73" s="89">
        <f>'Resource Mix and Demand'!D58</f>
        <v>7452530</v>
      </c>
      <c r="E73" s="89">
        <f>'Resource Mix and Demand'!E58</f>
        <v>7167120</v>
      </c>
      <c r="F73" s="89">
        <f>'Resource Mix and Demand'!F58</f>
        <v>6870760</v>
      </c>
      <c r="G73" s="89">
        <f>'Resource Mix and Demand'!G58</f>
        <v>6863450</v>
      </c>
      <c r="H73" s="89">
        <f>'Resource Mix and Demand'!H58</f>
        <v>6545190</v>
      </c>
      <c r="I73" s="89">
        <f>'Resource Mix and Demand'!I58</f>
        <v>6215980</v>
      </c>
      <c r="J73" s="89">
        <f>'Resource Mix and Demand'!J58</f>
        <v>6275820</v>
      </c>
      <c r="K73" s="89">
        <f>'Resource Mix and Demand'!K58</f>
        <v>6024710</v>
      </c>
      <c r="L73" s="89">
        <f>'Resource Mix and Demand'!L58</f>
        <v>5762650</v>
      </c>
    </row>
    <row r="75" spans="1:12" x14ac:dyDescent="0.25">
      <c r="A75" s="9" t="s">
        <v>159</v>
      </c>
      <c r="B75" s="9">
        <v>0</v>
      </c>
      <c r="C75" s="9">
        <v>1</v>
      </c>
      <c r="D75" s="9">
        <v>2</v>
      </c>
      <c r="E75" s="9">
        <v>3</v>
      </c>
      <c r="F75" s="9">
        <v>4</v>
      </c>
      <c r="G75" s="9">
        <v>5</v>
      </c>
      <c r="H75" s="9">
        <v>6</v>
      </c>
      <c r="I75" s="9">
        <v>7</v>
      </c>
      <c r="J75" s="9">
        <v>8</v>
      </c>
      <c r="K75" s="9">
        <v>9</v>
      </c>
      <c r="L75" s="9">
        <v>10</v>
      </c>
    </row>
    <row r="76" spans="1:12" x14ac:dyDescent="0.25">
      <c r="A76">
        <v>1</v>
      </c>
      <c r="B76" s="16">
        <f>MAX(IF(B62&lt;B$73,B62-IF(B61&lt;10,0,B61),B$106-B61),0)</f>
        <v>87600</v>
      </c>
      <c r="C76" s="16">
        <f t="shared" ref="C76:L76" si="14">MAX(IF(C62&lt;C$73,C62-IF(C61&lt;10,0,C61),C$106-C61),0)</f>
        <v>87600</v>
      </c>
      <c r="D76" s="16">
        <f t="shared" si="14"/>
        <v>87600</v>
      </c>
      <c r="E76" s="16">
        <f t="shared" si="14"/>
        <v>87600</v>
      </c>
      <c r="F76" s="16">
        <f t="shared" si="14"/>
        <v>87600</v>
      </c>
      <c r="G76" s="16">
        <f t="shared" si="14"/>
        <v>87600</v>
      </c>
      <c r="H76" s="16">
        <f t="shared" si="14"/>
        <v>87600</v>
      </c>
      <c r="I76" s="16">
        <f t="shared" si="14"/>
        <v>87600</v>
      </c>
      <c r="J76" s="16">
        <f t="shared" si="14"/>
        <v>87600</v>
      </c>
      <c r="K76" s="16">
        <f t="shared" si="14"/>
        <v>87600</v>
      </c>
      <c r="L76" s="16">
        <f t="shared" si="14"/>
        <v>87590</v>
      </c>
    </row>
    <row r="77" spans="1:12" x14ac:dyDescent="0.25">
      <c r="A77">
        <v>2</v>
      </c>
      <c r="B77" s="16">
        <f t="shared" ref="B77:L82" si="15">MAX(IF(B63&lt;B$73,B63-IF(B62&lt;10,0,B62),B$106-B62),0)</f>
        <v>109500</v>
      </c>
      <c r="C77" s="16">
        <f t="shared" si="15"/>
        <v>109500</v>
      </c>
      <c r="D77" s="16">
        <f t="shared" si="15"/>
        <v>109500</v>
      </c>
      <c r="E77" s="16">
        <f t="shared" si="15"/>
        <v>109500</v>
      </c>
      <c r="F77" s="16">
        <f t="shared" si="15"/>
        <v>109500</v>
      </c>
      <c r="G77" s="16">
        <f t="shared" si="15"/>
        <v>109500</v>
      </c>
      <c r="H77" s="16">
        <f t="shared" si="15"/>
        <v>109500</v>
      </c>
      <c r="I77" s="16">
        <f t="shared" si="15"/>
        <v>109500</v>
      </c>
      <c r="J77" s="16">
        <f t="shared" si="15"/>
        <v>109500</v>
      </c>
      <c r="K77" s="16">
        <f t="shared" si="15"/>
        <v>109500</v>
      </c>
      <c r="L77" s="16">
        <f t="shared" si="15"/>
        <v>109500</v>
      </c>
    </row>
    <row r="78" spans="1:12" x14ac:dyDescent="0.25">
      <c r="A78">
        <v>3</v>
      </c>
      <c r="B78" s="16">
        <f t="shared" si="15"/>
        <v>131400</v>
      </c>
      <c r="C78" s="16">
        <f t="shared" si="15"/>
        <v>131400</v>
      </c>
      <c r="D78" s="16">
        <f t="shared" si="15"/>
        <v>131400</v>
      </c>
      <c r="E78" s="16">
        <f t="shared" si="15"/>
        <v>131400</v>
      </c>
      <c r="F78" s="16">
        <f t="shared" si="15"/>
        <v>131400</v>
      </c>
      <c r="G78" s="16">
        <f t="shared" si="15"/>
        <v>131400</v>
      </c>
      <c r="H78" s="16">
        <f t="shared" si="15"/>
        <v>131400</v>
      </c>
      <c r="I78" s="16">
        <f t="shared" si="15"/>
        <v>131400</v>
      </c>
      <c r="J78" s="16">
        <f t="shared" si="15"/>
        <v>131400</v>
      </c>
      <c r="K78" s="16">
        <f t="shared" si="15"/>
        <v>131400</v>
      </c>
      <c r="L78" s="16">
        <f t="shared" si="15"/>
        <v>131400</v>
      </c>
    </row>
    <row r="79" spans="1:12" x14ac:dyDescent="0.25">
      <c r="A79">
        <v>4</v>
      </c>
      <c r="B79" s="16">
        <f t="shared" si="15"/>
        <v>262800</v>
      </c>
      <c r="C79" s="16">
        <f t="shared" si="15"/>
        <v>262800</v>
      </c>
      <c r="D79" s="16">
        <f t="shared" si="15"/>
        <v>262800</v>
      </c>
      <c r="E79" s="16">
        <f t="shared" si="15"/>
        <v>262800</v>
      </c>
      <c r="F79" s="16">
        <f t="shared" si="15"/>
        <v>262800</v>
      </c>
      <c r="G79" s="16">
        <f t="shared" si="15"/>
        <v>262800</v>
      </c>
      <c r="H79" s="16">
        <f t="shared" si="15"/>
        <v>262800</v>
      </c>
      <c r="I79" s="16">
        <f t="shared" si="15"/>
        <v>262800</v>
      </c>
      <c r="J79" s="16">
        <f t="shared" si="15"/>
        <v>262800</v>
      </c>
      <c r="K79" s="16">
        <f t="shared" si="15"/>
        <v>262800</v>
      </c>
      <c r="L79" s="16">
        <f t="shared" si="15"/>
        <v>262800</v>
      </c>
    </row>
    <row r="80" spans="1:12" x14ac:dyDescent="0.25">
      <c r="A80">
        <v>5</v>
      </c>
      <c r="B80" s="16">
        <f t="shared" si="15"/>
        <v>4730400</v>
      </c>
      <c r="C80" s="16">
        <f t="shared" si="15"/>
        <v>4730400</v>
      </c>
      <c r="D80" s="16">
        <f t="shared" si="15"/>
        <v>4730400</v>
      </c>
      <c r="E80" s="16">
        <f t="shared" si="15"/>
        <v>788400</v>
      </c>
      <c r="F80" s="16">
        <f t="shared" si="15"/>
        <v>788400</v>
      </c>
      <c r="G80" s="16">
        <f t="shared" si="15"/>
        <v>788400</v>
      </c>
      <c r="H80" s="16">
        <f t="shared" si="15"/>
        <v>788400</v>
      </c>
      <c r="I80" s="16">
        <f t="shared" si="15"/>
        <v>788400</v>
      </c>
      <c r="J80" s="16">
        <f t="shared" si="15"/>
        <v>788400</v>
      </c>
      <c r="K80" s="16">
        <f t="shared" si="15"/>
        <v>788400</v>
      </c>
      <c r="L80" s="16">
        <f t="shared" si="15"/>
        <v>788400</v>
      </c>
    </row>
    <row r="81" spans="1:12" x14ac:dyDescent="0.25">
      <c r="A81">
        <v>6</v>
      </c>
      <c r="B81" s="16">
        <f t="shared" si="15"/>
        <v>2568800</v>
      </c>
      <c r="C81" s="16">
        <f t="shared" si="15"/>
        <v>2102400</v>
      </c>
      <c r="D81" s="16">
        <f t="shared" si="15"/>
        <v>2102400</v>
      </c>
      <c r="E81" s="16">
        <f t="shared" si="15"/>
        <v>2102400</v>
      </c>
      <c r="F81" s="16">
        <f t="shared" si="15"/>
        <v>2102400</v>
      </c>
      <c r="G81" s="16">
        <f t="shared" si="15"/>
        <v>1576800</v>
      </c>
      <c r="H81" s="16">
        <f t="shared" si="15"/>
        <v>1576800</v>
      </c>
      <c r="I81" s="16">
        <f t="shared" si="15"/>
        <v>1576800</v>
      </c>
      <c r="J81" s="16">
        <f t="shared" si="15"/>
        <v>1576800</v>
      </c>
      <c r="K81" s="16">
        <f t="shared" si="15"/>
        <v>1576800</v>
      </c>
      <c r="L81" s="16">
        <f t="shared" si="15"/>
        <v>1576800</v>
      </c>
    </row>
    <row r="82" spans="1:12" x14ac:dyDescent="0.25">
      <c r="A82">
        <v>7</v>
      </c>
      <c r="B82" s="16">
        <f t="shared" si="15"/>
        <v>0</v>
      </c>
      <c r="C82" s="16">
        <f t="shared" si="15"/>
        <v>150472</v>
      </c>
      <c r="D82" s="16">
        <f t="shared" si="15"/>
        <v>58899</v>
      </c>
      <c r="E82" s="16">
        <f t="shared" si="15"/>
        <v>3504000</v>
      </c>
      <c r="F82" s="16">
        <f t="shared" si="15"/>
        <v>3255699</v>
      </c>
      <c r="G82" s="16">
        <f t="shared" si="15"/>
        <v>3504000</v>
      </c>
      <c r="H82" s="16">
        <f t="shared" si="15"/>
        <v>3504000</v>
      </c>
      <c r="I82" s="16">
        <f t="shared" si="15"/>
        <v>3215920</v>
      </c>
      <c r="J82" s="16">
        <f t="shared" si="15"/>
        <v>3359003</v>
      </c>
      <c r="K82" s="16">
        <f t="shared" si="15"/>
        <v>2940157</v>
      </c>
      <c r="L82" s="16">
        <f t="shared" si="15"/>
        <v>2892679</v>
      </c>
    </row>
    <row r="84" spans="1:12" x14ac:dyDescent="0.25">
      <c r="A84" s="9" t="s">
        <v>160</v>
      </c>
      <c r="B84" s="9">
        <v>0</v>
      </c>
      <c r="C84" s="9">
        <v>1</v>
      </c>
      <c r="D84" s="9">
        <v>2</v>
      </c>
      <c r="E84" s="9">
        <v>3</v>
      </c>
      <c r="F84" s="9">
        <v>4</v>
      </c>
      <c r="G84" s="9">
        <v>5</v>
      </c>
      <c r="H84" s="9">
        <v>6</v>
      </c>
      <c r="I84" s="9">
        <v>7</v>
      </c>
      <c r="J84" s="9">
        <v>8</v>
      </c>
      <c r="K84" s="9">
        <v>9</v>
      </c>
      <c r="L84" s="9">
        <v>10</v>
      </c>
    </row>
    <row r="85" spans="1:12" x14ac:dyDescent="0.25">
      <c r="A85" t="s">
        <v>7</v>
      </c>
      <c r="B85">
        <f t="shared" ref="B85:B91" si="16">INDEX(B$76:B$82,MATCH($A85,B$53:B$59,0),1)</f>
        <v>2568800</v>
      </c>
      <c r="C85">
        <f t="shared" ref="C85:L85" si="17">INDEX(C$76:C$82,MATCH($A85,C$53:C$59,0),1)</f>
        <v>2102400</v>
      </c>
      <c r="D85">
        <f t="shared" si="17"/>
        <v>2102400</v>
      </c>
      <c r="E85">
        <f t="shared" si="17"/>
        <v>2102400</v>
      </c>
      <c r="F85">
        <f t="shared" si="17"/>
        <v>2102400</v>
      </c>
      <c r="G85">
        <f t="shared" si="17"/>
        <v>1576800</v>
      </c>
      <c r="H85">
        <f t="shared" si="17"/>
        <v>1576800</v>
      </c>
      <c r="I85">
        <f t="shared" si="17"/>
        <v>1576800</v>
      </c>
      <c r="J85">
        <f t="shared" si="17"/>
        <v>1576800</v>
      </c>
      <c r="K85">
        <f t="shared" si="17"/>
        <v>1576800</v>
      </c>
      <c r="L85">
        <f t="shared" si="17"/>
        <v>1576800</v>
      </c>
    </row>
    <row r="86" spans="1:12" x14ac:dyDescent="0.25">
      <c r="A86" t="s">
        <v>8</v>
      </c>
      <c r="B86">
        <f t="shared" si="16"/>
        <v>0</v>
      </c>
      <c r="C86">
        <f t="shared" ref="C86:L91" si="18">INDEX(C$76:C$82,MATCH($A86,C$53:C$59,0),1)</f>
        <v>150472</v>
      </c>
      <c r="D86">
        <f t="shared" si="18"/>
        <v>58899</v>
      </c>
      <c r="E86">
        <f t="shared" si="18"/>
        <v>3504000</v>
      </c>
      <c r="F86">
        <f t="shared" si="18"/>
        <v>3255699</v>
      </c>
      <c r="G86">
        <f t="shared" si="18"/>
        <v>3504000</v>
      </c>
      <c r="H86">
        <f t="shared" si="18"/>
        <v>3504000</v>
      </c>
      <c r="I86">
        <f t="shared" si="18"/>
        <v>3215920</v>
      </c>
      <c r="J86">
        <f t="shared" si="18"/>
        <v>3359003</v>
      </c>
      <c r="K86">
        <f t="shared" si="18"/>
        <v>2940157</v>
      </c>
      <c r="L86">
        <f t="shared" si="18"/>
        <v>2892679</v>
      </c>
    </row>
    <row r="87" spans="1:12" x14ac:dyDescent="0.25">
      <c r="A87" t="s">
        <v>13</v>
      </c>
      <c r="B87">
        <f t="shared" si="16"/>
        <v>4730400</v>
      </c>
      <c r="C87">
        <f t="shared" si="18"/>
        <v>4730400</v>
      </c>
      <c r="D87">
        <f t="shared" si="18"/>
        <v>4730400</v>
      </c>
      <c r="E87">
        <f t="shared" si="18"/>
        <v>788400</v>
      </c>
      <c r="F87">
        <f t="shared" si="18"/>
        <v>788400</v>
      </c>
      <c r="G87">
        <f t="shared" si="18"/>
        <v>788400</v>
      </c>
      <c r="H87">
        <f t="shared" si="18"/>
        <v>788400</v>
      </c>
      <c r="I87">
        <f t="shared" si="18"/>
        <v>788400</v>
      </c>
      <c r="J87">
        <f t="shared" si="18"/>
        <v>788400</v>
      </c>
      <c r="K87">
        <f t="shared" si="18"/>
        <v>788400</v>
      </c>
      <c r="L87">
        <f t="shared" si="18"/>
        <v>788400</v>
      </c>
    </row>
    <row r="88" spans="1:12" x14ac:dyDescent="0.25">
      <c r="A88" t="s">
        <v>9</v>
      </c>
      <c r="B88">
        <f t="shared" si="16"/>
        <v>109500</v>
      </c>
      <c r="C88">
        <f t="shared" si="18"/>
        <v>109500</v>
      </c>
      <c r="D88">
        <f t="shared" si="18"/>
        <v>109500</v>
      </c>
      <c r="E88">
        <f t="shared" si="18"/>
        <v>109500</v>
      </c>
      <c r="F88">
        <f t="shared" si="18"/>
        <v>109500</v>
      </c>
      <c r="G88">
        <f t="shared" si="18"/>
        <v>109500</v>
      </c>
      <c r="H88">
        <f t="shared" si="18"/>
        <v>109500</v>
      </c>
      <c r="I88">
        <f t="shared" si="18"/>
        <v>109500</v>
      </c>
      <c r="J88">
        <f t="shared" si="18"/>
        <v>109500</v>
      </c>
      <c r="K88">
        <f t="shared" si="18"/>
        <v>109500</v>
      </c>
      <c r="L88">
        <f t="shared" si="18"/>
        <v>109500</v>
      </c>
    </row>
    <row r="89" spans="1:12" x14ac:dyDescent="0.25">
      <c r="A89" t="s">
        <v>10</v>
      </c>
      <c r="B89">
        <f t="shared" si="16"/>
        <v>131400</v>
      </c>
      <c r="C89">
        <f t="shared" si="18"/>
        <v>131400</v>
      </c>
      <c r="D89">
        <f t="shared" si="18"/>
        <v>131400</v>
      </c>
      <c r="E89">
        <f t="shared" si="18"/>
        <v>131400</v>
      </c>
      <c r="F89">
        <f t="shared" si="18"/>
        <v>131400</v>
      </c>
      <c r="G89">
        <f t="shared" si="18"/>
        <v>131400</v>
      </c>
      <c r="H89">
        <f t="shared" si="18"/>
        <v>131400</v>
      </c>
      <c r="I89">
        <f t="shared" si="18"/>
        <v>131400</v>
      </c>
      <c r="J89">
        <f t="shared" si="18"/>
        <v>131400</v>
      </c>
      <c r="K89">
        <f t="shared" si="18"/>
        <v>131400</v>
      </c>
      <c r="L89">
        <f t="shared" si="18"/>
        <v>131400</v>
      </c>
    </row>
    <row r="90" spans="1:12" x14ac:dyDescent="0.25">
      <c r="A90" t="s">
        <v>11</v>
      </c>
      <c r="B90">
        <f t="shared" si="16"/>
        <v>262800</v>
      </c>
      <c r="C90">
        <f t="shared" si="18"/>
        <v>262800</v>
      </c>
      <c r="D90">
        <f t="shared" si="18"/>
        <v>262800</v>
      </c>
      <c r="E90">
        <f t="shared" si="18"/>
        <v>262800</v>
      </c>
      <c r="F90">
        <f t="shared" si="18"/>
        <v>262800</v>
      </c>
      <c r="G90">
        <f t="shared" si="18"/>
        <v>262800</v>
      </c>
      <c r="H90">
        <f t="shared" si="18"/>
        <v>262800</v>
      </c>
      <c r="I90">
        <f t="shared" si="18"/>
        <v>262800</v>
      </c>
      <c r="J90">
        <f t="shared" si="18"/>
        <v>262800</v>
      </c>
      <c r="K90">
        <f t="shared" si="18"/>
        <v>262800</v>
      </c>
      <c r="L90">
        <f t="shared" si="18"/>
        <v>262800</v>
      </c>
    </row>
    <row r="91" spans="1:12" x14ac:dyDescent="0.25">
      <c r="A91" t="s">
        <v>309</v>
      </c>
      <c r="B91">
        <f t="shared" si="16"/>
        <v>87600</v>
      </c>
      <c r="C91">
        <f t="shared" si="18"/>
        <v>87600</v>
      </c>
      <c r="D91">
        <f t="shared" si="18"/>
        <v>87600</v>
      </c>
      <c r="E91">
        <f t="shared" si="18"/>
        <v>87600</v>
      </c>
      <c r="F91">
        <f t="shared" si="18"/>
        <v>87600</v>
      </c>
      <c r="G91">
        <f t="shared" si="18"/>
        <v>87600</v>
      </c>
      <c r="H91">
        <f t="shared" si="18"/>
        <v>87600</v>
      </c>
      <c r="I91">
        <f t="shared" si="18"/>
        <v>87600</v>
      </c>
      <c r="J91">
        <f t="shared" si="18"/>
        <v>87600</v>
      </c>
      <c r="K91">
        <f t="shared" si="18"/>
        <v>87600</v>
      </c>
      <c r="L91">
        <f t="shared" si="18"/>
        <v>87590</v>
      </c>
    </row>
    <row r="95" spans="1:12" x14ac:dyDescent="0.25">
      <c r="A95" s="9" t="s">
        <v>161</v>
      </c>
      <c r="B95" s="9">
        <v>0</v>
      </c>
      <c r="C95" s="9">
        <v>1</v>
      </c>
      <c r="D95" s="9">
        <v>2</v>
      </c>
      <c r="E95" s="9">
        <v>3</v>
      </c>
      <c r="F95" s="9">
        <v>4</v>
      </c>
      <c r="G95" s="9">
        <v>5</v>
      </c>
      <c r="H95" s="9">
        <v>6</v>
      </c>
      <c r="I95" s="9">
        <v>7</v>
      </c>
      <c r="J95" s="9">
        <v>8</v>
      </c>
      <c r="K95" s="9">
        <v>9</v>
      </c>
      <c r="L95" s="9">
        <v>10</v>
      </c>
    </row>
    <row r="96" spans="1:12" x14ac:dyDescent="0.25">
      <c r="A96" t="s">
        <v>7</v>
      </c>
      <c r="B96" s="33">
        <f>B85*'Game Assumptions'!$B52</f>
        <v>26651300</v>
      </c>
      <c r="C96" s="33">
        <f>C85*'Game Assumptions'!$B52</f>
        <v>21812400</v>
      </c>
      <c r="D96" s="33">
        <f>D85*'Game Assumptions'!$B52</f>
        <v>21812400</v>
      </c>
      <c r="E96" s="33">
        <f>E85*'Game Assumptions'!$B52</f>
        <v>21812400</v>
      </c>
      <c r="F96" s="33">
        <f>F85*'Game Assumptions'!$B52</f>
        <v>21812400</v>
      </c>
      <c r="G96" s="33">
        <f>G85*'Game Assumptions'!$B52</f>
        <v>16359300</v>
      </c>
      <c r="H96" s="33">
        <f>H85*'Game Assumptions'!$B52</f>
        <v>16359300</v>
      </c>
      <c r="I96" s="33">
        <f>I85*'Game Assumptions'!$B52</f>
        <v>16359300</v>
      </c>
      <c r="J96" s="33">
        <f>J85*'Game Assumptions'!$B52</f>
        <v>16359300</v>
      </c>
      <c r="K96" s="33">
        <f>K85*'Game Assumptions'!$B52</f>
        <v>16359300</v>
      </c>
      <c r="L96" s="33">
        <f>L85*'Game Assumptions'!$B52</f>
        <v>16359300</v>
      </c>
    </row>
    <row r="97" spans="1:12" x14ac:dyDescent="0.25">
      <c r="A97" t="s">
        <v>8</v>
      </c>
      <c r="B97" s="33">
        <f>B86*'Game Assumptions'!$B53</f>
        <v>0</v>
      </c>
      <c r="C97" s="33">
        <f>C86*'Game Assumptions'!$B53</f>
        <v>1023209.6</v>
      </c>
      <c r="D97" s="33">
        <f>D86*'Game Assumptions'!$B53</f>
        <v>400513.2</v>
      </c>
      <c r="E97" s="33">
        <f>E86*'Game Assumptions'!$B53</f>
        <v>23827200</v>
      </c>
      <c r="F97" s="33">
        <f>F86*'Game Assumptions'!$B53</f>
        <v>22138753.199999999</v>
      </c>
      <c r="G97" s="33">
        <f>G86*'Game Assumptions'!$B53</f>
        <v>23827200</v>
      </c>
      <c r="H97" s="33">
        <f>H86*'Game Assumptions'!$B53</f>
        <v>23827200</v>
      </c>
      <c r="I97" s="33">
        <f>I86*'Game Assumptions'!$B53</f>
        <v>21868256</v>
      </c>
      <c r="J97" s="33">
        <f>J86*'Game Assumptions'!$B53</f>
        <v>22841220.399999999</v>
      </c>
      <c r="K97" s="33">
        <f>K86*'Game Assumptions'!$B53</f>
        <v>19993067.599999998</v>
      </c>
      <c r="L97" s="33">
        <f>L86*'Game Assumptions'!$B53</f>
        <v>19670217.199999999</v>
      </c>
    </row>
    <row r="98" spans="1:12" x14ac:dyDescent="0.25">
      <c r="A98" t="s">
        <v>13</v>
      </c>
      <c r="B98" s="33">
        <f>B87*'Game Assumptions'!$B54</f>
        <v>49432680</v>
      </c>
      <c r="C98" s="33">
        <f>C87*'Game Assumptions'!$B54</f>
        <v>49432680</v>
      </c>
      <c r="D98" s="33">
        <f>D87*'Game Assumptions'!$B54</f>
        <v>49432680</v>
      </c>
      <c r="E98" s="33">
        <f>E87*'Game Assumptions'!$B54</f>
        <v>8238779.9999999991</v>
      </c>
      <c r="F98" s="33">
        <f>F87*'Game Assumptions'!$B54</f>
        <v>8238779.9999999991</v>
      </c>
      <c r="G98" s="33">
        <f>G87*'Game Assumptions'!$B54</f>
        <v>8238779.9999999991</v>
      </c>
      <c r="H98" s="33">
        <f>H87*'Game Assumptions'!$B54</f>
        <v>8238779.9999999991</v>
      </c>
      <c r="I98" s="33">
        <f>I87*'Game Assumptions'!$B54</f>
        <v>8238779.9999999991</v>
      </c>
      <c r="J98" s="33">
        <f>J87*'Game Assumptions'!$B54</f>
        <v>8238779.9999999991</v>
      </c>
      <c r="K98" s="33">
        <f>K87*'Game Assumptions'!$B54</f>
        <v>8238779.9999999991</v>
      </c>
      <c r="L98" s="33">
        <f>L87*'Game Assumptions'!$B54</f>
        <v>8238779.9999999991</v>
      </c>
    </row>
    <row r="99" spans="1:12" x14ac:dyDescent="0.25">
      <c r="A99" t="s">
        <v>9</v>
      </c>
      <c r="B99" s="33">
        <f>B88*'Game Assumptions'!$B55</f>
        <v>0</v>
      </c>
      <c r="C99" s="33">
        <f>C88*'Game Assumptions'!$B55</f>
        <v>0</v>
      </c>
      <c r="D99" s="33">
        <f>D88*'Game Assumptions'!$B55</f>
        <v>0</v>
      </c>
      <c r="E99" s="33">
        <f>E88*'Game Assumptions'!$B55</f>
        <v>0</v>
      </c>
      <c r="F99" s="33">
        <f>F88*'Game Assumptions'!$B55</f>
        <v>0</v>
      </c>
      <c r="G99" s="33">
        <f>G88*'Game Assumptions'!$B55</f>
        <v>0</v>
      </c>
      <c r="H99" s="33">
        <f>H88*'Game Assumptions'!$B55</f>
        <v>0</v>
      </c>
      <c r="I99" s="33">
        <f>I88*'Game Assumptions'!$B55</f>
        <v>0</v>
      </c>
      <c r="J99" s="33">
        <f>J88*'Game Assumptions'!$B55</f>
        <v>0</v>
      </c>
      <c r="K99" s="33">
        <f>K88*'Game Assumptions'!$B55</f>
        <v>0</v>
      </c>
      <c r="L99" s="33">
        <f>L88*'Game Assumptions'!$B55</f>
        <v>0</v>
      </c>
    </row>
    <row r="100" spans="1:12" x14ac:dyDescent="0.25">
      <c r="A100" t="s">
        <v>10</v>
      </c>
      <c r="B100" s="33">
        <f>B89*'Game Assumptions'!$B56</f>
        <v>0</v>
      </c>
      <c r="C100" s="33">
        <f>C89*'Game Assumptions'!$B56</f>
        <v>0</v>
      </c>
      <c r="D100" s="33">
        <f>D89*'Game Assumptions'!$B56</f>
        <v>0</v>
      </c>
      <c r="E100" s="33">
        <f>E89*'Game Assumptions'!$B56</f>
        <v>0</v>
      </c>
      <c r="F100" s="33">
        <f>F89*'Game Assumptions'!$B56</f>
        <v>0</v>
      </c>
      <c r="G100" s="33">
        <f>G89*'Game Assumptions'!$B56</f>
        <v>0</v>
      </c>
      <c r="H100" s="33">
        <f>H89*'Game Assumptions'!$B56</f>
        <v>0</v>
      </c>
      <c r="I100" s="33">
        <f>I89*'Game Assumptions'!$B56</f>
        <v>0</v>
      </c>
      <c r="J100" s="33">
        <f>J89*'Game Assumptions'!$B56</f>
        <v>0</v>
      </c>
      <c r="K100" s="33">
        <f>K89*'Game Assumptions'!$B56</f>
        <v>0</v>
      </c>
      <c r="L100" s="33">
        <f>L89*'Game Assumptions'!$B56</f>
        <v>0</v>
      </c>
    </row>
    <row r="101" spans="1:12" x14ac:dyDescent="0.25">
      <c r="A101" t="s">
        <v>11</v>
      </c>
      <c r="B101" s="33">
        <f>B90*'Game Assumptions'!$B57</f>
        <v>0</v>
      </c>
      <c r="C101" s="33">
        <f>C90*'Game Assumptions'!$B57</f>
        <v>0</v>
      </c>
      <c r="D101" s="33">
        <f>D90*'Game Assumptions'!$B57</f>
        <v>0</v>
      </c>
      <c r="E101" s="33">
        <f>E90*'Game Assumptions'!$B57</f>
        <v>0</v>
      </c>
      <c r="F101" s="33">
        <f>F90*'Game Assumptions'!$B57</f>
        <v>0</v>
      </c>
      <c r="G101" s="33">
        <f>G90*'Game Assumptions'!$B57</f>
        <v>0</v>
      </c>
      <c r="H101" s="33">
        <f>H90*'Game Assumptions'!$B57</f>
        <v>0</v>
      </c>
      <c r="I101" s="33">
        <f>I90*'Game Assumptions'!$B57</f>
        <v>0</v>
      </c>
      <c r="J101" s="33">
        <f>J90*'Game Assumptions'!$B57</f>
        <v>0</v>
      </c>
      <c r="K101" s="33">
        <f>K90*'Game Assumptions'!$B57</f>
        <v>0</v>
      </c>
      <c r="L101" s="33">
        <f>L90*'Game Assumptions'!$B57</f>
        <v>0</v>
      </c>
    </row>
    <row r="102" spans="1:12" x14ac:dyDescent="0.25">
      <c r="A102" t="s">
        <v>309</v>
      </c>
      <c r="B102" s="33">
        <f>B91*'Game Assumptions'!$B58</f>
        <v>0</v>
      </c>
      <c r="C102" s="33">
        <f>C91*'Game Assumptions'!$B58</f>
        <v>0</v>
      </c>
      <c r="D102" s="33">
        <f>D91*'Game Assumptions'!$B58</f>
        <v>0</v>
      </c>
      <c r="E102" s="33">
        <f>E91*'Game Assumptions'!$B58</f>
        <v>0</v>
      </c>
      <c r="F102" s="33">
        <f>F91*'Game Assumptions'!$B58</f>
        <v>0</v>
      </c>
      <c r="G102" s="33">
        <f>G91*'Game Assumptions'!$B58</f>
        <v>0</v>
      </c>
      <c r="H102" s="33">
        <f>H91*'Game Assumptions'!$B58</f>
        <v>0</v>
      </c>
      <c r="I102" s="33">
        <f>I91*'Game Assumptions'!$B58</f>
        <v>0</v>
      </c>
      <c r="J102" s="33">
        <f>J91*'Game Assumptions'!$B58</f>
        <v>0</v>
      </c>
      <c r="K102" s="33">
        <f>K91*'Game Assumptions'!$B58</f>
        <v>0</v>
      </c>
      <c r="L102" s="33">
        <f>L91*'Game Assumptions'!$B58</f>
        <v>0</v>
      </c>
    </row>
    <row r="104" spans="1:12" ht="18.75" x14ac:dyDescent="0.3">
      <c r="A104" s="20" t="s">
        <v>163</v>
      </c>
      <c r="B104" s="20"/>
      <c r="C104" s="20"/>
      <c r="D104" s="20"/>
      <c r="E104" s="20"/>
      <c r="F104" s="20"/>
      <c r="G104" s="20"/>
      <c r="H104" s="20"/>
      <c r="I104" s="20"/>
      <c r="J104" s="20"/>
      <c r="K104" s="20"/>
      <c r="L104" s="20"/>
    </row>
    <row r="105" spans="1:12" x14ac:dyDescent="0.25">
      <c r="A105" s="9" t="s">
        <v>120</v>
      </c>
      <c r="B105" s="9">
        <v>0</v>
      </c>
      <c r="C105" s="9">
        <v>1</v>
      </c>
      <c r="D105" s="9">
        <v>2</v>
      </c>
      <c r="E105" s="9">
        <v>3</v>
      </c>
      <c r="F105" s="9">
        <v>4</v>
      </c>
      <c r="G105" s="9">
        <v>5</v>
      </c>
      <c r="H105" s="9">
        <v>6</v>
      </c>
      <c r="I105" s="9">
        <v>7</v>
      </c>
      <c r="J105" s="9">
        <v>8</v>
      </c>
      <c r="K105" s="9">
        <v>9</v>
      </c>
      <c r="L105" s="9">
        <v>10</v>
      </c>
    </row>
    <row r="106" spans="1:12" x14ac:dyDescent="0.25">
      <c r="A106" t="s">
        <v>158</v>
      </c>
      <c r="B106" s="89">
        <f>'Resource Mix and Demand'!B61</f>
        <v>7890500</v>
      </c>
      <c r="C106" s="89">
        <f>'Resource Mix and Demand'!C61</f>
        <v>7574572</v>
      </c>
      <c r="D106" s="89">
        <f>'Resource Mix and Demand'!D61</f>
        <v>7482999</v>
      </c>
      <c r="E106" s="89">
        <f>'Resource Mix and Demand'!E61</f>
        <v>7142235</v>
      </c>
      <c r="F106" s="89">
        <f>'Resource Mix and Demand'!F61</f>
        <v>6737799</v>
      </c>
      <c r="G106" s="89">
        <f>'Resource Mix and Demand'!G61</f>
        <v>6866399</v>
      </c>
      <c r="H106" s="89">
        <f>'Resource Mix and Demand'!H61</f>
        <v>6620978</v>
      </c>
      <c r="I106" s="89">
        <f>'Resource Mix and Demand'!I61</f>
        <v>6172420</v>
      </c>
      <c r="J106" s="89">
        <f>'Resource Mix and Demand'!J61</f>
        <v>6315503</v>
      </c>
      <c r="K106" s="89">
        <f>'Resource Mix and Demand'!K61</f>
        <v>5896657</v>
      </c>
      <c r="L106" s="89">
        <f>'Resource Mix and Demand'!L61</f>
        <v>5849179</v>
      </c>
    </row>
    <row r="108" spans="1:12" x14ac:dyDescent="0.25">
      <c r="A108" s="9" t="s">
        <v>157</v>
      </c>
      <c r="B108" s="9">
        <v>0</v>
      </c>
      <c r="C108" s="9">
        <v>1</v>
      </c>
      <c r="D108" s="9">
        <v>2</v>
      </c>
      <c r="E108" s="9">
        <v>3</v>
      </c>
      <c r="F108" s="9">
        <v>4</v>
      </c>
      <c r="G108" s="9">
        <v>5</v>
      </c>
      <c r="H108" s="9">
        <v>6</v>
      </c>
      <c r="I108" s="9">
        <v>7</v>
      </c>
      <c r="J108" s="9">
        <v>8</v>
      </c>
      <c r="K108" s="9">
        <v>9</v>
      </c>
      <c r="L108" s="9">
        <v>10</v>
      </c>
    </row>
    <row r="109" spans="1:12" x14ac:dyDescent="0.25">
      <c r="A109">
        <v>1</v>
      </c>
      <c r="B109" s="16">
        <f>MAX(IF(B62&lt;B$106,B62-IF(B61&lt;=10,0,B61),B$106-B61),0)</f>
        <v>87600</v>
      </c>
      <c r="C109" s="16">
        <f t="shared" ref="C109:L109" si="19">MAX(IF(C62&lt;C$106,C62-IF(C61&lt;=10,0,C61),C$106-C61),0)</f>
        <v>87600</v>
      </c>
      <c r="D109" s="16">
        <f t="shared" si="19"/>
        <v>87600</v>
      </c>
      <c r="E109" s="16">
        <f t="shared" si="19"/>
        <v>87600</v>
      </c>
      <c r="F109" s="16">
        <f t="shared" si="19"/>
        <v>87600</v>
      </c>
      <c r="G109" s="16">
        <f t="shared" si="19"/>
        <v>87600</v>
      </c>
      <c r="H109" s="16">
        <f t="shared" si="19"/>
        <v>87600</v>
      </c>
      <c r="I109" s="16">
        <f t="shared" si="19"/>
        <v>87600</v>
      </c>
      <c r="J109" s="16">
        <f t="shared" si="19"/>
        <v>87600</v>
      </c>
      <c r="K109" s="16">
        <f t="shared" si="19"/>
        <v>87600</v>
      </c>
      <c r="L109" s="16">
        <f t="shared" si="19"/>
        <v>87600</v>
      </c>
    </row>
    <row r="110" spans="1:12" x14ac:dyDescent="0.25">
      <c r="A110">
        <v>2</v>
      </c>
      <c r="B110" s="16">
        <f t="shared" ref="B110:L115" si="20">MAX(IF(B63&lt;B$106,B63-IF(B62&lt;=10,0,B62),B$106-B62),0)</f>
        <v>109500</v>
      </c>
      <c r="C110" s="16">
        <f t="shared" si="20"/>
        <v>109500</v>
      </c>
      <c r="D110" s="16">
        <f t="shared" si="20"/>
        <v>109500</v>
      </c>
      <c r="E110" s="16">
        <f t="shared" si="20"/>
        <v>109500</v>
      </c>
      <c r="F110" s="16">
        <f t="shared" si="20"/>
        <v>109500</v>
      </c>
      <c r="G110" s="16">
        <f t="shared" si="20"/>
        <v>109500</v>
      </c>
      <c r="H110" s="16">
        <f t="shared" si="20"/>
        <v>109500</v>
      </c>
      <c r="I110" s="16">
        <f t="shared" si="20"/>
        <v>109500</v>
      </c>
      <c r="J110" s="16">
        <f t="shared" si="20"/>
        <v>109500</v>
      </c>
      <c r="K110" s="16">
        <f t="shared" si="20"/>
        <v>109500</v>
      </c>
      <c r="L110" s="16">
        <f t="shared" si="20"/>
        <v>109500</v>
      </c>
    </row>
    <row r="111" spans="1:12" x14ac:dyDescent="0.25">
      <c r="A111">
        <v>3</v>
      </c>
      <c r="B111" s="16">
        <f t="shared" si="20"/>
        <v>131400</v>
      </c>
      <c r="C111" s="16">
        <f t="shared" si="20"/>
        <v>131400</v>
      </c>
      <c r="D111" s="16">
        <f t="shared" si="20"/>
        <v>131400</v>
      </c>
      <c r="E111" s="16">
        <f t="shared" si="20"/>
        <v>131400</v>
      </c>
      <c r="F111" s="16">
        <f t="shared" si="20"/>
        <v>131400</v>
      </c>
      <c r="G111" s="16">
        <f t="shared" si="20"/>
        <v>131400</v>
      </c>
      <c r="H111" s="16">
        <f t="shared" si="20"/>
        <v>131400</v>
      </c>
      <c r="I111" s="16">
        <f t="shared" si="20"/>
        <v>131400</v>
      </c>
      <c r="J111" s="16">
        <f t="shared" si="20"/>
        <v>131400</v>
      </c>
      <c r="K111" s="16">
        <f t="shared" si="20"/>
        <v>131400</v>
      </c>
      <c r="L111" s="16">
        <f t="shared" si="20"/>
        <v>131400</v>
      </c>
    </row>
    <row r="112" spans="1:12" x14ac:dyDescent="0.25">
      <c r="A112">
        <v>4</v>
      </c>
      <c r="B112" s="16">
        <f t="shared" si="20"/>
        <v>262800</v>
      </c>
      <c r="C112" s="16">
        <f t="shared" si="20"/>
        <v>262800</v>
      </c>
      <c r="D112" s="16">
        <f t="shared" si="20"/>
        <v>262800</v>
      </c>
      <c r="E112" s="16">
        <f t="shared" si="20"/>
        <v>262800</v>
      </c>
      <c r="F112" s="16">
        <f t="shared" si="20"/>
        <v>262800</v>
      </c>
      <c r="G112" s="16">
        <f t="shared" si="20"/>
        <v>262800</v>
      </c>
      <c r="H112" s="16">
        <f t="shared" si="20"/>
        <v>262800</v>
      </c>
      <c r="I112" s="16">
        <f t="shared" si="20"/>
        <v>262800</v>
      </c>
      <c r="J112" s="16">
        <f t="shared" si="20"/>
        <v>262800</v>
      </c>
      <c r="K112" s="16">
        <f t="shared" si="20"/>
        <v>262800</v>
      </c>
      <c r="L112" s="16">
        <f t="shared" si="20"/>
        <v>262800</v>
      </c>
    </row>
    <row r="113" spans="1:12" x14ac:dyDescent="0.25">
      <c r="A113">
        <v>5</v>
      </c>
      <c r="B113" s="16">
        <f t="shared" si="20"/>
        <v>4730400</v>
      </c>
      <c r="C113" s="16">
        <f t="shared" si="20"/>
        <v>4730400</v>
      </c>
      <c r="D113" s="16">
        <f t="shared" si="20"/>
        <v>4730400</v>
      </c>
      <c r="E113" s="16">
        <f t="shared" si="20"/>
        <v>788400</v>
      </c>
      <c r="F113" s="16">
        <f t="shared" si="20"/>
        <v>788400</v>
      </c>
      <c r="G113" s="16">
        <f t="shared" si="20"/>
        <v>788400</v>
      </c>
      <c r="H113" s="16">
        <f t="shared" si="20"/>
        <v>788400</v>
      </c>
      <c r="I113" s="16">
        <f t="shared" si="20"/>
        <v>788400</v>
      </c>
      <c r="J113" s="16">
        <f t="shared" si="20"/>
        <v>788400</v>
      </c>
      <c r="K113" s="16">
        <f t="shared" si="20"/>
        <v>788400</v>
      </c>
      <c r="L113" s="16">
        <f t="shared" si="20"/>
        <v>788400</v>
      </c>
    </row>
    <row r="114" spans="1:12" x14ac:dyDescent="0.25">
      <c r="A114">
        <v>6</v>
      </c>
      <c r="B114" s="16">
        <f t="shared" si="20"/>
        <v>2568800</v>
      </c>
      <c r="C114" s="16">
        <f t="shared" si="20"/>
        <v>2102400</v>
      </c>
      <c r="D114" s="16">
        <f t="shared" si="20"/>
        <v>2102400</v>
      </c>
      <c r="E114" s="16">
        <f t="shared" si="20"/>
        <v>2102400</v>
      </c>
      <c r="F114" s="16">
        <f t="shared" si="20"/>
        <v>2102400</v>
      </c>
      <c r="G114" s="16">
        <f t="shared" si="20"/>
        <v>1576800</v>
      </c>
      <c r="H114" s="16">
        <f t="shared" si="20"/>
        <v>1576800</v>
      </c>
      <c r="I114" s="16">
        <f t="shared" si="20"/>
        <v>1576800</v>
      </c>
      <c r="J114" s="16">
        <f t="shared" si="20"/>
        <v>1576800</v>
      </c>
      <c r="K114" s="16">
        <f t="shared" si="20"/>
        <v>1576800</v>
      </c>
      <c r="L114" s="16">
        <f t="shared" si="20"/>
        <v>1576800</v>
      </c>
    </row>
    <row r="115" spans="1:12" x14ac:dyDescent="0.25">
      <c r="A115">
        <v>7</v>
      </c>
      <c r="B115" s="16">
        <f t="shared" si="20"/>
        <v>0</v>
      </c>
      <c r="C115" s="16">
        <f t="shared" si="20"/>
        <v>150472</v>
      </c>
      <c r="D115" s="16">
        <f t="shared" si="20"/>
        <v>58899</v>
      </c>
      <c r="E115" s="16">
        <f t="shared" si="20"/>
        <v>3504000</v>
      </c>
      <c r="F115" s="16">
        <f t="shared" si="20"/>
        <v>3255699</v>
      </c>
      <c r="G115" s="16">
        <f t="shared" si="20"/>
        <v>3504000</v>
      </c>
      <c r="H115" s="16">
        <f t="shared" si="20"/>
        <v>3504000</v>
      </c>
      <c r="I115" s="16">
        <f t="shared" si="20"/>
        <v>3215920</v>
      </c>
      <c r="J115" s="16">
        <f t="shared" si="20"/>
        <v>3359003</v>
      </c>
      <c r="K115" s="16">
        <f t="shared" si="20"/>
        <v>2940157</v>
      </c>
      <c r="L115" s="16">
        <f t="shared" si="20"/>
        <v>2892679</v>
      </c>
    </row>
    <row r="117" spans="1:12" x14ac:dyDescent="0.25">
      <c r="A117" s="9" t="s">
        <v>164</v>
      </c>
      <c r="B117" s="9">
        <v>0</v>
      </c>
      <c r="C117" s="9">
        <v>1</v>
      </c>
      <c r="D117" s="9">
        <v>2</v>
      </c>
      <c r="E117" s="9">
        <v>3</v>
      </c>
      <c r="F117" s="9">
        <v>4</v>
      </c>
      <c r="G117" s="9">
        <v>5</v>
      </c>
      <c r="H117" s="9">
        <v>6</v>
      </c>
      <c r="I117" s="9">
        <v>7</v>
      </c>
      <c r="J117" s="9">
        <v>8</v>
      </c>
      <c r="K117" s="9">
        <v>9</v>
      </c>
      <c r="L117" s="9">
        <v>10</v>
      </c>
    </row>
    <row r="118" spans="1:12" x14ac:dyDescent="0.25">
      <c r="A118" t="s">
        <v>7</v>
      </c>
      <c r="B118" s="33">
        <f>INDEX(B$109:B$115,MATCH($A118,B$53:B$59,0),1)</f>
        <v>2568800</v>
      </c>
      <c r="C118" s="33">
        <f t="shared" ref="C118:L118" si="21">INDEX(C$109:C$115,MATCH($A118,C$53:C$59,0),1)</f>
        <v>2102400</v>
      </c>
      <c r="D118" s="33">
        <f t="shared" si="21"/>
        <v>2102400</v>
      </c>
      <c r="E118" s="33">
        <f t="shared" si="21"/>
        <v>2102400</v>
      </c>
      <c r="F118" s="33">
        <f t="shared" si="21"/>
        <v>2102400</v>
      </c>
      <c r="G118" s="33">
        <f t="shared" si="21"/>
        <v>1576800</v>
      </c>
      <c r="H118" s="33">
        <f t="shared" si="21"/>
        <v>1576800</v>
      </c>
      <c r="I118" s="33">
        <f t="shared" si="21"/>
        <v>1576800</v>
      </c>
      <c r="J118" s="33">
        <f t="shared" si="21"/>
        <v>1576800</v>
      </c>
      <c r="K118" s="33">
        <f t="shared" si="21"/>
        <v>1576800</v>
      </c>
      <c r="L118" s="33">
        <f t="shared" si="21"/>
        <v>1576800</v>
      </c>
    </row>
    <row r="119" spans="1:12" x14ac:dyDescent="0.25">
      <c r="A119" t="s">
        <v>8</v>
      </c>
      <c r="B119" s="33">
        <f t="shared" ref="B119:L124" si="22">INDEX(B$109:B$115,MATCH($A119,B$53:B$59,0),1)</f>
        <v>0</v>
      </c>
      <c r="C119" s="33">
        <f t="shared" si="22"/>
        <v>150472</v>
      </c>
      <c r="D119" s="33">
        <f t="shared" si="22"/>
        <v>58899</v>
      </c>
      <c r="E119" s="33">
        <f t="shared" si="22"/>
        <v>3504000</v>
      </c>
      <c r="F119" s="33">
        <f t="shared" si="22"/>
        <v>3255699</v>
      </c>
      <c r="G119" s="33">
        <f t="shared" si="22"/>
        <v>3504000</v>
      </c>
      <c r="H119" s="33">
        <f t="shared" si="22"/>
        <v>3504000</v>
      </c>
      <c r="I119" s="33">
        <f t="shared" si="22"/>
        <v>3215920</v>
      </c>
      <c r="J119" s="33">
        <f t="shared" si="22"/>
        <v>3359003</v>
      </c>
      <c r="K119" s="33">
        <f t="shared" si="22"/>
        <v>2940157</v>
      </c>
      <c r="L119" s="33">
        <f t="shared" si="22"/>
        <v>2892679</v>
      </c>
    </row>
    <row r="120" spans="1:12" x14ac:dyDescent="0.25">
      <c r="A120" t="s">
        <v>13</v>
      </c>
      <c r="B120" s="33">
        <f t="shared" si="22"/>
        <v>4730400</v>
      </c>
      <c r="C120" s="33">
        <f t="shared" si="22"/>
        <v>4730400</v>
      </c>
      <c r="D120" s="33">
        <f t="shared" si="22"/>
        <v>4730400</v>
      </c>
      <c r="E120" s="33">
        <f t="shared" si="22"/>
        <v>788400</v>
      </c>
      <c r="F120" s="33">
        <f t="shared" si="22"/>
        <v>788400</v>
      </c>
      <c r="G120" s="33">
        <f t="shared" si="22"/>
        <v>788400</v>
      </c>
      <c r="H120" s="33">
        <f t="shared" si="22"/>
        <v>788400</v>
      </c>
      <c r="I120" s="33">
        <f t="shared" si="22"/>
        <v>788400</v>
      </c>
      <c r="J120" s="33">
        <f t="shared" si="22"/>
        <v>788400</v>
      </c>
      <c r="K120" s="33">
        <f t="shared" si="22"/>
        <v>788400</v>
      </c>
      <c r="L120" s="33">
        <f t="shared" si="22"/>
        <v>788400</v>
      </c>
    </row>
    <row r="121" spans="1:12" x14ac:dyDescent="0.25">
      <c r="A121" t="s">
        <v>9</v>
      </c>
      <c r="B121" s="33">
        <f t="shared" si="22"/>
        <v>109500</v>
      </c>
      <c r="C121" s="33">
        <f t="shared" si="22"/>
        <v>109500</v>
      </c>
      <c r="D121" s="33">
        <f t="shared" si="22"/>
        <v>109500</v>
      </c>
      <c r="E121" s="33">
        <f t="shared" si="22"/>
        <v>109500</v>
      </c>
      <c r="F121" s="33">
        <f t="shared" si="22"/>
        <v>109500</v>
      </c>
      <c r="G121" s="33">
        <f t="shared" si="22"/>
        <v>109500</v>
      </c>
      <c r="H121" s="33">
        <f t="shared" si="22"/>
        <v>109500</v>
      </c>
      <c r="I121" s="33">
        <f t="shared" si="22"/>
        <v>109500</v>
      </c>
      <c r="J121" s="33">
        <f t="shared" si="22"/>
        <v>109500</v>
      </c>
      <c r="K121" s="33">
        <f t="shared" si="22"/>
        <v>109500</v>
      </c>
      <c r="L121" s="33">
        <f t="shared" si="22"/>
        <v>109500</v>
      </c>
    </row>
    <row r="122" spans="1:12" x14ac:dyDescent="0.25">
      <c r="A122" t="s">
        <v>10</v>
      </c>
      <c r="B122" s="33">
        <f t="shared" si="22"/>
        <v>131400</v>
      </c>
      <c r="C122" s="33">
        <f t="shared" si="22"/>
        <v>131400</v>
      </c>
      <c r="D122" s="33">
        <f t="shared" si="22"/>
        <v>131400</v>
      </c>
      <c r="E122" s="33">
        <f t="shared" si="22"/>
        <v>131400</v>
      </c>
      <c r="F122" s="33">
        <f t="shared" si="22"/>
        <v>131400</v>
      </c>
      <c r="G122" s="33">
        <f t="shared" si="22"/>
        <v>131400</v>
      </c>
      <c r="H122" s="33">
        <f t="shared" si="22"/>
        <v>131400</v>
      </c>
      <c r="I122" s="33">
        <f t="shared" si="22"/>
        <v>131400</v>
      </c>
      <c r="J122" s="33">
        <f t="shared" si="22"/>
        <v>131400</v>
      </c>
      <c r="K122" s="33">
        <f t="shared" si="22"/>
        <v>131400</v>
      </c>
      <c r="L122" s="33">
        <f t="shared" si="22"/>
        <v>131400</v>
      </c>
    </row>
    <row r="123" spans="1:12" x14ac:dyDescent="0.25">
      <c r="A123" t="s">
        <v>11</v>
      </c>
      <c r="B123" s="33">
        <f t="shared" si="22"/>
        <v>262800</v>
      </c>
      <c r="C123" s="33">
        <f t="shared" si="22"/>
        <v>262800</v>
      </c>
      <c r="D123" s="33">
        <f t="shared" si="22"/>
        <v>262800</v>
      </c>
      <c r="E123" s="33">
        <f t="shared" si="22"/>
        <v>262800</v>
      </c>
      <c r="F123" s="33">
        <f t="shared" si="22"/>
        <v>262800</v>
      </c>
      <c r="G123" s="33">
        <f t="shared" si="22"/>
        <v>262800</v>
      </c>
      <c r="H123" s="33">
        <f t="shared" si="22"/>
        <v>262800</v>
      </c>
      <c r="I123" s="33">
        <f t="shared" si="22"/>
        <v>262800</v>
      </c>
      <c r="J123" s="33">
        <f t="shared" si="22"/>
        <v>262800</v>
      </c>
      <c r="K123" s="33">
        <f t="shared" si="22"/>
        <v>262800</v>
      </c>
      <c r="L123" s="33">
        <f t="shared" si="22"/>
        <v>262800</v>
      </c>
    </row>
    <row r="124" spans="1:12" x14ac:dyDescent="0.25">
      <c r="A124" t="s">
        <v>309</v>
      </c>
      <c r="B124" s="33">
        <f t="shared" si="22"/>
        <v>87600</v>
      </c>
      <c r="C124" s="33">
        <f t="shared" si="22"/>
        <v>87600</v>
      </c>
      <c r="D124" s="33">
        <f t="shared" si="22"/>
        <v>87600</v>
      </c>
      <c r="E124" s="33">
        <f t="shared" si="22"/>
        <v>87600</v>
      </c>
      <c r="F124" s="33">
        <f t="shared" si="22"/>
        <v>87600</v>
      </c>
      <c r="G124" s="33">
        <f t="shared" si="22"/>
        <v>87600</v>
      </c>
      <c r="H124" s="33">
        <f t="shared" si="22"/>
        <v>87600</v>
      </c>
      <c r="I124" s="33">
        <f t="shared" si="22"/>
        <v>87600</v>
      </c>
      <c r="J124" s="33">
        <f t="shared" si="22"/>
        <v>87600</v>
      </c>
      <c r="K124" s="33">
        <f t="shared" si="22"/>
        <v>87600</v>
      </c>
      <c r="L124" s="33">
        <f t="shared" si="22"/>
        <v>87600</v>
      </c>
    </row>
    <row r="125" spans="1:12" x14ac:dyDescent="0.25">
      <c r="A125" s="62"/>
      <c r="B125" s="7"/>
      <c r="C125" s="7"/>
      <c r="D125" s="7"/>
      <c r="E125" s="7"/>
      <c r="F125" s="7"/>
      <c r="G125" s="7"/>
      <c r="H125" s="7"/>
      <c r="I125" s="7"/>
      <c r="J125" s="7"/>
      <c r="K125" s="7"/>
      <c r="L125" s="7"/>
    </row>
    <row r="126" spans="1:12" x14ac:dyDescent="0.25">
      <c r="A126" s="9" t="s">
        <v>161</v>
      </c>
      <c r="B126" s="9">
        <v>0</v>
      </c>
      <c r="C126" s="9">
        <v>1</v>
      </c>
      <c r="D126" s="9">
        <v>2</v>
      </c>
      <c r="E126" s="9">
        <v>3</v>
      </c>
      <c r="F126" s="9">
        <v>4</v>
      </c>
      <c r="G126" s="9">
        <v>5</v>
      </c>
      <c r="H126" s="9">
        <v>6</v>
      </c>
      <c r="I126" s="9">
        <v>7</v>
      </c>
      <c r="J126" s="9">
        <v>8</v>
      </c>
      <c r="K126" s="9">
        <v>9</v>
      </c>
      <c r="L126" s="9">
        <v>10</v>
      </c>
    </row>
    <row r="127" spans="1:12" x14ac:dyDescent="0.25">
      <c r="A127" t="s">
        <v>7</v>
      </c>
      <c r="B127" s="33">
        <f>B118*'Game Assumptions'!$B52</f>
        <v>26651300</v>
      </c>
      <c r="C127" s="33">
        <f>C118*'Game Assumptions'!$B52</f>
        <v>21812400</v>
      </c>
      <c r="D127" s="33">
        <f>D118*'Game Assumptions'!$B52</f>
        <v>21812400</v>
      </c>
      <c r="E127" s="33">
        <f>E118*'Game Assumptions'!$B52</f>
        <v>21812400</v>
      </c>
      <c r="F127" s="33">
        <f>F118*'Game Assumptions'!$B52</f>
        <v>21812400</v>
      </c>
      <c r="G127" s="33">
        <f>G118*'Game Assumptions'!$B52</f>
        <v>16359300</v>
      </c>
      <c r="H127" s="33">
        <f>H118*'Game Assumptions'!$B52</f>
        <v>16359300</v>
      </c>
      <c r="I127" s="33">
        <f>I118*'Game Assumptions'!$B52</f>
        <v>16359300</v>
      </c>
      <c r="J127" s="33">
        <f>J118*'Game Assumptions'!$B52</f>
        <v>16359300</v>
      </c>
      <c r="K127" s="33">
        <f>K118*'Game Assumptions'!$B52</f>
        <v>16359300</v>
      </c>
      <c r="L127" s="33">
        <f>L118*'Game Assumptions'!$B52</f>
        <v>16359300</v>
      </c>
    </row>
    <row r="128" spans="1:12" x14ac:dyDescent="0.25">
      <c r="A128" t="s">
        <v>8</v>
      </c>
      <c r="B128" s="33">
        <f>B119*'Game Assumptions'!$B53</f>
        <v>0</v>
      </c>
      <c r="C128" s="33">
        <f>C119*'Game Assumptions'!$B53</f>
        <v>1023209.6</v>
      </c>
      <c r="D128" s="33">
        <f>D119*'Game Assumptions'!$B53</f>
        <v>400513.2</v>
      </c>
      <c r="E128" s="33">
        <f>E119*'Game Assumptions'!$B53</f>
        <v>23827200</v>
      </c>
      <c r="F128" s="33">
        <f>F119*'Game Assumptions'!$B53</f>
        <v>22138753.199999999</v>
      </c>
      <c r="G128" s="33">
        <f>G119*'Game Assumptions'!$B53</f>
        <v>23827200</v>
      </c>
      <c r="H128" s="33">
        <f>H119*'Game Assumptions'!$B53</f>
        <v>23827200</v>
      </c>
      <c r="I128" s="33">
        <f>I119*'Game Assumptions'!$B53</f>
        <v>21868256</v>
      </c>
      <c r="J128" s="33">
        <f>J119*'Game Assumptions'!$B53</f>
        <v>22841220.399999999</v>
      </c>
      <c r="K128" s="33">
        <f>K119*'Game Assumptions'!$B53</f>
        <v>19993067.599999998</v>
      </c>
      <c r="L128" s="33">
        <f>L119*'Game Assumptions'!$B53</f>
        <v>19670217.199999999</v>
      </c>
    </row>
    <row r="129" spans="1:12" x14ac:dyDescent="0.25">
      <c r="A129" t="s">
        <v>13</v>
      </c>
      <c r="B129" s="33">
        <f>B120*'Game Assumptions'!$B54</f>
        <v>49432680</v>
      </c>
      <c r="C129" s="33">
        <f>C120*'Game Assumptions'!$B54</f>
        <v>49432680</v>
      </c>
      <c r="D129" s="33">
        <f>D120*'Game Assumptions'!$B54</f>
        <v>49432680</v>
      </c>
      <c r="E129" s="33">
        <f>E120*'Game Assumptions'!$B54</f>
        <v>8238779.9999999991</v>
      </c>
      <c r="F129" s="33">
        <f>F120*'Game Assumptions'!$B54</f>
        <v>8238779.9999999991</v>
      </c>
      <c r="G129" s="33">
        <f>G120*'Game Assumptions'!$B54</f>
        <v>8238779.9999999991</v>
      </c>
      <c r="H129" s="33">
        <f>H120*'Game Assumptions'!$B54</f>
        <v>8238779.9999999991</v>
      </c>
      <c r="I129" s="33">
        <f>I120*'Game Assumptions'!$B54</f>
        <v>8238779.9999999991</v>
      </c>
      <c r="J129" s="33">
        <f>J120*'Game Assumptions'!$B54</f>
        <v>8238779.9999999991</v>
      </c>
      <c r="K129" s="33">
        <f>K120*'Game Assumptions'!$B54</f>
        <v>8238779.9999999991</v>
      </c>
      <c r="L129" s="33">
        <f>L120*'Game Assumptions'!$B54</f>
        <v>8238779.9999999991</v>
      </c>
    </row>
    <row r="130" spans="1:12" x14ac:dyDescent="0.25">
      <c r="A130" t="s">
        <v>9</v>
      </c>
      <c r="B130" s="33">
        <f>B121*'Game Assumptions'!$B55</f>
        <v>0</v>
      </c>
      <c r="C130" s="33">
        <f>C121*'Game Assumptions'!$B55</f>
        <v>0</v>
      </c>
      <c r="D130" s="33">
        <f>D121*'Game Assumptions'!$B55</f>
        <v>0</v>
      </c>
      <c r="E130" s="33">
        <f>E121*'Game Assumptions'!$B55</f>
        <v>0</v>
      </c>
      <c r="F130" s="33">
        <f>F121*'Game Assumptions'!$B55</f>
        <v>0</v>
      </c>
      <c r="G130" s="33">
        <f>G121*'Game Assumptions'!$B55</f>
        <v>0</v>
      </c>
      <c r="H130" s="33">
        <f>H121*'Game Assumptions'!$B55</f>
        <v>0</v>
      </c>
      <c r="I130" s="33">
        <f>I121*'Game Assumptions'!$B55</f>
        <v>0</v>
      </c>
      <c r="J130" s="33">
        <f>J121*'Game Assumptions'!$B55</f>
        <v>0</v>
      </c>
      <c r="K130" s="33">
        <f>K121*'Game Assumptions'!$B55</f>
        <v>0</v>
      </c>
      <c r="L130" s="33">
        <f>L121*'Game Assumptions'!$B55</f>
        <v>0</v>
      </c>
    </row>
    <row r="131" spans="1:12" x14ac:dyDescent="0.25">
      <c r="A131" t="s">
        <v>10</v>
      </c>
      <c r="B131" s="33">
        <f>B122*'Game Assumptions'!$B56</f>
        <v>0</v>
      </c>
      <c r="C131" s="33">
        <f>C122*'Game Assumptions'!$B56</f>
        <v>0</v>
      </c>
      <c r="D131" s="33">
        <f>D122*'Game Assumptions'!$B56</f>
        <v>0</v>
      </c>
      <c r="E131" s="33">
        <f>E122*'Game Assumptions'!$B56</f>
        <v>0</v>
      </c>
      <c r="F131" s="33">
        <f>F122*'Game Assumptions'!$B56</f>
        <v>0</v>
      </c>
      <c r="G131" s="33">
        <f>G122*'Game Assumptions'!$B56</f>
        <v>0</v>
      </c>
      <c r="H131" s="33">
        <f>H122*'Game Assumptions'!$B56</f>
        <v>0</v>
      </c>
      <c r="I131" s="33">
        <f>I122*'Game Assumptions'!$B56</f>
        <v>0</v>
      </c>
      <c r="J131" s="33">
        <f>J122*'Game Assumptions'!$B56</f>
        <v>0</v>
      </c>
      <c r="K131" s="33">
        <f>K122*'Game Assumptions'!$B56</f>
        <v>0</v>
      </c>
      <c r="L131" s="33">
        <f>L122*'Game Assumptions'!$B56</f>
        <v>0</v>
      </c>
    </row>
    <row r="132" spans="1:12" x14ac:dyDescent="0.25">
      <c r="A132" t="s">
        <v>11</v>
      </c>
      <c r="B132" s="33">
        <f>B123*'Game Assumptions'!$B57</f>
        <v>0</v>
      </c>
      <c r="C132" s="33">
        <f>C123*'Game Assumptions'!$B57</f>
        <v>0</v>
      </c>
      <c r="D132" s="33">
        <f>D123*'Game Assumptions'!$B57</f>
        <v>0</v>
      </c>
      <c r="E132" s="33">
        <f>E123*'Game Assumptions'!$B57</f>
        <v>0</v>
      </c>
      <c r="F132" s="33">
        <f>F123*'Game Assumptions'!$B57</f>
        <v>0</v>
      </c>
      <c r="G132" s="33">
        <f>G123*'Game Assumptions'!$B57</f>
        <v>0</v>
      </c>
      <c r="H132" s="33">
        <f>H123*'Game Assumptions'!$B57</f>
        <v>0</v>
      </c>
      <c r="I132" s="33">
        <f>I123*'Game Assumptions'!$B57</f>
        <v>0</v>
      </c>
      <c r="J132" s="33">
        <f>J123*'Game Assumptions'!$B57</f>
        <v>0</v>
      </c>
      <c r="K132" s="33">
        <f>K123*'Game Assumptions'!$B57</f>
        <v>0</v>
      </c>
      <c r="L132" s="33">
        <f>L123*'Game Assumptions'!$B57</f>
        <v>0</v>
      </c>
    </row>
    <row r="133" spans="1:12" x14ac:dyDescent="0.25">
      <c r="A133" t="s">
        <v>309</v>
      </c>
      <c r="B133" s="33">
        <f>B124*'Game Assumptions'!$B58</f>
        <v>0</v>
      </c>
      <c r="C133" s="33">
        <f>C124*'Game Assumptions'!$B58</f>
        <v>0</v>
      </c>
      <c r="D133" s="33">
        <f>D124*'Game Assumptions'!$B58</f>
        <v>0</v>
      </c>
      <c r="E133" s="33">
        <f>E124*'Game Assumptions'!$B58</f>
        <v>0</v>
      </c>
      <c r="F133" s="33">
        <f>F124*'Game Assumptions'!$B58</f>
        <v>0</v>
      </c>
      <c r="G133" s="33">
        <f>G124*'Game Assumptions'!$B58</f>
        <v>0</v>
      </c>
      <c r="H133" s="33">
        <f>H124*'Game Assumptions'!$B58</f>
        <v>0</v>
      </c>
      <c r="I133" s="33">
        <f>I124*'Game Assumptions'!$B58</f>
        <v>0</v>
      </c>
      <c r="J133" s="33">
        <f>J124*'Game Assumptions'!$B58</f>
        <v>0</v>
      </c>
      <c r="K133" s="33">
        <f>K124*'Game Assumptions'!$B58</f>
        <v>0</v>
      </c>
      <c r="L133" s="33">
        <f>L124*'Game Assumptions'!$B58</f>
        <v>0</v>
      </c>
    </row>
    <row r="135" spans="1:12" x14ac:dyDescent="0.25">
      <c r="A135" s="13" t="s">
        <v>169</v>
      </c>
      <c r="B135" s="14"/>
      <c r="C135" s="14"/>
      <c r="D135" s="14"/>
      <c r="E135" s="14"/>
    </row>
    <row r="136" spans="1:12" x14ac:dyDescent="0.25">
      <c r="A136" t="s">
        <v>90</v>
      </c>
      <c r="B136" t="s">
        <v>31</v>
      </c>
      <c r="C136" t="s">
        <v>29</v>
      </c>
      <c r="D136" t="s">
        <v>28</v>
      </c>
      <c r="E136" t="s">
        <v>30</v>
      </c>
    </row>
    <row r="137" spans="1:12" x14ac:dyDescent="0.25">
      <c r="A137" t="str">
        <f>INDEX($B$53:$L$59,1,MATCH($N$1,$B$52:$L$52,0))</f>
        <v>utility EE</v>
      </c>
      <c r="B137">
        <v>0</v>
      </c>
      <c r="C137" s="15">
        <f t="shared" ref="C137:C150" si="23">INDEX($B$35:$L$41,MATCH($A137,$A$35:$A$41,0),MATCH($N$1,$B$34:$L$34,0))</f>
        <v>0</v>
      </c>
      <c r="D137">
        <f t="shared" ref="D137:D150" si="24">INDEX($B$106:$L$106,1,MATCH($N$1,$B$105:$L$105,0))</f>
        <v>7890500</v>
      </c>
      <c r="E137">
        <f>C137</f>
        <v>0</v>
      </c>
    </row>
    <row r="138" spans="1:12" x14ac:dyDescent="0.25">
      <c r="A138" t="str">
        <f>INDEX($B$53:$L$59,1,MATCH($N$1,$B$52:$L$52,0))</f>
        <v>utility EE</v>
      </c>
      <c r="B138" s="64">
        <f>INDEX($B$2:$L$8,MATCH($A138,$A$2:$A$8,0),MATCH($N$1,$B$1:$L$1,0))</f>
        <v>87600</v>
      </c>
      <c r="C138" s="15">
        <f t="shared" si="23"/>
        <v>0</v>
      </c>
      <c r="D138">
        <f t="shared" si="24"/>
        <v>7890500</v>
      </c>
      <c r="E138">
        <f t="shared" ref="E138:E150" si="25">C138</f>
        <v>0</v>
      </c>
    </row>
    <row r="139" spans="1:12" x14ac:dyDescent="0.25">
      <c r="A139" t="str">
        <f>INDEX($B$53:$L$59,2,MATCH($N$1,$B$52:$L$52,0))</f>
        <v>solar</v>
      </c>
      <c r="B139" s="64">
        <f>B138</f>
        <v>87600</v>
      </c>
      <c r="C139" s="15">
        <f t="shared" si="23"/>
        <v>0.01</v>
      </c>
      <c r="D139">
        <f t="shared" si="24"/>
        <v>7890500</v>
      </c>
      <c r="E139">
        <f t="shared" si="25"/>
        <v>0.01</v>
      </c>
    </row>
    <row r="140" spans="1:12" x14ac:dyDescent="0.25">
      <c r="A140" t="str">
        <f>INDEX($B$53:$L$59,2,MATCH($N$1,$B$52:$L$52,0))</f>
        <v>solar</v>
      </c>
      <c r="B140" s="64">
        <f>INDEX($B$2:$L$8,MATCH($A140,$A$2:$A$8,0),MATCH($N$1,$B$1:$L$1,0))+B139</f>
        <v>197100</v>
      </c>
      <c r="C140" s="15">
        <f t="shared" si="23"/>
        <v>0.01</v>
      </c>
      <c r="D140">
        <f t="shared" si="24"/>
        <v>7890500</v>
      </c>
      <c r="E140">
        <f t="shared" si="25"/>
        <v>0.01</v>
      </c>
    </row>
    <row r="141" spans="1:12" x14ac:dyDescent="0.25">
      <c r="A141" t="str">
        <f>INDEX($B$53:$L$59,3,MATCH($N$1,$B$52:$L$52,0))</f>
        <v>wind</v>
      </c>
      <c r="B141" s="64">
        <f>B140</f>
        <v>197100</v>
      </c>
      <c r="C141" s="15">
        <f t="shared" si="23"/>
        <v>0.02</v>
      </c>
      <c r="D141">
        <f t="shared" si="24"/>
        <v>7890500</v>
      </c>
      <c r="E141">
        <f t="shared" si="25"/>
        <v>0.02</v>
      </c>
    </row>
    <row r="142" spans="1:12" x14ac:dyDescent="0.25">
      <c r="A142" t="str">
        <f>INDEX($B$53:$L$59,3,MATCH($N$1,$B$52:$L$52,0))</f>
        <v>wind</v>
      </c>
      <c r="B142" s="64">
        <f>INDEX($B$2:$L$8,MATCH($A142,$A$2:$A$8,0),MATCH($N$1,$B$1:$L$1,0))+B141</f>
        <v>328500</v>
      </c>
      <c r="C142" s="15">
        <f t="shared" si="23"/>
        <v>0.02</v>
      </c>
      <c r="D142">
        <f t="shared" si="24"/>
        <v>7890500</v>
      </c>
      <c r="E142">
        <f t="shared" si="25"/>
        <v>0.02</v>
      </c>
    </row>
    <row r="143" spans="1:12" x14ac:dyDescent="0.25">
      <c r="A143" t="str">
        <f>INDEX($B$53:$L$59,4,MATCH($N$1,$B$52:$L$52,0))</f>
        <v>hydro</v>
      </c>
      <c r="B143" s="64">
        <f>B142</f>
        <v>328500</v>
      </c>
      <c r="C143" s="15">
        <f t="shared" si="23"/>
        <v>7</v>
      </c>
      <c r="D143">
        <f t="shared" si="24"/>
        <v>7890500</v>
      </c>
      <c r="E143">
        <f t="shared" si="25"/>
        <v>7</v>
      </c>
    </row>
    <row r="144" spans="1:12" x14ac:dyDescent="0.25">
      <c r="A144" t="str">
        <f>INDEX($B$53:$L$59,4,MATCH($N$1,$B$52:$L$52,0))</f>
        <v>hydro</v>
      </c>
      <c r="B144" s="64">
        <f>INDEX($B$2:$L$8,MATCH($A144,$A$2:$A$8,0),MATCH($N$1,$B$1:$L$1,0))+B143</f>
        <v>591300</v>
      </c>
      <c r="C144" s="15">
        <f t="shared" si="23"/>
        <v>7</v>
      </c>
      <c r="D144">
        <f t="shared" si="24"/>
        <v>7890500</v>
      </c>
      <c r="E144">
        <f t="shared" si="25"/>
        <v>7</v>
      </c>
    </row>
    <row r="145" spans="1:5" x14ac:dyDescent="0.25">
      <c r="A145" t="str">
        <f>INDEX($B$53:$L$59,5,MATCH($N$1,$B$52:$L$52,0))</f>
        <v>nuclear</v>
      </c>
      <c r="B145" s="64">
        <f>B144</f>
        <v>591300</v>
      </c>
      <c r="C145" s="15">
        <f t="shared" si="23"/>
        <v>11.022499999999999</v>
      </c>
      <c r="D145">
        <f t="shared" si="24"/>
        <v>7890500</v>
      </c>
      <c r="E145">
        <f t="shared" si="25"/>
        <v>11.022499999999999</v>
      </c>
    </row>
    <row r="146" spans="1:5" x14ac:dyDescent="0.25">
      <c r="A146" t="str">
        <f>INDEX($B$53:$L$59,5,MATCH($N$1,$B$52:$L$52,0))</f>
        <v>nuclear</v>
      </c>
      <c r="B146" s="64">
        <f>INDEX($B$2:$L$8,MATCH($A146,$A$2:$A$8,0),MATCH($N$1,$B$1:$L$1,0))+B145</f>
        <v>5321700</v>
      </c>
      <c r="C146" s="15">
        <f t="shared" si="23"/>
        <v>11.022499999999999</v>
      </c>
      <c r="D146">
        <f t="shared" si="24"/>
        <v>7890500</v>
      </c>
      <c r="E146">
        <f t="shared" si="25"/>
        <v>11.022499999999999</v>
      </c>
    </row>
    <row r="147" spans="1:5" x14ac:dyDescent="0.25">
      <c r="A147" t="str">
        <f>INDEX($B$53:$L$59,6,MATCH($N$1,$B$52:$L$52,0))</f>
        <v>coal</v>
      </c>
      <c r="B147" s="64">
        <f>B146</f>
        <v>5321700</v>
      </c>
      <c r="C147" s="15">
        <f t="shared" si="23"/>
        <v>28.747499999999999</v>
      </c>
      <c r="D147">
        <f t="shared" si="24"/>
        <v>7890500</v>
      </c>
      <c r="E147">
        <f t="shared" si="25"/>
        <v>28.747499999999999</v>
      </c>
    </row>
    <row r="148" spans="1:5" x14ac:dyDescent="0.25">
      <c r="A148" t="str">
        <f>INDEX($B$53:$L$59,6,MATCH($N$1,$B$52:$L$52,0))</f>
        <v>coal</v>
      </c>
      <c r="B148" s="64">
        <f>INDEX($B$2:$L$8,MATCH($A148,$A$2:$A$8,0),MATCH($N$1,$B$1:$L$1,0))+B147</f>
        <v>9000900</v>
      </c>
      <c r="C148" s="15">
        <f t="shared" si="23"/>
        <v>28.747499999999999</v>
      </c>
      <c r="D148">
        <f t="shared" si="24"/>
        <v>7890500</v>
      </c>
      <c r="E148">
        <f t="shared" si="25"/>
        <v>28.747499999999999</v>
      </c>
    </row>
    <row r="149" spans="1:5" x14ac:dyDescent="0.25">
      <c r="A149" t="str">
        <f>INDEX($B$53:$L$59,7,MATCH($N$1,$B$52:$L$52,0))</f>
        <v>natural gas</v>
      </c>
      <c r="B149" s="64">
        <f>B148</f>
        <v>9000900</v>
      </c>
      <c r="C149" s="15">
        <f t="shared" si="23"/>
        <v>36.550000000000004</v>
      </c>
      <c r="D149">
        <f t="shared" si="24"/>
        <v>7890500</v>
      </c>
      <c r="E149">
        <f t="shared" si="25"/>
        <v>36.550000000000004</v>
      </c>
    </row>
    <row r="150" spans="1:5" x14ac:dyDescent="0.25">
      <c r="A150" t="str">
        <f>INDEX($B$53:$L$59,7,MATCH($N$1,$B$52:$L$52,0))</f>
        <v>natural gas</v>
      </c>
      <c r="B150" s="64">
        <f>INDEX($B$2:$L$8,MATCH($A150,$A$2:$A$8,0),MATCH($N$1,$B$1:$L$1,0))+B149</f>
        <v>12504900</v>
      </c>
      <c r="C150" s="15">
        <f t="shared" si="23"/>
        <v>36.550000000000004</v>
      </c>
      <c r="D150">
        <f t="shared" si="24"/>
        <v>7890500</v>
      </c>
      <c r="E150">
        <f t="shared" si="25"/>
        <v>36.550000000000004</v>
      </c>
    </row>
    <row r="152" spans="1:5" x14ac:dyDescent="0.25">
      <c r="A152" s="13" t="s">
        <v>170</v>
      </c>
      <c r="B152" s="14"/>
      <c r="C152" s="14"/>
      <c r="D152" s="14"/>
      <c r="E152" s="14"/>
    </row>
    <row r="153" spans="1:5" x14ac:dyDescent="0.25">
      <c r="A153" t="s">
        <v>7</v>
      </c>
      <c r="B153" s="64">
        <f t="shared" ref="B153:B159" si="26">INDEX($B$118:$L$124,MATCH($A153,$A$118:$A$124,0),MATCH($N$1,$B$117:$L$117))</f>
        <v>2568800</v>
      </c>
    </row>
    <row r="154" spans="1:5" x14ac:dyDescent="0.25">
      <c r="A154" t="s">
        <v>8</v>
      </c>
      <c r="B154" s="64">
        <f t="shared" si="26"/>
        <v>0</v>
      </c>
    </row>
    <row r="155" spans="1:5" x14ac:dyDescent="0.25">
      <c r="A155" t="s">
        <v>13</v>
      </c>
      <c r="B155" s="64">
        <f t="shared" si="26"/>
        <v>4730400</v>
      </c>
    </row>
    <row r="156" spans="1:5" x14ac:dyDescent="0.25">
      <c r="A156" t="s">
        <v>9</v>
      </c>
      <c r="B156" s="64">
        <f t="shared" si="26"/>
        <v>109500</v>
      </c>
    </row>
    <row r="157" spans="1:5" x14ac:dyDescent="0.25">
      <c r="A157" t="s">
        <v>10</v>
      </c>
      <c r="B157" s="64">
        <f t="shared" si="26"/>
        <v>131400</v>
      </c>
    </row>
    <row r="158" spans="1:5" x14ac:dyDescent="0.25">
      <c r="A158" t="s">
        <v>11</v>
      </c>
      <c r="B158" s="64">
        <f t="shared" si="26"/>
        <v>262800</v>
      </c>
    </row>
    <row r="159" spans="1:5" x14ac:dyDescent="0.25">
      <c r="A159" t="s">
        <v>309</v>
      </c>
      <c r="B159" s="64">
        <f t="shared" si="26"/>
        <v>87600</v>
      </c>
    </row>
    <row r="162" spans="1:12" x14ac:dyDescent="0.25">
      <c r="A162" s="9" t="s">
        <v>242</v>
      </c>
      <c r="B162" s="9">
        <v>0</v>
      </c>
      <c r="C162" s="9">
        <v>1</v>
      </c>
      <c r="D162" s="9">
        <v>2</v>
      </c>
      <c r="E162" s="9">
        <v>3</v>
      </c>
      <c r="F162" s="9">
        <v>4</v>
      </c>
      <c r="G162" s="9">
        <v>5</v>
      </c>
      <c r="H162" s="9">
        <v>6</v>
      </c>
      <c r="I162" s="9">
        <v>7</v>
      </c>
      <c r="J162" s="9">
        <v>8</v>
      </c>
      <c r="K162" s="9">
        <v>9</v>
      </c>
      <c r="L162" s="9">
        <v>10</v>
      </c>
    </row>
    <row r="163" spans="1:12" x14ac:dyDescent="0.25">
      <c r="A163" t="s">
        <v>243</v>
      </c>
      <c r="B163">
        <f>'Event Tracker'!B2</f>
        <v>0</v>
      </c>
      <c r="C163">
        <f>'Event Tracker'!C2</f>
        <v>0</v>
      </c>
      <c r="D163">
        <f>'Event Tracker'!D2</f>
        <v>0</v>
      </c>
      <c r="E163">
        <f>'Event Tracker'!E2</f>
        <v>0</v>
      </c>
      <c r="F163">
        <f>'Event Tracker'!F2</f>
        <v>0</v>
      </c>
      <c r="G163">
        <f>'Event Tracker'!G2</f>
        <v>0</v>
      </c>
      <c r="H163">
        <f>'Event Tracker'!H2</f>
        <v>0</v>
      </c>
      <c r="I163">
        <f>'Event Tracker'!I2</f>
        <v>0</v>
      </c>
      <c r="J163">
        <f>'Event Tracker'!J2</f>
        <v>0</v>
      </c>
      <c r="K163">
        <f>'Event Tracker'!K2</f>
        <v>0</v>
      </c>
      <c r="L163">
        <f>'Event Tracker'!L2</f>
        <v>0</v>
      </c>
    </row>
    <row r="164" spans="1:12" x14ac:dyDescent="0.25">
      <c r="A164" t="s">
        <v>244</v>
      </c>
      <c r="B164" s="5">
        <f>SUM(B121:B122)/SUM(B118:B123)</f>
        <v>3.0873136910635788E-2</v>
      </c>
      <c r="C164" s="106">
        <f t="shared" ref="C164:L164" si="27">SUM(C121:C122)/SUM(C118:C123)</f>
        <v>3.2175891668888304E-2</v>
      </c>
      <c r="D164" s="5">
        <f t="shared" si="27"/>
        <v>3.2574307349745431E-2</v>
      </c>
      <c r="E164" s="5">
        <f t="shared" si="27"/>
        <v>3.4920634920634921E-2</v>
      </c>
      <c r="F164" s="5">
        <f t="shared" si="27"/>
        <v>3.6224479899022569E-2</v>
      </c>
      <c r="G164" s="5">
        <f t="shared" si="27"/>
        <v>3.7800687285223365E-2</v>
      </c>
      <c r="H164" s="5">
        <f t="shared" si="27"/>
        <v>3.7800687285223365E-2</v>
      </c>
      <c r="I164" s="5">
        <f t="shared" si="27"/>
        <v>3.9590324775424748E-2</v>
      </c>
      <c r="J164" s="5">
        <f t="shared" si="27"/>
        <v>3.8680756588533892E-2</v>
      </c>
      <c r="K164" s="5">
        <f t="shared" si="27"/>
        <v>4.1469725637052625E-2</v>
      </c>
      <c r="L164" s="5">
        <f t="shared" si="27"/>
        <v>4.1811454811259204E-2</v>
      </c>
    </row>
    <row r="165" spans="1:12" x14ac:dyDescent="0.25">
      <c r="A165" t="s">
        <v>245</v>
      </c>
      <c r="B165" s="5">
        <f>IF(B163=1,(0.2-B164)/COUNT(B162:$L$162)+IF(A163=1,A165,B164),0)</f>
        <v>0</v>
      </c>
      <c r="C165" s="106">
        <f>IF(C163=1,IF(B163=0,0,IF(A163=0,('Game Assumptions'!$B$21-Dispatch!C164)/COUNTIF(Dispatch!C163:$L$163,1)+Dispatch!C164,IF(A165=0,Dispatch!B165-Dispatch!B164+Dispatch!B165,B165-A165+B165))),0)</f>
        <v>0</v>
      </c>
      <c r="D165" s="106">
        <f>IF(D163=1,IF(C163=0,0,IF(B163=0,('Game Assumptions'!$B$21-Dispatch!D164)/COUNTIF(Dispatch!D163:$L$163,1)+Dispatch!D164,IF(B165=0,Dispatch!C165-Dispatch!C164+Dispatch!C165,C165-B165+C165))),0)</f>
        <v>0</v>
      </c>
      <c r="E165" s="106">
        <f>IF(E163=1,IF(D163=0,0,IF(C163=0,('Game Assumptions'!$B$21-Dispatch!E164)/COUNTIF(Dispatch!E163:$L$163,1)+Dispatch!E164,IF(C165=0,Dispatch!D165-Dispatch!D164+Dispatch!D165,D165-C165+D165))),0)</f>
        <v>0</v>
      </c>
      <c r="F165" s="106">
        <f>IF(F163=1,IF(E163=0,0,IF(D163=0,('Game Assumptions'!$B$21-Dispatch!F164)/COUNTIF(Dispatch!F163:$L$163,1)+Dispatch!F164,IF(D165=0,Dispatch!E165-Dispatch!E164+Dispatch!E165,E165-D165+E165))),0)</f>
        <v>0</v>
      </c>
      <c r="G165" s="106">
        <f>IF(G163=1,IF(F163=0,0,IF(E163=0,('Game Assumptions'!$B$21-Dispatch!G164)/COUNTIF(Dispatch!G163:$L$163,1)+Dispatch!G164,IF(E165=0,Dispatch!F165-Dispatch!F164+Dispatch!F165,F165-E165+F165))),0)</f>
        <v>0</v>
      </c>
      <c r="H165" s="106">
        <f>IF(H163=1,IF(G163=0,0,IF(F163=0,('Game Assumptions'!$B$21-Dispatch!H164)/COUNTIF(Dispatch!H163:$L$163,1)+Dispatch!H164,IF(F165=0,Dispatch!G165-Dispatch!G164+Dispatch!G165,G165-F165+G165))),0)</f>
        <v>0</v>
      </c>
      <c r="I165" s="106">
        <f>IF(I163=1,IF(H163=0,0,IF(G163=0,('Game Assumptions'!$B$21-Dispatch!I164)/COUNTIF(Dispatch!I163:$L$163,1)+Dispatch!I164,IF(G165=0,Dispatch!H165-Dispatch!H164+Dispatch!H165,H165-G165+H165))),0)</f>
        <v>0</v>
      </c>
      <c r="J165" s="106">
        <f>IF(J163=1,IF(I163=0,0,IF(H163=0,('Game Assumptions'!$B$21-Dispatch!J164)/COUNTIF(Dispatch!J163:$L$163,1)+Dispatch!J164,IF(H165=0,Dispatch!I165-Dispatch!I164+Dispatch!I165,I165-H165+I165))),0)</f>
        <v>0</v>
      </c>
      <c r="K165" s="106">
        <f>IF(K163=1,IF(J163=0,0,IF(I163=0,('Game Assumptions'!$B$21-Dispatch!K164)/COUNTIF(Dispatch!K163:$L$163,1)+Dispatch!K164,IF(I165=0,Dispatch!J165-Dispatch!J164+Dispatch!J165,J165-I165+J165))),0)</f>
        <v>0</v>
      </c>
      <c r="L165" s="106">
        <f>IF(L163=1,IF(K163=0,0,IF(J163=0,('Game Assumptions'!$B$21-Dispatch!L164)/COUNTIF(Dispatch!L163:$L$163,1)+Dispatch!L164,IF(J165=0,Dispatch!K165-Dispatch!K164+Dispatch!K165,K165-J165+K165))),0)</f>
        <v>0</v>
      </c>
    </row>
    <row r="166" spans="1:12" x14ac:dyDescent="0.25">
      <c r="A166" t="s">
        <v>246</v>
      </c>
      <c r="B166" s="16">
        <f>IF(B165&gt;B164,(B165-B164)*SUM(B118:B123),0)</f>
        <v>0</v>
      </c>
      <c r="C166" s="16">
        <f t="shared" ref="C166:L166" si="28">IF(C165&gt;C164,(C165-C164)*SUM(C118:C123),0)</f>
        <v>0</v>
      </c>
      <c r="D166" s="16">
        <f t="shared" si="28"/>
        <v>0</v>
      </c>
      <c r="E166" s="16">
        <f t="shared" si="28"/>
        <v>0</v>
      </c>
      <c r="F166" s="16">
        <f t="shared" si="28"/>
        <v>0</v>
      </c>
      <c r="G166" s="16">
        <f t="shared" si="28"/>
        <v>0</v>
      </c>
      <c r="H166" s="16">
        <f t="shared" si="28"/>
        <v>0</v>
      </c>
      <c r="I166" s="16">
        <f t="shared" si="28"/>
        <v>0</v>
      </c>
      <c r="J166" s="16">
        <f t="shared" si="28"/>
        <v>0</v>
      </c>
      <c r="K166" s="16">
        <f t="shared" si="28"/>
        <v>0</v>
      </c>
      <c r="L166" s="16">
        <f t="shared" si="28"/>
        <v>0</v>
      </c>
    </row>
    <row r="167" spans="1:12" x14ac:dyDescent="0.25">
      <c r="A167" t="s">
        <v>247</v>
      </c>
      <c r="B167" s="7">
        <f>B166*'Game Assumptions'!$B$9</f>
        <v>0</v>
      </c>
      <c r="C167" s="7">
        <f>C166*'Game Assumptions'!$B$9</f>
        <v>0</v>
      </c>
      <c r="D167" s="7">
        <f>D166*'Game Assumptions'!$B$9</f>
        <v>0</v>
      </c>
      <c r="E167" s="7">
        <f>E166*'Game Assumptions'!$B$9</f>
        <v>0</v>
      </c>
      <c r="F167" s="7">
        <f>F166*'Game Assumptions'!$B$9</f>
        <v>0</v>
      </c>
      <c r="G167" s="7">
        <f>G166*'Game Assumptions'!$B$9</f>
        <v>0</v>
      </c>
      <c r="H167" s="7">
        <f>H166*'Game Assumptions'!$B$9</f>
        <v>0</v>
      </c>
      <c r="I167" s="7">
        <f>I166*'Game Assumptions'!$B$9</f>
        <v>0</v>
      </c>
      <c r="J167" s="7">
        <f>J166*'Game Assumptions'!$B$9</f>
        <v>0</v>
      </c>
      <c r="K167" s="7">
        <f>K166*'Game Assumptions'!$B$9</f>
        <v>0</v>
      </c>
      <c r="L167" s="7">
        <f>L166*'Game Assumptions'!$B$9</f>
        <v>0</v>
      </c>
    </row>
    <row r="169" spans="1:12" x14ac:dyDescent="0.25">
      <c r="A169" s="9" t="s">
        <v>311</v>
      </c>
      <c r="B169" s="9">
        <v>0</v>
      </c>
      <c r="C169" s="9">
        <v>1</v>
      </c>
      <c r="D169" s="9">
        <v>2</v>
      </c>
      <c r="E169" s="9">
        <v>3</v>
      </c>
      <c r="F169" s="9">
        <v>4</v>
      </c>
      <c r="G169" s="9">
        <v>5</v>
      </c>
      <c r="H169" s="9">
        <v>6</v>
      </c>
      <c r="I169" s="9">
        <v>7</v>
      </c>
      <c r="J169" s="9">
        <v>8</v>
      </c>
      <c r="K169" s="9">
        <v>9</v>
      </c>
      <c r="L169" s="9">
        <v>10</v>
      </c>
    </row>
    <row r="170" spans="1:12" x14ac:dyDescent="0.25">
      <c r="A170" t="s">
        <v>40</v>
      </c>
      <c r="B170" s="7">
        <f>SUMPRODUCT(B118:B124,B35:B41)</f>
        <v>127830735</v>
      </c>
      <c r="C170" s="7">
        <f t="shared" ref="C170:L170" si="29">SUMPRODUCT(C118:C124,C35:C41)</f>
        <v>119050638.74399999</v>
      </c>
      <c r="D170" s="7">
        <f t="shared" si="29"/>
        <v>114822657.18599999</v>
      </c>
      <c r="E170" s="7">
        <f t="shared" si="29"/>
        <v>197556834</v>
      </c>
      <c r="F170" s="7">
        <f t="shared" si="29"/>
        <v>188441136.45000002</v>
      </c>
      <c r="G170" s="7">
        <f t="shared" si="29"/>
        <v>186376884</v>
      </c>
      <c r="H170" s="7">
        <f t="shared" si="29"/>
        <v>197276952</v>
      </c>
      <c r="I170" s="7">
        <f t="shared" si="29"/>
        <v>195708341.44</v>
      </c>
      <c r="J170" s="7">
        <f t="shared" si="29"/>
        <v>208494349.15000001</v>
      </c>
      <c r="K170" s="7">
        <f t="shared" si="29"/>
        <v>193115075.99000001</v>
      </c>
      <c r="L170" s="7">
        <f t="shared" si="29"/>
        <v>194762480.454</v>
      </c>
    </row>
    <row r="171" spans="1:12" x14ac:dyDescent="0.25">
      <c r="A171" t="s">
        <v>41</v>
      </c>
      <c r="B171" s="7">
        <f>IF(B82&gt;0,INDEX($B$35:$L$41,MATCH(B59,$A$35:$A$41,0),MATCH(B169,$B$34:$L$34)),INDEX($B$35:$L$41,MATCH(B58,$A$35:$A$41,0),MATCH(B169,$B$34:$L$34)))*SUM(B109:B115)</f>
        <v>226832148.75</v>
      </c>
      <c r="C171" s="7">
        <f t="shared" ref="C171:L171" si="30">IF(C82&gt;0,INDEX($B$35:$L$41,MATCH(C59,$A$35:$A$41,0),MATCH(C169,$B$34:$L$34)),INDEX($B$35:$L$41,MATCH(C58,$A$35:$A$41,0),MATCH(C169,$B$34:$L$34)))*SUM(C109:C115)</f>
        <v>309815143.94400001</v>
      </c>
      <c r="D171" s="7">
        <f t="shared" si="30"/>
        <v>272485925.58600003</v>
      </c>
      <c r="E171" s="7">
        <f t="shared" si="30"/>
        <v>256292064.59999999</v>
      </c>
      <c r="F171" s="7">
        <f t="shared" si="30"/>
        <v>246266553.45000002</v>
      </c>
      <c r="G171" s="7">
        <f t="shared" si="30"/>
        <v>241842357.00000003</v>
      </c>
      <c r="H171" s="7">
        <f t="shared" si="30"/>
        <v>260732859.00000003</v>
      </c>
      <c r="I171" s="7">
        <f t="shared" si="30"/>
        <v>267154682.43999997</v>
      </c>
      <c r="J171" s="7">
        <f t="shared" si="30"/>
        <v>284513410.15000004</v>
      </c>
      <c r="K171" s="7">
        <f t="shared" si="30"/>
        <v>271658987.99000001</v>
      </c>
      <c r="L171" s="7">
        <f t="shared" si="30"/>
        <v>276233327.454</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S29"/>
  <sheetViews>
    <sheetView zoomScale="85" zoomScaleNormal="85" workbookViewId="0">
      <selection activeCell="B36" sqref="B36"/>
    </sheetView>
  </sheetViews>
  <sheetFormatPr defaultRowHeight="15" x14ac:dyDescent="0.25"/>
  <cols>
    <col min="1" max="1" width="12.85546875" customWidth="1"/>
    <col min="2" max="2" width="165.85546875" customWidth="1"/>
  </cols>
  <sheetData>
    <row r="1" spans="1:19" s="69" customFormat="1" x14ac:dyDescent="0.25">
      <c r="A1" s="9" t="s">
        <v>3</v>
      </c>
      <c r="B1" s="3"/>
    </row>
    <row r="2" spans="1:19" ht="30" x14ac:dyDescent="0.25">
      <c r="A2" t="s">
        <v>220</v>
      </c>
      <c r="B2" s="66" t="s">
        <v>221</v>
      </c>
    </row>
    <row r="3" spans="1:19" x14ac:dyDescent="0.25">
      <c r="A3" t="s">
        <v>222</v>
      </c>
      <c r="B3" t="s">
        <v>225</v>
      </c>
    </row>
    <row r="4" spans="1:19" ht="30" x14ac:dyDescent="0.25">
      <c r="A4" s="70" t="s">
        <v>224</v>
      </c>
      <c r="B4" s="66" t="s">
        <v>226</v>
      </c>
    </row>
    <row r="6" spans="1:19" s="69" customFormat="1" x14ac:dyDescent="0.25">
      <c r="A6" s="9" t="s">
        <v>2</v>
      </c>
      <c r="B6" s="9"/>
      <c r="C6" s="68"/>
      <c r="D6" s="68"/>
      <c r="E6" s="68"/>
      <c r="F6" s="68"/>
      <c r="G6" s="68"/>
      <c r="H6" s="68"/>
      <c r="I6" s="68"/>
      <c r="J6" s="68"/>
      <c r="K6" s="68"/>
      <c r="L6" s="68"/>
      <c r="M6" s="68"/>
      <c r="N6" s="68"/>
      <c r="O6" s="68"/>
      <c r="P6" s="68"/>
      <c r="Q6" s="68"/>
      <c r="R6" s="68"/>
      <c r="S6" s="68"/>
    </row>
    <row r="7" spans="1:19" ht="30" x14ac:dyDescent="0.25">
      <c r="A7" s="67" t="s">
        <v>220</v>
      </c>
      <c r="B7" s="66" t="s">
        <v>223</v>
      </c>
    </row>
    <row r="8" spans="1:19" x14ac:dyDescent="0.25">
      <c r="A8" t="s">
        <v>222</v>
      </c>
      <c r="B8" t="s">
        <v>227</v>
      </c>
    </row>
    <row r="9" spans="1:19" x14ac:dyDescent="0.25">
      <c r="A9" t="s">
        <v>228</v>
      </c>
      <c r="B9" t="s">
        <v>229</v>
      </c>
    </row>
    <row r="11" spans="1:19" x14ac:dyDescent="0.25">
      <c r="A11" s="78" t="s">
        <v>230</v>
      </c>
      <c r="B11" s="78"/>
    </row>
    <row r="12" spans="1:19" ht="30" x14ac:dyDescent="0.25">
      <c r="A12" s="79" t="s">
        <v>220</v>
      </c>
      <c r="B12" s="80" t="s">
        <v>231</v>
      </c>
    </row>
    <row r="13" spans="1:19" x14ac:dyDescent="0.25">
      <c r="A13" s="12" t="s">
        <v>222</v>
      </c>
      <c r="B13" s="12" t="s">
        <v>232</v>
      </c>
    </row>
    <row r="14" spans="1:19" ht="30" x14ac:dyDescent="0.25">
      <c r="A14" s="79" t="s">
        <v>228</v>
      </c>
      <c r="B14" s="80" t="s">
        <v>233</v>
      </c>
    </row>
    <row r="16" spans="1:19" x14ac:dyDescent="0.25">
      <c r="A16" s="9" t="s">
        <v>1</v>
      </c>
      <c r="B16" s="9"/>
    </row>
    <row r="17" spans="1:2" ht="30" x14ac:dyDescent="0.25">
      <c r="A17" s="67" t="s">
        <v>220</v>
      </c>
      <c r="B17" s="66" t="s">
        <v>234</v>
      </c>
    </row>
    <row r="18" spans="1:2" x14ac:dyDescent="0.25">
      <c r="A18" t="s">
        <v>222</v>
      </c>
      <c r="B18" t="s">
        <v>291</v>
      </c>
    </row>
    <row r="19" spans="1:2" x14ac:dyDescent="0.25">
      <c r="A19" t="s">
        <v>224</v>
      </c>
      <c r="B19" t="s">
        <v>235</v>
      </c>
    </row>
    <row r="21" spans="1:2" x14ac:dyDescent="0.25">
      <c r="A21" s="9" t="s">
        <v>236</v>
      </c>
      <c r="B21" s="9"/>
    </row>
    <row r="22" spans="1:2" ht="30" x14ac:dyDescent="0.25">
      <c r="A22" s="67" t="s">
        <v>220</v>
      </c>
      <c r="B22" s="66" t="s">
        <v>237</v>
      </c>
    </row>
    <row r="23" spans="1:2" x14ac:dyDescent="0.25">
      <c r="A23" t="s">
        <v>222</v>
      </c>
      <c r="B23" t="s">
        <v>238</v>
      </c>
    </row>
    <row r="24" spans="1:2" x14ac:dyDescent="0.25">
      <c r="A24" t="s">
        <v>224</v>
      </c>
      <c r="B24" t="s">
        <v>239</v>
      </c>
    </row>
    <row r="26" spans="1:2" x14ac:dyDescent="0.25">
      <c r="A26" s="9" t="s">
        <v>347</v>
      </c>
      <c r="B26" s="9"/>
    </row>
    <row r="27" spans="1:2" x14ac:dyDescent="0.25">
      <c r="A27" s="67" t="s">
        <v>220</v>
      </c>
      <c r="B27" t="s">
        <v>352</v>
      </c>
    </row>
    <row r="28" spans="1:2" x14ac:dyDescent="0.25">
      <c r="A28" t="s">
        <v>222</v>
      </c>
      <c r="B28" t="s">
        <v>353</v>
      </c>
    </row>
    <row r="29" spans="1:2" x14ac:dyDescent="0.25">
      <c r="A29" t="s">
        <v>224</v>
      </c>
      <c r="B29" t="s">
        <v>354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O93"/>
  <sheetViews>
    <sheetView topLeftCell="A66" workbookViewId="0">
      <selection activeCell="D3" sqref="D3"/>
    </sheetView>
  </sheetViews>
  <sheetFormatPr defaultRowHeight="15" x14ac:dyDescent="0.25"/>
  <cols>
    <col min="1" max="1" width="12.5703125" bestFit="1" customWidth="1"/>
    <col min="2" max="2" width="13.140625" bestFit="1" customWidth="1"/>
    <col min="3" max="3" width="13.42578125" bestFit="1" customWidth="1"/>
    <col min="4" max="4" width="24.5703125" bestFit="1" customWidth="1"/>
    <col min="14" max="14" width="13.7109375" bestFit="1" customWidth="1"/>
  </cols>
  <sheetData>
    <row r="1" spans="1:15" ht="15.75" thickBot="1" x14ac:dyDescent="0.3">
      <c r="A1" s="9" t="s">
        <v>404</v>
      </c>
      <c r="B1" s="3"/>
      <c r="C1" s="3"/>
      <c r="D1" s="3"/>
      <c r="E1" s="3"/>
      <c r="F1" s="3"/>
      <c r="G1" s="3"/>
      <c r="H1" s="3"/>
      <c r="I1" s="3"/>
      <c r="J1" s="3"/>
      <c r="K1" s="3"/>
      <c r="N1" s="119" t="s">
        <v>321</v>
      </c>
      <c r="O1" s="108">
        <f>Current_Round</f>
        <v>0</v>
      </c>
    </row>
    <row r="2" spans="1:15" x14ac:dyDescent="0.25">
      <c r="A2" t="s">
        <v>407</v>
      </c>
      <c r="B2" t="s">
        <v>409</v>
      </c>
      <c r="C2" t="s">
        <v>406</v>
      </c>
      <c r="D2" t="s">
        <v>408</v>
      </c>
    </row>
    <row r="3" spans="1:15" x14ac:dyDescent="0.25">
      <c r="A3" t="s">
        <v>405</v>
      </c>
      <c r="B3">
        <v>0</v>
      </c>
      <c r="C3" s="49">
        <f>IF(COUNT($B$3:$B3)&lt;=$O$1+1,INDEX('Customer Bills'!$B$12:$L$12,1,MATCH(Graphs!B3,'Customer Bills'!$B$2:$L$2,0)),NA())</f>
        <v>74.262449500863767</v>
      </c>
      <c r="D3" s="15">
        <f>IF(C3="","",IF(OR(COUNT($C$3:$C3)-1=$O$1,COUNT($C$3:$C4)-1=$O$1),C3,NA()))</f>
        <v>74.262449500863767</v>
      </c>
    </row>
    <row r="4" spans="1:15" x14ac:dyDescent="0.25">
      <c r="A4" t="s">
        <v>67</v>
      </c>
      <c r="B4">
        <v>1</v>
      </c>
      <c r="C4" s="49" t="e">
        <f>IF(COUNT($B$3:$B4)&lt;=$O$1+1,INDEX('Customer Bills'!$B$12:$L$12,1,MATCH(Graphs!B4,'Customer Bills'!$B$2:$L$2,0)),NA())</f>
        <v>#N/A</v>
      </c>
      <c r="D4" s="15" t="e">
        <f>IF(C4="","",IF(OR(COUNT($C$3:$C4)-1=$O$1,COUNT($C$3:$C5)-1=$O$1),C4,NA()))</f>
        <v>#N/A</v>
      </c>
    </row>
    <row r="5" spans="1:15" x14ac:dyDescent="0.25">
      <c r="A5" t="s">
        <v>103</v>
      </c>
      <c r="B5">
        <v>2</v>
      </c>
      <c r="C5" s="49" t="e">
        <f>IF(COUNT($B$3:$B5)&lt;=$O$1+1,INDEX('Customer Bills'!$B$12:$L$12,1,MATCH(Graphs!B5,'Customer Bills'!$B$2:$L$2,0)),NA())</f>
        <v>#N/A</v>
      </c>
      <c r="D5" s="15" t="e">
        <f>IF(C5="","",IF(OR(COUNT($C$3:$C5)-1=$O$1,COUNT($C$3:$C6)-1=$O$1),C5,NA()))</f>
        <v>#N/A</v>
      </c>
    </row>
    <row r="6" spans="1:15" x14ac:dyDescent="0.25">
      <c r="A6" t="s">
        <v>104</v>
      </c>
      <c r="B6">
        <v>3</v>
      </c>
      <c r="C6" s="49" t="e">
        <f>IF(COUNT($B$3:$B6)&lt;=$O$1+1,INDEX('Customer Bills'!$B$12:$L$12,1,MATCH(Graphs!B6,'Customer Bills'!$B$2:$L$2,0)),NA())</f>
        <v>#N/A</v>
      </c>
      <c r="D6" s="15" t="e">
        <f>IF(C6="","",IF(OR(COUNT($C$3:$C6)-1=$O$1,COUNT($C$3:$C7)-1=$O$1),C6,NA()))</f>
        <v>#N/A</v>
      </c>
    </row>
    <row r="7" spans="1:15" x14ac:dyDescent="0.25">
      <c r="A7" t="s">
        <v>105</v>
      </c>
      <c r="B7">
        <v>4</v>
      </c>
      <c r="C7" s="49" t="e">
        <f>IF(COUNT($B$3:$B7)&lt;=$O$1+1,INDEX('Customer Bills'!$B$12:$L$12,1,MATCH(Graphs!B7,'Customer Bills'!$B$2:$L$2,0)),NA())</f>
        <v>#N/A</v>
      </c>
      <c r="D7" s="15" t="e">
        <f>IF(C7="","",IF(OR(COUNT($C$3:$C7)-1=$O$1,COUNT($C$3:$C8)-1=$O$1),C7,NA()))</f>
        <v>#N/A</v>
      </c>
    </row>
    <row r="8" spans="1:15" x14ac:dyDescent="0.25">
      <c r="A8" t="s">
        <v>106</v>
      </c>
      <c r="B8">
        <v>5</v>
      </c>
      <c r="C8" s="49" t="e">
        <f>IF(COUNT($B$3:$B8)&lt;=$O$1+1,INDEX('Customer Bills'!$B$12:$L$12,1,MATCH(Graphs!B8,'Customer Bills'!$B$2:$L$2,0)),NA())</f>
        <v>#N/A</v>
      </c>
      <c r="D8" s="15" t="e">
        <f>IF(C8="","",IF(OR(COUNT($C$3:$C8)-1=$O$1,COUNT($C$3:$C9)-1=$O$1),C8,NA()))</f>
        <v>#N/A</v>
      </c>
    </row>
    <row r="9" spans="1:15" x14ac:dyDescent="0.25">
      <c r="A9" t="s">
        <v>316</v>
      </c>
      <c r="B9">
        <v>6</v>
      </c>
      <c r="C9" s="49" t="e">
        <f>IF(COUNT($B$3:$B9)&lt;=$O$1+1,INDEX('Customer Bills'!$B$12:$L$12,1,MATCH(Graphs!B9,'Customer Bills'!$B$2:$L$2,0)),NA())</f>
        <v>#N/A</v>
      </c>
      <c r="D9" s="15" t="e">
        <f>IF(C9="","",IF(OR(COUNT($C$3:$C9)-1=$O$1,COUNT($C$3:$C10)-1=$O$1),C9,NA()))</f>
        <v>#N/A</v>
      </c>
    </row>
    <row r="10" spans="1:15" x14ac:dyDescent="0.25">
      <c r="A10" t="s">
        <v>317</v>
      </c>
      <c r="B10">
        <v>7</v>
      </c>
      <c r="C10" s="49" t="e">
        <f>IF(COUNT($B$3:$B10)&lt;=$O$1+1,INDEX('Customer Bills'!$B$12:$L$12,1,MATCH(Graphs!B10,'Customer Bills'!$B$2:$L$2,0)),NA())</f>
        <v>#N/A</v>
      </c>
      <c r="D10" s="15" t="e">
        <f>IF(C10="","",IF(OR(COUNT($C$3:$C10)-1=$O$1,COUNT($C$3:$C11)-1=$O$1),C10,NA()))</f>
        <v>#N/A</v>
      </c>
    </row>
    <row r="11" spans="1:15" x14ac:dyDescent="0.25">
      <c r="A11" t="s">
        <v>318</v>
      </c>
      <c r="B11">
        <v>8</v>
      </c>
      <c r="C11" s="49" t="e">
        <f>IF(COUNT($B$3:$B11)&lt;=$O$1+1,INDEX('Customer Bills'!$B$12:$L$12,1,MATCH(Graphs!B11,'Customer Bills'!$B$2:$L$2,0)),NA())</f>
        <v>#N/A</v>
      </c>
      <c r="D11" s="15" t="e">
        <f>IF(C11="","",IF(OR(COUNT($C$3:$C11)-1=$O$1,COUNT($C$3:$C12)-1=$O$1),C11,NA()))</f>
        <v>#N/A</v>
      </c>
    </row>
    <row r="12" spans="1:15" x14ac:dyDescent="0.25">
      <c r="A12" t="s">
        <v>319</v>
      </c>
      <c r="B12">
        <v>9</v>
      </c>
      <c r="C12" s="49" t="e">
        <f>IF(COUNT($B$3:$B12)&lt;=$O$1+1,INDEX('Customer Bills'!$B$12:$L$12,1,MATCH(Graphs!B12,'Customer Bills'!$B$2:$L$2,0)),NA())</f>
        <v>#N/A</v>
      </c>
      <c r="D12" s="15" t="e">
        <f>IF(C12="","",IF(OR(COUNT($C$3:$C12)-1=$O$1,COUNT($C$3:$C13)-1=$O$1),C12,NA()))</f>
        <v>#N/A</v>
      </c>
    </row>
    <row r="13" spans="1:15" x14ac:dyDescent="0.25">
      <c r="A13" t="s">
        <v>320</v>
      </c>
      <c r="B13">
        <v>10</v>
      </c>
      <c r="C13" s="49" t="e">
        <f>IF(COUNT($B$3:$B13)&lt;=$O$1+1,INDEX('Customer Bills'!$B$12:$L$12,1,MATCH(Graphs!B13,'Customer Bills'!$B$2:$L$2,0)),NA())</f>
        <v>#N/A</v>
      </c>
      <c r="D13" s="15" t="e">
        <f>IF(C13="","",IF(OR(COUNT($C$3:$C13)-1=$O$1,COUNT($C$3:$C14)-1=$O$1),C13,NA()))</f>
        <v>#N/A</v>
      </c>
    </row>
    <row r="16" spans="1:15" x14ac:dyDescent="0.25">
      <c r="A16" s="9" t="s">
        <v>411</v>
      </c>
      <c r="B16" s="3"/>
      <c r="C16" s="3"/>
      <c r="D16" s="3"/>
      <c r="E16" s="3"/>
      <c r="F16" s="3"/>
      <c r="G16" s="3"/>
      <c r="H16" s="3"/>
      <c r="I16" s="3"/>
      <c r="J16" s="3"/>
      <c r="K16" s="3"/>
    </row>
    <row r="17" spans="1:11" x14ac:dyDescent="0.25">
      <c r="A17" t="s">
        <v>407</v>
      </c>
      <c r="B17" t="s">
        <v>409</v>
      </c>
      <c r="C17" t="s">
        <v>406</v>
      </c>
      <c r="D17" t="s">
        <v>408</v>
      </c>
    </row>
    <row r="18" spans="1:11" x14ac:dyDescent="0.25">
      <c r="A18" t="s">
        <v>405</v>
      </c>
      <c r="B18">
        <v>0</v>
      </c>
      <c r="C18" s="10">
        <f>IF(COUNT($B$18:$B18)&lt;=$O$1+1,INDEX('Environmental Performance'!$B$3:$L$3,1,MATCH(Graphs!B18,'Environmental Performance'!$B$1:$L$1,0)),NA())</f>
        <v>699.94550408719351</v>
      </c>
      <c r="D18" s="122">
        <f>IF(C18="","",IF(OR(COUNT($C$18:$C18)-1=$O$1,COUNT($C$18:$C19)-1=$O$1),C18,NA()))</f>
        <v>699.94550408719351</v>
      </c>
    </row>
    <row r="19" spans="1:11" x14ac:dyDescent="0.25">
      <c r="A19" t="s">
        <v>67</v>
      </c>
      <c r="B19">
        <v>1</v>
      </c>
      <c r="C19" s="10" t="e">
        <f>IF(COUNT($B$18:$B19)&lt;=$O$1+1,INDEX('Environmental Performance'!$B$3:$L$3,1,MATCH(Graphs!B19,'Environmental Performance'!$B$1:$L$1,0)),NA())</f>
        <v>#N/A</v>
      </c>
      <c r="D19" s="122" t="e">
        <f>IF(C19="","",IF(OR(COUNT($C$18:$C19)-1=$O$1,COUNT($C$18:$C20)-1=$O$1),C19,NA()))</f>
        <v>#N/A</v>
      </c>
    </row>
    <row r="20" spans="1:11" x14ac:dyDescent="0.25">
      <c r="A20" t="s">
        <v>103</v>
      </c>
      <c r="B20">
        <v>2</v>
      </c>
      <c r="C20" s="10" t="e">
        <f>IF(COUNT($B$18:$B20)&lt;=$O$1+1,INDEX('Environmental Performance'!$B$3:$L$3,1,MATCH(Graphs!B20,'Environmental Performance'!$B$1:$L$1,0)),NA())</f>
        <v>#N/A</v>
      </c>
      <c r="D20" s="122" t="e">
        <f>IF(C20="","",IF(OR(COUNT($C$18:$C20)-1=$O$1,COUNT($C$18:$C21)-1=$O$1),C20,NA()))</f>
        <v>#N/A</v>
      </c>
    </row>
    <row r="21" spans="1:11" x14ac:dyDescent="0.25">
      <c r="A21" t="s">
        <v>104</v>
      </c>
      <c r="B21">
        <v>3</v>
      </c>
      <c r="C21" s="10" t="e">
        <f>IF(COUNT($B$18:$B21)&lt;=$O$1+1,INDEX('Environmental Performance'!$B$3:$L$3,1,MATCH(Graphs!B21,'Environmental Performance'!$B$1:$L$1,0)),NA())</f>
        <v>#N/A</v>
      </c>
      <c r="D21" s="122" t="e">
        <f>IF(C21="","",IF(OR(COUNT($C$18:$C21)-1=$O$1,COUNT($C$18:$C22)-1=$O$1),C21,NA()))</f>
        <v>#N/A</v>
      </c>
    </row>
    <row r="22" spans="1:11" x14ac:dyDescent="0.25">
      <c r="A22" t="s">
        <v>105</v>
      </c>
      <c r="B22">
        <v>4</v>
      </c>
      <c r="C22" s="10" t="e">
        <f>IF(COUNT($B$18:$B22)&lt;=$O$1+1,INDEX('Environmental Performance'!$B$3:$L$3,1,MATCH(Graphs!B22,'Environmental Performance'!$B$1:$L$1,0)),NA())</f>
        <v>#N/A</v>
      </c>
      <c r="D22" s="122" t="e">
        <f>IF(C22="","",IF(OR(COUNT($C$18:$C22)-1=$O$1,COUNT($C$18:$C23)-1=$O$1),C22,NA()))</f>
        <v>#N/A</v>
      </c>
    </row>
    <row r="23" spans="1:11" x14ac:dyDescent="0.25">
      <c r="A23" t="s">
        <v>106</v>
      </c>
      <c r="B23">
        <v>5</v>
      </c>
      <c r="C23" s="10" t="e">
        <f>IF(COUNT($B$18:$B23)&lt;=$O$1+1,INDEX('Environmental Performance'!$B$3:$L$3,1,MATCH(Graphs!B23,'Environmental Performance'!$B$1:$L$1,0)),NA())</f>
        <v>#N/A</v>
      </c>
      <c r="D23" s="122" t="e">
        <f>IF(C23="","",IF(OR(COUNT($C$18:$C23)-1=$O$1,COUNT($C$18:$C24)-1=$O$1),C23,NA()))</f>
        <v>#N/A</v>
      </c>
    </row>
    <row r="24" spans="1:11" x14ac:dyDescent="0.25">
      <c r="A24" t="s">
        <v>316</v>
      </c>
      <c r="B24">
        <v>6</v>
      </c>
      <c r="C24" s="10" t="e">
        <f>IF(COUNT($B$18:$B24)&lt;=$O$1+1,INDEX('Environmental Performance'!$B$3:$L$3,1,MATCH(Graphs!B24,'Environmental Performance'!$B$1:$L$1,0)),NA())</f>
        <v>#N/A</v>
      </c>
      <c r="D24" s="122" t="e">
        <f>IF(C24="","",IF(OR(COUNT($C$18:$C24)-1=$O$1,COUNT($C$18:$C25)-1=$O$1),C24,NA()))</f>
        <v>#N/A</v>
      </c>
    </row>
    <row r="25" spans="1:11" x14ac:dyDescent="0.25">
      <c r="A25" t="s">
        <v>317</v>
      </c>
      <c r="B25">
        <v>7</v>
      </c>
      <c r="C25" s="10" t="e">
        <f>IF(COUNT($B$18:$B25)&lt;=$O$1+1,INDEX('Environmental Performance'!$B$3:$L$3,1,MATCH(Graphs!B25,'Environmental Performance'!$B$1:$L$1,0)),NA())</f>
        <v>#N/A</v>
      </c>
      <c r="D25" s="122" t="e">
        <f>IF(C25="","",IF(OR(COUNT($C$18:$C25)-1=$O$1,COUNT($C$18:$C26)-1=$O$1),C25,NA()))</f>
        <v>#N/A</v>
      </c>
    </row>
    <row r="26" spans="1:11" x14ac:dyDescent="0.25">
      <c r="A26" t="s">
        <v>318</v>
      </c>
      <c r="B26">
        <v>8</v>
      </c>
      <c r="C26" s="10" t="e">
        <f>IF(COUNT($B$18:$B26)&lt;=$O$1+1,INDEX('Environmental Performance'!$B$3:$L$3,1,MATCH(Graphs!B26,'Environmental Performance'!$B$1:$L$1,0)),NA())</f>
        <v>#N/A</v>
      </c>
      <c r="D26" s="122" t="e">
        <f>IF(C26="","",IF(OR(COUNT($C$18:$C26)-1=$O$1,COUNT($C$18:$C27)-1=$O$1),C26,NA()))</f>
        <v>#N/A</v>
      </c>
    </row>
    <row r="27" spans="1:11" x14ac:dyDescent="0.25">
      <c r="A27" t="s">
        <v>319</v>
      </c>
      <c r="B27">
        <v>9</v>
      </c>
      <c r="C27" s="10" t="e">
        <f>IF(COUNT($B$18:$B27)&lt;=$O$1+1,INDEX('Environmental Performance'!$B$3:$L$3,1,MATCH(Graphs!B27,'Environmental Performance'!$B$1:$L$1,0)),NA())</f>
        <v>#N/A</v>
      </c>
      <c r="D27" s="122" t="e">
        <f>IF(C27="","",IF(OR(COUNT($C$18:$C27)-1=$O$1,COUNT($C$18:$C28)-1=$O$1),C27,NA()))</f>
        <v>#N/A</v>
      </c>
    </row>
    <row r="28" spans="1:11" x14ac:dyDescent="0.25">
      <c r="A28" t="s">
        <v>320</v>
      </c>
      <c r="B28">
        <v>10</v>
      </c>
      <c r="C28" s="10" t="e">
        <f>IF(COUNT($B$18:$B28)&lt;=$O$1+1,INDEX('Environmental Performance'!$B$3:$L$3,1,MATCH(Graphs!B28,'Environmental Performance'!$B$1:$L$1,0)),NA())</f>
        <v>#N/A</v>
      </c>
      <c r="D28" s="122" t="e">
        <f>IF(C28="","",IF(OR(COUNT($C$18:$C28)-1=$O$1,COUNT($C$18:$C29)-1=$O$1),C28,NA()))</f>
        <v>#N/A</v>
      </c>
    </row>
    <row r="32" spans="1:11" x14ac:dyDescent="0.25">
      <c r="A32" s="9" t="s">
        <v>413</v>
      </c>
      <c r="B32" s="3"/>
      <c r="C32" s="3"/>
      <c r="D32" s="3"/>
      <c r="E32" s="3"/>
      <c r="F32" s="3"/>
      <c r="G32" s="3"/>
      <c r="H32" s="3"/>
      <c r="I32" s="3"/>
      <c r="J32" s="3"/>
      <c r="K32" s="3"/>
    </row>
    <row r="33" spans="1:4" x14ac:dyDescent="0.25">
      <c r="A33" t="s">
        <v>407</v>
      </c>
      <c r="B33" t="s">
        <v>409</v>
      </c>
      <c r="C33" t="s">
        <v>406</v>
      </c>
      <c r="D33" t="s">
        <v>408</v>
      </c>
    </row>
    <row r="34" spans="1:4" x14ac:dyDescent="0.25">
      <c r="A34" t="s">
        <v>405</v>
      </c>
      <c r="B34">
        <v>0</v>
      </c>
      <c r="C34" s="123">
        <f>IF(COUNT($B$34:$B34)&lt;=$O$1+1,INDEX('Utility Revenue'!$B$142:$L$142,1,MATCH(Graphs!B34,'Utility Revenue'!$B$6:$L$6,0)),NA())</f>
        <v>63649935.182007015</v>
      </c>
      <c r="D34" s="124">
        <f>IF(C34="","",IF(OR(COUNT($C$34:$C34)-1=$O$1,COUNT($C$34:$C35)-1=$O$1),C34,NA()))</f>
        <v>63649935.182007015</v>
      </c>
    </row>
    <row r="35" spans="1:4" x14ac:dyDescent="0.25">
      <c r="A35" t="s">
        <v>67</v>
      </c>
      <c r="B35">
        <v>1</v>
      </c>
      <c r="C35" s="123" t="e">
        <f>IF(COUNT($B$34:$B35)&lt;=$O$1+1,INDEX('Utility Revenue'!$B$142:$L$142,1,MATCH(Graphs!B35,'Utility Revenue'!$B$6:$L$6,0)),NA())</f>
        <v>#N/A</v>
      </c>
      <c r="D35" s="124" t="e">
        <f>IF(C35="","",IF(OR(COUNT($C$34:$C35)-1=$O$1,COUNT($C$34:$C36)-1=$O$1),C35,NA()))</f>
        <v>#N/A</v>
      </c>
    </row>
    <row r="36" spans="1:4" x14ac:dyDescent="0.25">
      <c r="A36" t="s">
        <v>103</v>
      </c>
      <c r="B36">
        <v>2</v>
      </c>
      <c r="C36" s="123" t="e">
        <f>IF(COUNT($B$34:$B36)&lt;=$O$1+1,INDEX('Utility Revenue'!$B$142:$L$142,1,MATCH(Graphs!B36,'Utility Revenue'!$B$6:$L$6,0)),NA())</f>
        <v>#N/A</v>
      </c>
      <c r="D36" s="124" t="e">
        <f>IF(C36="","",IF(OR(COUNT($C$34:$C36)-1=$O$1,COUNT($C$34:$C37)-1=$O$1),C36,NA()))</f>
        <v>#N/A</v>
      </c>
    </row>
    <row r="37" spans="1:4" x14ac:dyDescent="0.25">
      <c r="A37" t="s">
        <v>104</v>
      </c>
      <c r="B37">
        <v>3</v>
      </c>
      <c r="C37" s="123" t="e">
        <f>IF(COUNT($B$34:$B37)&lt;=$O$1+1,INDEX('Utility Revenue'!$B$142:$L$142,1,MATCH(Graphs!B37,'Utility Revenue'!$B$6:$L$6,0)),NA())</f>
        <v>#N/A</v>
      </c>
      <c r="D37" s="124" t="e">
        <f>IF(C37="","",IF(OR(COUNT($C$34:$C37)-1=$O$1,COUNT($C$34:$C38)-1=$O$1),C37,NA()))</f>
        <v>#N/A</v>
      </c>
    </row>
    <row r="38" spans="1:4" x14ac:dyDescent="0.25">
      <c r="A38" t="s">
        <v>105</v>
      </c>
      <c r="B38">
        <v>4</v>
      </c>
      <c r="C38" s="123" t="e">
        <f>IF(COUNT($B$34:$B38)&lt;=$O$1+1,INDEX('Utility Revenue'!$B$142:$L$142,1,MATCH(Graphs!B38,'Utility Revenue'!$B$6:$L$6,0)),NA())</f>
        <v>#N/A</v>
      </c>
      <c r="D38" s="124" t="e">
        <f>IF(C38="","",IF(OR(COUNT($C$34:$C38)-1=$O$1,COUNT($C$34:$C39)-1=$O$1),C38,NA()))</f>
        <v>#N/A</v>
      </c>
    </row>
    <row r="39" spans="1:4" x14ac:dyDescent="0.25">
      <c r="A39" t="s">
        <v>106</v>
      </c>
      <c r="B39">
        <v>5</v>
      </c>
      <c r="C39" s="123" t="e">
        <f>IF(COUNT($B$34:$B39)&lt;=$O$1+1,INDEX('Utility Revenue'!$B$142:$L$142,1,MATCH(Graphs!B39,'Utility Revenue'!$B$6:$L$6,0)),NA())</f>
        <v>#N/A</v>
      </c>
      <c r="D39" s="124" t="e">
        <f>IF(C39="","",IF(OR(COUNT($C$34:$C39)-1=$O$1,COUNT($C$34:$C40)-1=$O$1),C39,NA()))</f>
        <v>#N/A</v>
      </c>
    </row>
    <row r="40" spans="1:4" x14ac:dyDescent="0.25">
      <c r="A40" t="s">
        <v>316</v>
      </c>
      <c r="B40">
        <v>6</v>
      </c>
      <c r="C40" s="123" t="e">
        <f>IF(COUNT($B$34:$B40)&lt;=$O$1+1,INDEX('Utility Revenue'!$B$142:$L$142,1,MATCH(Graphs!B40,'Utility Revenue'!$B$6:$L$6,0)),NA())</f>
        <v>#N/A</v>
      </c>
      <c r="D40" s="124" t="e">
        <f>IF(C40="","",IF(OR(COUNT($C$34:$C40)-1=$O$1,COUNT($C$34:$C41)-1=$O$1),C40,NA()))</f>
        <v>#N/A</v>
      </c>
    </row>
    <row r="41" spans="1:4" x14ac:dyDescent="0.25">
      <c r="A41" t="s">
        <v>317</v>
      </c>
      <c r="B41">
        <v>7</v>
      </c>
      <c r="C41" s="123" t="e">
        <f>IF(COUNT($B$34:$B41)&lt;=$O$1+1,INDEX('Utility Revenue'!$B$142:$L$142,1,MATCH(Graphs!B41,'Utility Revenue'!$B$6:$L$6,0)),NA())</f>
        <v>#N/A</v>
      </c>
      <c r="D41" s="124" t="e">
        <f>IF(C41="","",IF(OR(COUNT($C$34:$C41)-1=$O$1,COUNT($C$34:$C42)-1=$O$1),C41,NA()))</f>
        <v>#N/A</v>
      </c>
    </row>
    <row r="42" spans="1:4" x14ac:dyDescent="0.25">
      <c r="A42" t="s">
        <v>318</v>
      </c>
      <c r="B42">
        <v>8</v>
      </c>
      <c r="C42" s="123" t="e">
        <f>IF(COUNT($B$34:$B42)&lt;=$O$1+1,INDEX('Utility Revenue'!$B$142:$L$142,1,MATCH(Graphs!B42,'Utility Revenue'!$B$6:$L$6,0)),NA())</f>
        <v>#N/A</v>
      </c>
      <c r="D42" s="124" t="e">
        <f>IF(C42="","",IF(OR(COUNT($C$34:$C42)-1=$O$1,COUNT($C$34:$C43)-1=$O$1),C42,NA()))</f>
        <v>#N/A</v>
      </c>
    </row>
    <row r="43" spans="1:4" x14ac:dyDescent="0.25">
      <c r="A43" t="s">
        <v>319</v>
      </c>
      <c r="B43">
        <v>9</v>
      </c>
      <c r="C43" s="123" t="e">
        <f>IF(COUNT($B$34:$B43)&lt;=$O$1+1,INDEX('Utility Revenue'!$B$142:$L$142,1,MATCH(Graphs!B43,'Utility Revenue'!$B$6:$L$6,0)),NA())</f>
        <v>#N/A</v>
      </c>
      <c r="D43" s="124" t="e">
        <f>IF(C43="","",IF(OR(COUNT($C$34:$C43)-1=$O$1,COUNT($C$34:$C44)-1=$O$1),C43,NA()))</f>
        <v>#N/A</v>
      </c>
    </row>
    <row r="44" spans="1:4" x14ac:dyDescent="0.25">
      <c r="A44" t="s">
        <v>320</v>
      </c>
      <c r="B44">
        <v>10</v>
      </c>
      <c r="C44" s="123" t="e">
        <f>IF(COUNT($B$34:$B44)&lt;=$O$1+1,INDEX('Utility Revenue'!$B$142:$L$142,1,MATCH(Graphs!B44,'Utility Revenue'!$B$6:$L$6,0)),NA())</f>
        <v>#N/A</v>
      </c>
      <c r="D44" s="124" t="e">
        <f>IF(C44="","",IF(OR(COUNT($C$34:$C44)-1=$O$1,COUNT($C$34:$C45)-1=$O$1),C44,NA()))</f>
        <v>#N/A</v>
      </c>
    </row>
    <row r="49" spans="1:11" x14ac:dyDescent="0.25">
      <c r="A49" s="9" t="s">
        <v>173</v>
      </c>
      <c r="B49" s="3"/>
      <c r="C49" s="3"/>
      <c r="D49" s="3"/>
      <c r="E49" s="3"/>
      <c r="F49" s="3"/>
      <c r="G49" s="3"/>
      <c r="H49" s="3"/>
      <c r="I49" s="3"/>
      <c r="J49" s="3"/>
      <c r="K49" s="3"/>
    </row>
    <row r="50" spans="1:11" x14ac:dyDescent="0.25">
      <c r="A50" t="s">
        <v>407</v>
      </c>
      <c r="B50" t="s">
        <v>409</v>
      </c>
      <c r="C50" t="s">
        <v>406</v>
      </c>
      <c r="D50" t="s">
        <v>408</v>
      </c>
    </row>
    <row r="51" spans="1:11" x14ac:dyDescent="0.25">
      <c r="A51" t="s">
        <v>405</v>
      </c>
      <c r="B51">
        <v>0</v>
      </c>
      <c r="C51" s="16">
        <f>IF(COUNT($B$34:$B34)&lt;=$O$1+1,INDEX(Reliability!$B$97:$L$97,1,MATCH(Graphs!B34,Reliability!$B$96:$L$96,0)),NA())</f>
        <v>287</v>
      </c>
      <c r="D51" s="153">
        <f>IF(C51="","",IF(OR(COUNT($C$51:$C51)-1=$O$1,COUNT($C$51:$C52)-1=$O$1),C51,NA()))</f>
        <v>287</v>
      </c>
    </row>
    <row r="52" spans="1:11" x14ac:dyDescent="0.25">
      <c r="A52" t="s">
        <v>67</v>
      </c>
      <c r="B52">
        <v>1</v>
      </c>
      <c r="C52" s="16" t="e">
        <f>IF(COUNT($B$34:$B35)&lt;=$O$1+1,INDEX(Reliability!$B$97:$L$97,1,MATCH(Graphs!B35,Reliability!$B$96:$L$96,0)),NA())</f>
        <v>#N/A</v>
      </c>
      <c r="D52" s="153" t="e">
        <f>IF(C52="","",IF(OR(COUNT($C$51:$C52)-1=$O$1,COUNT($C$51:$C53)-1=$O$1),C52,NA()))</f>
        <v>#N/A</v>
      </c>
    </row>
    <row r="53" spans="1:11" x14ac:dyDescent="0.25">
      <c r="A53" t="s">
        <v>103</v>
      </c>
      <c r="B53">
        <v>2</v>
      </c>
      <c r="C53" s="16" t="e">
        <f>IF(COUNT($B$34:$B36)&lt;=$O$1+1,INDEX(Reliability!$B$97:$L$97,1,MATCH(Graphs!B36,Reliability!$B$96:$L$96,0)),NA())</f>
        <v>#N/A</v>
      </c>
      <c r="D53" s="153" t="e">
        <f>IF(C53="","",IF(OR(COUNT($C$51:$C53)-1=$O$1,COUNT($C$51:$C54)-1=$O$1),C53,NA()))</f>
        <v>#N/A</v>
      </c>
    </row>
    <row r="54" spans="1:11" x14ac:dyDescent="0.25">
      <c r="A54" t="s">
        <v>104</v>
      </c>
      <c r="B54">
        <v>3</v>
      </c>
      <c r="C54" s="16" t="e">
        <f>IF(COUNT($B$34:$B37)&lt;=$O$1+1,INDEX(Reliability!$B$97:$L$97,1,MATCH(Graphs!B37,Reliability!$B$96:$L$96,0)),NA())</f>
        <v>#N/A</v>
      </c>
      <c r="D54" s="153" t="e">
        <f>IF(C54="","",IF(OR(COUNT($C$51:$C54)-1=$O$1,COUNT($C$51:$C55)-1=$O$1),C54,NA()))</f>
        <v>#N/A</v>
      </c>
    </row>
    <row r="55" spans="1:11" x14ac:dyDescent="0.25">
      <c r="A55" t="s">
        <v>105</v>
      </c>
      <c r="B55">
        <v>4</v>
      </c>
      <c r="C55" s="16" t="e">
        <f>IF(COUNT($B$34:$B38)&lt;=$O$1+1,INDEX(Reliability!$B$97:$L$97,1,MATCH(Graphs!B38,Reliability!$B$96:$L$96,0)),NA())</f>
        <v>#N/A</v>
      </c>
      <c r="D55" s="153" t="e">
        <f>IF(C55="","",IF(OR(COUNT($C$51:$C55)-1=$O$1,COUNT($C$51:$C56)-1=$O$1),C55,NA()))</f>
        <v>#N/A</v>
      </c>
    </row>
    <row r="56" spans="1:11" x14ac:dyDescent="0.25">
      <c r="A56" t="s">
        <v>106</v>
      </c>
      <c r="B56">
        <v>5</v>
      </c>
      <c r="C56" s="16" t="e">
        <f>IF(COUNT($B$34:$B39)&lt;=$O$1+1,INDEX(Reliability!$B$97:$L$97,1,MATCH(Graphs!B39,Reliability!$B$96:$L$96,0)),NA())</f>
        <v>#N/A</v>
      </c>
      <c r="D56" s="153" t="e">
        <f>IF(C56="","",IF(OR(COUNT($C$51:$C56)-1=$O$1,COUNT($C$51:$C57)-1=$O$1),C56,NA()))</f>
        <v>#N/A</v>
      </c>
    </row>
    <row r="57" spans="1:11" x14ac:dyDescent="0.25">
      <c r="A57" t="s">
        <v>316</v>
      </c>
      <c r="B57">
        <v>6</v>
      </c>
      <c r="C57" s="16" t="e">
        <f>IF(COUNT($B$34:$B40)&lt;=$O$1+1,INDEX(Reliability!$B$97:$L$97,1,MATCH(Graphs!B40,Reliability!$B$96:$L$96,0)),NA())</f>
        <v>#N/A</v>
      </c>
      <c r="D57" s="153" t="e">
        <f>IF(C57="","",IF(OR(COUNT($C$51:$C57)-1=$O$1,COUNT($C$51:$C58)-1=$O$1),C57,NA()))</f>
        <v>#N/A</v>
      </c>
    </row>
    <row r="58" spans="1:11" x14ac:dyDescent="0.25">
      <c r="A58" t="s">
        <v>317</v>
      </c>
      <c r="B58">
        <v>7</v>
      </c>
      <c r="C58" s="16" t="e">
        <f>IF(COUNT($B$34:$B41)&lt;=$O$1+1,INDEX(Reliability!$B$97:$L$97,1,MATCH(Graphs!B41,Reliability!$B$96:$L$96,0)),NA())</f>
        <v>#N/A</v>
      </c>
      <c r="D58" s="153" t="e">
        <f>IF(C58="","",IF(OR(COUNT($C$51:$C58)-1=$O$1,COUNT($C$51:$C59)-1=$O$1),C58,NA()))</f>
        <v>#N/A</v>
      </c>
    </row>
    <row r="59" spans="1:11" x14ac:dyDescent="0.25">
      <c r="A59" t="s">
        <v>318</v>
      </c>
      <c r="B59">
        <v>8</v>
      </c>
      <c r="C59" s="16" t="e">
        <f>IF(COUNT($B$34:$B42)&lt;=$O$1+1,INDEX(Reliability!$B$97:$L$97,1,MATCH(Graphs!B42,Reliability!$B$96:$L$96,0)),NA())</f>
        <v>#N/A</v>
      </c>
      <c r="D59" s="153" t="e">
        <f>IF(C59="","",IF(OR(COUNT($C$51:$C59)-1=$O$1,COUNT($C$51:$C60)-1=$O$1),C59,NA()))</f>
        <v>#N/A</v>
      </c>
    </row>
    <row r="60" spans="1:11" x14ac:dyDescent="0.25">
      <c r="A60" t="s">
        <v>319</v>
      </c>
      <c r="B60">
        <v>9</v>
      </c>
      <c r="C60" s="16" t="e">
        <f>IF(COUNT($B$34:$B43)&lt;=$O$1+1,INDEX(Reliability!$B$97:$L$97,1,MATCH(Graphs!B43,Reliability!$B$96:$L$96,0)),NA())</f>
        <v>#N/A</v>
      </c>
      <c r="D60" s="153" t="e">
        <f>IF(C60="","",IF(OR(COUNT($C$51:$C60)-1=$O$1,COUNT($C$51:$C61)-1=$O$1),C60,NA()))</f>
        <v>#N/A</v>
      </c>
    </row>
    <row r="61" spans="1:11" x14ac:dyDescent="0.25">
      <c r="A61" t="s">
        <v>320</v>
      </c>
      <c r="B61">
        <v>10</v>
      </c>
      <c r="C61" s="16" t="e">
        <f>IF(COUNT($B$34:$B44)&lt;=$O$1+1,INDEX(Reliability!$B$97:$L$97,1,MATCH(Graphs!B44,Reliability!$B$96:$L$96,0)),NA())</f>
        <v>#N/A</v>
      </c>
      <c r="D61" s="153" t="e">
        <f>IF(C61="","",IF(OR(COUNT($C$51:$C61)-1=$O$1,COUNT($C$51:$C62)-1=$O$1),C61,NA()))</f>
        <v>#N/A</v>
      </c>
    </row>
    <row r="65" spans="1:11" x14ac:dyDescent="0.25">
      <c r="A65" s="9" t="s">
        <v>439</v>
      </c>
      <c r="B65" s="3"/>
      <c r="C65" s="3"/>
      <c r="D65" s="3"/>
      <c r="E65" s="3"/>
      <c r="F65" s="3"/>
      <c r="G65" s="3"/>
      <c r="H65" s="3"/>
      <c r="I65" s="3"/>
      <c r="J65" s="3"/>
      <c r="K65" s="3"/>
    </row>
    <row r="66" spans="1:11" x14ac:dyDescent="0.25">
      <c r="A66" t="s">
        <v>7</v>
      </c>
      <c r="B66">
        <f>Dispatch!B153</f>
        <v>2568800</v>
      </c>
    </row>
    <row r="67" spans="1:11" x14ac:dyDescent="0.25">
      <c r="A67" t="s">
        <v>8</v>
      </c>
      <c r="B67">
        <f>Dispatch!B154</f>
        <v>0</v>
      </c>
      <c r="C67" s="16"/>
      <c r="D67" s="153"/>
    </row>
    <row r="68" spans="1:11" x14ac:dyDescent="0.25">
      <c r="A68" t="s">
        <v>13</v>
      </c>
      <c r="B68">
        <f>Dispatch!B155</f>
        <v>4730400</v>
      </c>
      <c r="C68" s="16"/>
      <c r="D68" s="153"/>
    </row>
    <row r="69" spans="1:11" x14ac:dyDescent="0.25">
      <c r="A69" t="s">
        <v>9</v>
      </c>
      <c r="B69">
        <f>Dispatch!B156</f>
        <v>109500</v>
      </c>
      <c r="C69" s="16"/>
      <c r="D69" s="153"/>
    </row>
    <row r="70" spans="1:11" x14ac:dyDescent="0.25">
      <c r="A70" t="s">
        <v>10</v>
      </c>
      <c r="B70">
        <f>Dispatch!B157</f>
        <v>131400</v>
      </c>
      <c r="C70" s="16"/>
      <c r="D70" s="153"/>
    </row>
    <row r="71" spans="1:11" x14ac:dyDescent="0.25">
      <c r="A71" t="s">
        <v>11</v>
      </c>
      <c r="B71">
        <f>Dispatch!B158</f>
        <v>262800</v>
      </c>
      <c r="C71" s="16"/>
      <c r="D71" s="153"/>
    </row>
    <row r="72" spans="1:11" x14ac:dyDescent="0.25">
      <c r="C72" s="16"/>
      <c r="D72" s="153"/>
    </row>
    <row r="73" spans="1:11" x14ac:dyDescent="0.25">
      <c r="C73" s="16"/>
      <c r="D73" s="153"/>
    </row>
    <row r="74" spans="1:11" x14ac:dyDescent="0.25">
      <c r="C74" s="16"/>
      <c r="D74" s="153"/>
    </row>
    <row r="75" spans="1:11" x14ac:dyDescent="0.25">
      <c r="C75" s="16"/>
      <c r="D75" s="153"/>
    </row>
    <row r="76" spans="1:11" x14ac:dyDescent="0.25">
      <c r="C76" s="16"/>
      <c r="D76" s="153"/>
    </row>
    <row r="77" spans="1:11" x14ac:dyDescent="0.25">
      <c r="C77" s="16"/>
      <c r="D77" s="153"/>
    </row>
    <row r="81" spans="1:11" x14ac:dyDescent="0.25">
      <c r="A81" s="9" t="s">
        <v>440</v>
      </c>
      <c r="B81" s="3"/>
      <c r="C81" s="3"/>
      <c r="D81" s="3"/>
      <c r="E81" s="3"/>
      <c r="F81" s="3"/>
      <c r="G81" s="3"/>
      <c r="H81" s="3"/>
      <c r="I81" s="3"/>
      <c r="J81" s="3"/>
      <c r="K81" s="3"/>
    </row>
    <row r="82" spans="1:11" x14ac:dyDescent="0.25">
      <c r="A82" t="s">
        <v>407</v>
      </c>
      <c r="B82" t="s">
        <v>409</v>
      </c>
      <c r="C82" t="s">
        <v>406</v>
      </c>
      <c r="D82" t="s">
        <v>408</v>
      </c>
      <c r="E82" t="s">
        <v>441</v>
      </c>
    </row>
    <row r="83" spans="1:11" x14ac:dyDescent="0.25">
      <c r="A83" t="s">
        <v>405</v>
      </c>
      <c r="B83">
        <v>0</v>
      </c>
      <c r="C83" s="5">
        <f>IF(COUNT($B$34:$B34)&lt;=$O$1+1,INDEX(Reliability!$B$91:$L$91,1,MATCH(Graphs!B34,Reliability!$B$90:$L$90,0)),NA())</f>
        <v>0.16070000000000007</v>
      </c>
      <c r="D83" s="5">
        <f>IF(C83="","",IF(OR(COUNT($C$83:$C83)-1=$O$1,COUNT($C$83:$C84)-1=$O$1),C83,NA()))</f>
        <v>0.16070000000000007</v>
      </c>
      <c r="E83" s="18">
        <v>0.15</v>
      </c>
    </row>
    <row r="84" spans="1:11" x14ac:dyDescent="0.25">
      <c r="A84" t="s">
        <v>67</v>
      </c>
      <c r="B84">
        <v>1</v>
      </c>
      <c r="C84" s="5" t="e">
        <f>IF(COUNT($B$34:$B35)&lt;=$O$1+1,INDEX(Reliability!$B$91:$L$91,1,MATCH(Graphs!B35,Reliability!$B$90:$L$90,0)),NA())</f>
        <v>#N/A</v>
      </c>
      <c r="D84" s="5" t="e">
        <f>IF(C84="","",IF(OR(COUNT($C$83:$C84)-1=$O$1,COUNT($C$83:$C85)-1=$O$1),C84,NA()))</f>
        <v>#N/A</v>
      </c>
      <c r="E84" s="18">
        <v>0.15</v>
      </c>
    </row>
    <row r="85" spans="1:11" x14ac:dyDescent="0.25">
      <c r="A85" t="s">
        <v>103</v>
      </c>
      <c r="B85">
        <v>2</v>
      </c>
      <c r="C85" s="5" t="e">
        <f>IF(COUNT($B$34:$B36)&lt;=$O$1+1,INDEX(Reliability!$B$91:$L$91,1,MATCH(Graphs!B36,Reliability!$B$90:$L$90,0)),NA())</f>
        <v>#N/A</v>
      </c>
      <c r="D85" s="5" t="e">
        <f>IF(C85="","",IF(OR(COUNT($C$83:$C85)-1=$O$1,COUNT($C$83:$C86)-1=$O$1),C85,NA()))</f>
        <v>#N/A</v>
      </c>
      <c r="E85" s="18">
        <v>0.15</v>
      </c>
    </row>
    <row r="86" spans="1:11" x14ac:dyDescent="0.25">
      <c r="A86" t="s">
        <v>104</v>
      </c>
      <c r="B86">
        <v>3</v>
      </c>
      <c r="C86" s="5" t="e">
        <f>IF(COUNT($B$34:$B37)&lt;=$O$1+1,INDEX(Reliability!$B$91:$L$91,1,MATCH(Graphs!B37,Reliability!$B$90:$L$90,0)),NA())</f>
        <v>#N/A</v>
      </c>
      <c r="D86" s="5" t="e">
        <f>IF(C86="","",IF(OR(COUNT($C$83:$C86)-1=$O$1,COUNT($C$83:$C87)-1=$O$1),C86,NA()))</f>
        <v>#N/A</v>
      </c>
      <c r="E86" s="18">
        <v>0.15</v>
      </c>
    </row>
    <row r="87" spans="1:11" x14ac:dyDescent="0.25">
      <c r="A87" t="s">
        <v>105</v>
      </c>
      <c r="B87">
        <v>4</v>
      </c>
      <c r="C87" s="5" t="e">
        <f>IF(COUNT($B$34:$B38)&lt;=$O$1+1,INDEX(Reliability!$B$91:$L$91,1,MATCH(Graphs!B38,Reliability!$B$90:$L$90,0)),NA())</f>
        <v>#N/A</v>
      </c>
      <c r="D87" s="5" t="e">
        <f>IF(C87="","",IF(OR(COUNT($C$83:$C87)-1=$O$1,COUNT($C$83:$C88)-1=$O$1),C87,NA()))</f>
        <v>#N/A</v>
      </c>
      <c r="E87" s="18">
        <v>0.15</v>
      </c>
    </row>
    <row r="88" spans="1:11" x14ac:dyDescent="0.25">
      <c r="A88" t="s">
        <v>106</v>
      </c>
      <c r="B88">
        <v>5</v>
      </c>
      <c r="C88" s="5" t="e">
        <f>IF(COUNT($B$34:$B39)&lt;=$O$1+1,INDEX(Reliability!$B$91:$L$91,1,MATCH(Graphs!B39,Reliability!$B$90:$L$90,0)),NA())</f>
        <v>#N/A</v>
      </c>
      <c r="D88" s="5" t="e">
        <f>IF(C88="","",IF(OR(COUNT($C$83:$C88)-1=$O$1,COUNT($C$83:$C89)-1=$O$1),C88,NA()))</f>
        <v>#N/A</v>
      </c>
      <c r="E88" s="18">
        <v>0.15</v>
      </c>
    </row>
    <row r="89" spans="1:11" x14ac:dyDescent="0.25">
      <c r="A89" t="s">
        <v>316</v>
      </c>
      <c r="B89">
        <v>6</v>
      </c>
      <c r="C89" s="5" t="e">
        <f>IF(COUNT($B$34:$B40)&lt;=$O$1+1,INDEX(Reliability!$B$91:$L$91,1,MATCH(Graphs!B40,Reliability!$B$90:$L$90,0)),NA())</f>
        <v>#N/A</v>
      </c>
      <c r="D89" s="5" t="e">
        <f>IF(C89="","",IF(OR(COUNT($C$83:$C89)-1=$O$1,COUNT($C$83:$C90)-1=$O$1),C89,NA()))</f>
        <v>#N/A</v>
      </c>
      <c r="E89" s="18">
        <v>0.15</v>
      </c>
    </row>
    <row r="90" spans="1:11" x14ac:dyDescent="0.25">
      <c r="A90" t="s">
        <v>317</v>
      </c>
      <c r="B90">
        <v>7</v>
      </c>
      <c r="C90" s="5" t="e">
        <f>IF(COUNT($B$34:$B41)&lt;=$O$1+1,INDEX(Reliability!$B$91:$L$91,1,MATCH(Graphs!B41,Reliability!$B$90:$L$90,0)),NA())</f>
        <v>#N/A</v>
      </c>
      <c r="D90" s="5" t="e">
        <f>IF(C90="","",IF(OR(COUNT($C$83:$C90)-1=$O$1,COUNT($C$83:$C91)-1=$O$1),C90,NA()))</f>
        <v>#N/A</v>
      </c>
      <c r="E90" s="18">
        <v>0.15</v>
      </c>
    </row>
    <row r="91" spans="1:11" x14ac:dyDescent="0.25">
      <c r="A91" t="s">
        <v>318</v>
      </c>
      <c r="B91">
        <v>8</v>
      </c>
      <c r="C91" s="5" t="e">
        <f>IF(COUNT($B$34:$B42)&lt;=$O$1+1,INDEX(Reliability!$B$91:$L$91,1,MATCH(Graphs!B42,Reliability!$B$90:$L$90,0)),NA())</f>
        <v>#N/A</v>
      </c>
      <c r="D91" s="5" t="e">
        <f>IF(C91="","",IF(OR(COUNT($C$83:$C91)-1=$O$1,COUNT($C$83:$C92)-1=$O$1),C91,NA()))</f>
        <v>#N/A</v>
      </c>
      <c r="E91" s="18">
        <v>0.15</v>
      </c>
    </row>
    <row r="92" spans="1:11" x14ac:dyDescent="0.25">
      <c r="A92" t="s">
        <v>319</v>
      </c>
      <c r="B92">
        <v>9</v>
      </c>
      <c r="C92" s="5" t="e">
        <f>IF(COUNT($B$34:$B43)&lt;=$O$1+1,INDEX(Reliability!$B$91:$L$91,1,MATCH(Graphs!B43,Reliability!$B$90:$L$90,0)),NA())</f>
        <v>#N/A</v>
      </c>
      <c r="D92" s="5" t="e">
        <f>IF(C92="","",IF(OR(COUNT($C$83:$C92)-1=$O$1,COUNT($C$83:$C93)-1=$O$1),C92,NA()))</f>
        <v>#N/A</v>
      </c>
      <c r="E92" s="18">
        <v>0.15</v>
      </c>
    </row>
    <row r="93" spans="1:11" x14ac:dyDescent="0.25">
      <c r="A93" t="s">
        <v>320</v>
      </c>
      <c r="B93">
        <v>10</v>
      </c>
      <c r="C93" s="5" t="e">
        <f>IF(COUNT($B$34:$B44)&lt;=$O$1+1,INDEX(Reliability!$B$91:$L$91,1,MATCH(Graphs!B44,Reliability!$B$90:$L$90,0)),NA())</f>
        <v>#N/A</v>
      </c>
      <c r="D93" s="5" t="e">
        <f>IF(C93="","",IF(OR(COUNT($C$83:$C93)-1=$O$1,COUNT($C$83:$C94)-1=$O$1),C93,NA()))</f>
        <v>#N/A</v>
      </c>
      <c r="E93" s="18">
        <v>0.15</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7"/>
  <dimension ref="A1:B39"/>
  <sheetViews>
    <sheetView zoomScaleNormal="100" workbookViewId="0">
      <selection activeCell="B18" sqref="B18"/>
    </sheetView>
  </sheetViews>
  <sheetFormatPr defaultRowHeight="15" x14ac:dyDescent="0.25"/>
  <cols>
    <col min="1" max="1" width="60.140625" customWidth="1"/>
    <col min="2" max="2" width="119.7109375" customWidth="1"/>
  </cols>
  <sheetData>
    <row r="1" spans="1:2" x14ac:dyDescent="0.25">
      <c r="A1" s="1" t="s">
        <v>381</v>
      </c>
      <c r="B1" s="1" t="s">
        <v>382</v>
      </c>
    </row>
    <row r="2" spans="1:2" x14ac:dyDescent="0.25">
      <c r="A2" t="s">
        <v>148</v>
      </c>
      <c r="B2" t="s">
        <v>384</v>
      </c>
    </row>
    <row r="3" spans="1:2" x14ac:dyDescent="0.25">
      <c r="A3" t="s">
        <v>167</v>
      </c>
      <c r="B3" t="s">
        <v>385</v>
      </c>
    </row>
    <row r="5" spans="1:2" x14ac:dyDescent="0.25">
      <c r="A5" t="s">
        <v>249</v>
      </c>
      <c r="B5" t="s">
        <v>386</v>
      </c>
    </row>
    <row r="6" spans="1:2" x14ac:dyDescent="0.25">
      <c r="A6" t="s">
        <v>260</v>
      </c>
    </row>
    <row r="14" spans="1:2" x14ac:dyDescent="0.25">
      <c r="A14" t="s">
        <v>299</v>
      </c>
    </row>
    <row r="16" spans="1:2" x14ac:dyDescent="0.25">
      <c r="A16" t="s">
        <v>304</v>
      </c>
    </row>
    <row r="22" spans="1:2" x14ac:dyDescent="0.25">
      <c r="A22" t="s">
        <v>344</v>
      </c>
    </row>
    <row r="26" spans="1:2" x14ac:dyDescent="0.25">
      <c r="A26" t="s">
        <v>369</v>
      </c>
      <c r="B26" t="s">
        <v>391</v>
      </c>
    </row>
    <row r="27" spans="1:2" x14ac:dyDescent="0.25">
      <c r="A27" t="s">
        <v>378</v>
      </c>
    </row>
    <row r="28" spans="1:2" x14ac:dyDescent="0.25">
      <c r="A28" s="118" t="s">
        <v>379</v>
      </c>
      <c r="B28" s="118" t="s">
        <v>383</v>
      </c>
    </row>
    <row r="29" spans="1:2" x14ac:dyDescent="0.25">
      <c r="A29" t="s">
        <v>392</v>
      </c>
    </row>
    <row r="30" spans="1:2" x14ac:dyDescent="0.25">
      <c r="A30" t="s">
        <v>393</v>
      </c>
    </row>
    <row r="31" spans="1:2" x14ac:dyDescent="0.25">
      <c r="A31" t="s">
        <v>394</v>
      </c>
    </row>
    <row r="32" spans="1:2" x14ac:dyDescent="0.25">
      <c r="A32" t="s">
        <v>395</v>
      </c>
    </row>
    <row r="37" spans="1:2" x14ac:dyDescent="0.25">
      <c r="A37" t="s">
        <v>387</v>
      </c>
    </row>
    <row r="38" spans="1:2" x14ac:dyDescent="0.25">
      <c r="A38" t="s">
        <v>388</v>
      </c>
      <c r="B38" t="s">
        <v>389</v>
      </c>
    </row>
    <row r="39" spans="1:2" x14ac:dyDescent="0.25">
      <c r="A39" t="s">
        <v>390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Initial Setup</vt:lpstr>
      <vt:lpstr>Gameplay</vt:lpstr>
      <vt:lpstr>Event Tracker</vt:lpstr>
      <vt:lpstr>Game Properties</vt:lpstr>
      <vt:lpstr>Customer Bills</vt:lpstr>
      <vt:lpstr>Utility Revenue</vt:lpstr>
      <vt:lpstr>Environmental Performance</vt:lpstr>
      <vt:lpstr>Reliability</vt:lpstr>
      <vt:lpstr>Game Assumptions</vt:lpstr>
      <vt:lpstr>Resource Mix and Demand</vt:lpstr>
      <vt:lpstr>Dispatch</vt:lpstr>
      <vt:lpstr>Policy Page</vt:lpstr>
      <vt:lpstr>Graphs</vt:lpstr>
      <vt:lpstr>Questions</vt:lpstr>
      <vt:lpstr>Current_Round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Robbie</dc:creator>
  <cp:lastModifiedBy>Robbie Orvis</cp:lastModifiedBy>
  <cp:lastPrinted>2016-01-25T19:18:39Z</cp:lastPrinted>
  <dcterms:created xsi:type="dcterms:W3CDTF">2016-01-20T23:59:09Z</dcterms:created>
  <dcterms:modified xsi:type="dcterms:W3CDTF">2021-07-16T14:20:47Z</dcterms:modified>
</cp:coreProperties>
</file>